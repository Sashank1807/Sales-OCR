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512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K36" i="1" l="1" a="1"/>
  <c r="K36" i="1" s="1"/>
  <c r="I36" i="1" a="1"/>
  <c r="I3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<sst xmlns="http://schemas.openxmlformats.org/spreadsheetml/2006/main" count="114" uniqueCount="60">
  <si>
    <r>
      <rPr>
        <b/>
        <sz val="13"/>
        <color indexed="10"/>
        <rFont val="Arial"/>
      </rPr>
      <t>Item</t>
    </r>
  </si>
  <si>
    <r>
      <rPr>
        <b/>
        <sz val="13"/>
        <color indexed="10"/>
        <rFont val="Arial"/>
      </rPr>
      <t>Pack</t>
    </r>
  </si>
  <si>
    <r>
      <rPr>
        <b/>
        <sz val="13"/>
        <color indexed="10"/>
        <rFont val="Arial"/>
      </rPr>
      <t>Op.Qty</t>
    </r>
  </si>
  <si>
    <r>
      <rPr>
        <b/>
        <sz val="13"/>
        <color indexed="10"/>
        <rFont val="Arial"/>
      </rPr>
      <t>Op.Val</t>
    </r>
  </si>
  <si>
    <r>
      <rPr>
        <b/>
        <sz val="13"/>
        <color indexed="10"/>
        <rFont val="Arial"/>
      </rPr>
      <t>P.Qty</t>
    </r>
  </si>
  <si>
    <r>
      <rPr>
        <b/>
        <sz val="13"/>
        <color indexed="10"/>
        <rFont val="Arial"/>
      </rPr>
      <t>P.Val</t>
    </r>
  </si>
  <si>
    <r>
      <rPr>
        <b/>
        <sz val="13"/>
        <color indexed="10"/>
        <rFont val="Arial"/>
      </rPr>
      <t>BT.Qty</t>
    </r>
  </si>
  <si>
    <r>
      <rPr>
        <b/>
        <sz val="13"/>
        <color indexed="10"/>
        <rFont val="Arial"/>
      </rPr>
      <t>S.Qty</t>
    </r>
  </si>
  <si>
    <r>
      <rPr>
        <b/>
        <sz val="13"/>
        <color indexed="10"/>
        <rFont val="Arial"/>
      </rPr>
      <t>S.Val</t>
    </r>
  </si>
  <si>
    <r>
      <rPr>
        <b/>
        <sz val="13"/>
        <color indexed="10"/>
        <rFont val="Arial"/>
      </rPr>
      <t>Cls.Qty</t>
    </r>
  </si>
  <si>
    <r>
      <rPr>
        <b/>
        <sz val="13"/>
        <color indexed="10"/>
        <rFont val="Arial"/>
      </rPr>
      <t>Cls.Val</t>
    </r>
  </si>
  <si>
    <r>
      <rPr>
        <sz val="12"/>
        <color indexed="8"/>
        <rFont val="Arial"/>
      </rPr>
      <t>AD 100MG CAPS</t>
    </r>
  </si>
  <si>
    <r>
      <rPr>
        <sz val="12"/>
        <color indexed="8"/>
        <rFont val="Arial"/>
      </rPr>
      <t>10`S</t>
    </r>
  </si>
  <si>
    <r>
      <rPr>
        <sz val="12"/>
        <color indexed="8"/>
        <rFont val="Arial"/>
      </rPr>
      <t>-</t>
    </r>
  </si>
  <si>
    <r>
      <rPr>
        <sz val="12"/>
        <color indexed="8"/>
        <rFont val="Arial"/>
      </rPr>
      <t>AD 10MG SACHETS (EACH)</t>
    </r>
  </si>
  <si>
    <r>
      <rPr>
        <sz val="12"/>
        <color indexed="8"/>
        <rFont val="Arial"/>
      </rPr>
      <t>1GM</t>
    </r>
  </si>
  <si>
    <r>
      <rPr>
        <sz val="12"/>
        <color indexed="8"/>
        <rFont val="Arial"/>
      </rPr>
      <t>BILASET 20MG TAB</t>
    </r>
  </si>
  <si>
    <r>
      <rPr>
        <sz val="12"/>
        <color indexed="8"/>
        <rFont val="Arial"/>
      </rPr>
      <t>BILASET M TAB</t>
    </r>
  </si>
  <si>
    <r>
      <rPr>
        <sz val="12"/>
        <color indexed="8"/>
        <rFont val="Arial"/>
      </rPr>
      <t>BIXIVA TAB</t>
    </r>
  </si>
  <si>
    <r>
      <rPr>
        <sz val="12"/>
        <color indexed="8"/>
        <rFont val="Arial"/>
      </rPr>
      <t>GENXVAST 10MG TAB</t>
    </r>
  </si>
  <si>
    <r>
      <rPr>
        <sz val="12"/>
        <color indexed="8"/>
        <rFont val="Arial"/>
      </rPr>
      <t>GENXVAST 20MG TAB</t>
    </r>
  </si>
  <si>
    <r>
      <rPr>
        <sz val="12"/>
        <color indexed="8"/>
        <rFont val="Arial"/>
      </rPr>
      <t>GENXVAST F TAB</t>
    </r>
  </si>
  <si>
    <r>
      <rPr>
        <sz val="12"/>
        <color indexed="8"/>
        <rFont val="Arial"/>
      </rPr>
      <t>GOCAN 150MG TAB</t>
    </r>
  </si>
  <si>
    <r>
      <rPr>
        <sz val="12"/>
        <color indexed="8"/>
        <rFont val="Arial"/>
      </rPr>
      <t>1`S</t>
    </r>
  </si>
  <si>
    <r>
      <rPr>
        <sz val="12"/>
        <color indexed="8"/>
        <rFont val="Arial"/>
      </rPr>
      <t>ITBOR 200MG CAPS</t>
    </r>
  </si>
  <si>
    <r>
      <rPr>
        <sz val="12"/>
        <color indexed="8"/>
        <rFont val="Arial"/>
      </rPr>
      <t>LAZ 250MG TAB</t>
    </r>
  </si>
  <si>
    <r>
      <rPr>
        <sz val="12"/>
        <color indexed="8"/>
        <rFont val="Arial"/>
      </rPr>
      <t>6`S</t>
    </r>
  </si>
  <si>
    <r>
      <rPr>
        <sz val="12"/>
        <color indexed="8"/>
        <rFont val="Arial"/>
      </rPr>
      <t>LAZ 500MG TAB</t>
    </r>
  </si>
  <si>
    <r>
      <rPr>
        <sz val="12"/>
        <color indexed="8"/>
        <rFont val="Arial"/>
      </rPr>
      <t>LAZINE M TAB</t>
    </r>
  </si>
  <si>
    <r>
      <rPr>
        <sz val="12"/>
        <color indexed="8"/>
        <rFont val="Arial"/>
      </rPr>
      <t>LAZINE TAB~</t>
    </r>
  </si>
  <si>
    <r>
      <rPr>
        <sz val="12"/>
        <color indexed="8"/>
        <rFont val="Arial"/>
      </rPr>
      <t>LULIBOR CREAM (15GM)</t>
    </r>
  </si>
  <si>
    <r>
      <rPr>
        <sz val="12"/>
        <color indexed="8"/>
        <rFont val="Arial"/>
      </rPr>
      <t>15GM</t>
    </r>
  </si>
  <si>
    <r>
      <rPr>
        <sz val="12"/>
        <color indexed="8"/>
        <rFont val="Arial"/>
      </rPr>
      <t>LULIBOR LOTION</t>
    </r>
  </si>
  <si>
    <r>
      <rPr>
        <sz val="12"/>
        <color indexed="8"/>
        <rFont val="Arial"/>
      </rPr>
      <t>30ML</t>
    </r>
  </si>
  <si>
    <r>
      <rPr>
        <sz val="12"/>
        <color indexed="8"/>
        <rFont val="Arial"/>
      </rPr>
      <t>MOISTE CREAM</t>
    </r>
  </si>
  <si>
    <r>
      <rPr>
        <sz val="12"/>
        <color indexed="8"/>
        <rFont val="Arial"/>
      </rPr>
      <t>50GM</t>
    </r>
  </si>
  <si>
    <r>
      <rPr>
        <sz val="12"/>
        <color indexed="8"/>
        <rFont val="Arial"/>
      </rPr>
      <t>MOISTE LOTION</t>
    </r>
  </si>
  <si>
    <r>
      <rPr>
        <sz val="12"/>
        <color indexed="8"/>
        <rFont val="Arial"/>
      </rPr>
      <t>100ML</t>
    </r>
  </si>
  <si>
    <r>
      <rPr>
        <sz val="12"/>
        <color indexed="8"/>
        <rFont val="Arial"/>
      </rPr>
      <t>OPOX 100MG DRY SYP</t>
    </r>
  </si>
  <si>
    <r>
      <rPr>
        <sz val="12"/>
        <color indexed="8"/>
        <rFont val="Arial"/>
      </rPr>
      <t>OPOX 200MG TAB</t>
    </r>
  </si>
  <si>
    <r>
      <rPr>
        <sz val="12"/>
        <color indexed="8"/>
        <rFont val="Arial"/>
      </rPr>
      <t>OPOX 50MG DRY SYP</t>
    </r>
  </si>
  <si>
    <r>
      <rPr>
        <sz val="12"/>
        <color indexed="8"/>
        <rFont val="Arial"/>
      </rPr>
      <t>OPOX CV 100DT</t>
    </r>
  </si>
  <si>
    <r>
      <rPr>
        <sz val="12"/>
        <color indexed="8"/>
        <rFont val="Arial"/>
      </rPr>
      <t>OPOX CV 100MG DRY SYP</t>
    </r>
  </si>
  <si>
    <r>
      <rPr>
        <sz val="12"/>
        <color indexed="8"/>
        <rFont val="Arial"/>
      </rPr>
      <t>OPOX CV 200MG</t>
    </r>
  </si>
  <si>
    <r>
      <rPr>
        <sz val="12"/>
        <color indexed="8"/>
        <rFont val="Arial"/>
      </rPr>
      <t>OPOX CV 50MG DRY SYP</t>
    </r>
  </si>
  <si>
    <r>
      <rPr>
        <sz val="12"/>
        <color indexed="8"/>
        <rFont val="Arial"/>
      </rPr>
      <t>OPOX DROPS</t>
    </r>
  </si>
  <si>
    <r>
      <rPr>
        <sz val="12"/>
        <color indexed="8"/>
        <rFont val="Arial"/>
      </rPr>
      <t>10ML</t>
    </r>
  </si>
  <si>
    <r>
      <rPr>
        <sz val="12"/>
        <color indexed="8"/>
        <rFont val="Arial"/>
      </rPr>
      <t>OPOX DT 100MG</t>
    </r>
  </si>
  <si>
    <r>
      <rPr>
        <sz val="12"/>
        <color indexed="8"/>
        <rFont val="Arial"/>
      </rPr>
      <t>PANTIN 40MG TAB</t>
    </r>
  </si>
  <si>
    <r>
      <rPr>
        <sz val="12"/>
        <color indexed="8"/>
        <rFont val="Arial"/>
      </rPr>
      <t>15`S</t>
    </r>
  </si>
  <si>
    <r>
      <rPr>
        <sz val="12"/>
        <color indexed="8"/>
        <rFont val="Arial"/>
      </rPr>
      <t>PANTIN D CAPS</t>
    </r>
  </si>
  <si>
    <r>
      <rPr>
        <sz val="12"/>
        <color indexed="8"/>
        <rFont val="Arial"/>
      </rPr>
      <t>PANTIN IV (SPL RATE)</t>
    </r>
  </si>
  <si>
    <r>
      <rPr>
        <sz val="12"/>
        <color indexed="8"/>
        <rFont val="Arial"/>
      </rPr>
      <t>VIAL</t>
    </r>
  </si>
  <si>
    <r>
      <rPr>
        <sz val="12"/>
        <color indexed="8"/>
        <rFont val="Arial"/>
      </rPr>
      <t>PANTIN L CAPS</t>
    </r>
  </si>
  <si>
    <r>
      <rPr>
        <sz val="12"/>
        <color indexed="8"/>
        <rFont val="Arial"/>
      </rPr>
      <t>TANZ TAB</t>
    </r>
  </si>
  <si>
    <r>
      <rPr>
        <sz val="12"/>
        <color indexed="8"/>
        <rFont val="Arial"/>
      </rPr>
      <t>VERTIGEN TAB</t>
    </r>
  </si>
  <si>
    <r>
      <rPr>
        <b/>
        <sz val="12"/>
        <color indexed="10"/>
        <rFont val="Arial"/>
      </rPr>
      <t>Total</t>
    </r>
  </si>
  <si>
    <r>
      <rPr>
        <b/>
        <sz val="12"/>
        <color indexed="10"/>
        <rFont val="Arial"/>
      </rPr>
      <t>5,71,036.01</t>
    </r>
  </si>
  <si>
    <r>
      <rPr>
        <b/>
        <sz val="12"/>
        <color indexed="10"/>
        <rFont val="Arial"/>
      </rPr>
      <t>2,57,402.61</t>
    </r>
  </si>
  <si>
    <t>Vardhaman Medisales Private Limited, Belgaum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</si>
</sst>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indexed="8"/>
      <name val="Times New Roman"/>
    </font>
    <font>
      <b/>
      <sz val="13"/>
      <color indexed="8"/>
      <name val="Arial"/>
    </font>
    <font>
      <b/>
      <sz val="13"/>
      <color indexed="10"/>
      <name val="Arial"/>
    </font>
    <font>
      <sz val="12"/>
      <color indexed="8"/>
      <name val="Arial"/>
    </font>
    <font>
      <b/>
      <sz val="12"/>
      <color indexed="8"/>
      <name val="Arial"/>
    </font>
    <font>
      <b/>
      <sz val="12"/>
      <color indexed="10"/>
      <name val="Arial"/>
    </font>
    <font>
      <b/>
      <sz val="12"/>
      <color theme="0"/>
      <name val="Arial"/>
      <family val="2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15">
    <xf numFmtId="0" fontId="0" fillId="0" borderId="0" xfId="0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left" vertical="top" wrapText="1" indent="2"/>
    </xf>
    <xf numFmtId="49" fontId="1" fillId="2" borderId="1" xfId="0" applyNumberFormat="1" applyFont="1" applyFill="1" applyBorder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/>
    </xf>
    <xf numFmtId="2" fontId="3" fillId="0" borderId="1" xfId="0" applyNumberFormat="1" applyFont="1" applyBorder="1" applyAlignment="1">
      <alignment horizontal="right" vertical="top"/>
    </xf>
    <xf numFmtId="49" fontId="3" fillId="3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wrapText="1"/>
    </xf>
    <xf numFmtId="1" fontId="0" fillId="2" borderId="1" xfId="0" applyNumberFormat="1" applyFont="1" applyFill="1" applyBorder="1" applyAlignment="1">
      <alignment horizontal="left" wrapText="1"/>
    </xf>
    <xf numFmtId="2" fontId="6" fillId="2" borderId="1" xfId="0" applyNumberFormat="1" applyFont="1" applyFill="1" applyBorder="1" applyAlignment="1">
      <alignment horizontal="left" vertical="top" wrapText="1"/>
    </xf>
    <xf numFmtId="1" fontId="7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07BD1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showGridLines="0" tabSelected="1" topLeftCell="A20" workbookViewId="0">
      <selection activeCell="H36" sqref="H36"/>
    </sheetView>
  </sheetViews>
  <sheetFormatPr defaultColWidth="9" defaultRowHeight="15" customHeight="1" x14ac:dyDescent="0.25"/>
  <cols>
    <col min="1" max="1" width="57.77734375" style="1" customWidth="1"/>
    <col min="2" max="2" width="14.21875" style="1" customWidth="1"/>
    <col min="3" max="3" width="10.5546875" style="1" customWidth="1"/>
    <col min="4" max="4" width="17.5546875" style="1" customWidth="1"/>
    <col min="5" max="5" width="10.77734375" style="1" customWidth="1"/>
    <col min="6" max="6" width="17.44140625" style="1" customWidth="1"/>
    <col min="7" max="7" width="10.77734375" style="1" customWidth="1"/>
    <col min="8" max="8" width="10.5546875" style="1" customWidth="1"/>
    <col min="9" max="9" width="17.5546875" style="1" customWidth="1"/>
    <col min="10" max="10" width="10.77734375" style="1" customWidth="1"/>
    <col min="11" max="11" width="17.44140625" style="1" customWidth="1"/>
    <col min="12" max="12" width="9" style="1" customWidth="1"/>
    <col min="13" max="16384" width="9" style="1"/>
  </cols>
  <sheetData>
    <row r="1" spans="1:11" ht="15" customHeight="1" x14ac:dyDescent="0.25">
      <c r="A1" s="1" t="s">
        <v>59</v>
      </c>
    </row>
    <row r="2" spans="1:11" ht="25.05" customHeight="1" x14ac:dyDescent="0.25">
      <c r="A2" s="2" t="s">
        <v>0</v>
      </c>
      <c r="B2" s="3" t="s">
        <v>1</v>
      </c>
      <c r="C2" s="4" t="s">
        <v>2</v>
      </c>
      <c r="D2" s="3" t="s">
        <v>3</v>
      </c>
      <c r="E2" s="5" t="s">
        <v>4</v>
      </c>
      <c r="F2" s="3" t="s">
        <v>5</v>
      </c>
      <c r="G2" s="4" t="s">
        <v>6</v>
      </c>
      <c r="H2" s="5" t="s">
        <v>7</v>
      </c>
      <c r="I2" s="3" t="s">
        <v>8</v>
      </c>
      <c r="J2" s="4" t="s">
        <v>9</v>
      </c>
      <c r="K2" s="3" t="s">
        <v>10</v>
      </c>
    </row>
    <row r="3" spans="1:11" ht="25.05" customHeight="1" x14ac:dyDescent="0.25">
      <c r="A3" s="6" t="s">
        <v>11</v>
      </c>
      <c r="B3" s="6" t="s">
        <v>12</v>
      </c>
      <c r="C3" s="7">
        <v>186</v>
      </c>
      <c r="D3" s="8">
        <v>18138.72</v>
      </c>
      <c r="E3" s="7">
        <v>200</v>
      </c>
      <c r="F3" s="8">
        <v>17554</v>
      </c>
      <c r="G3" s="9" t="s">
        <v>13</v>
      </c>
      <c r="H3" s="7">
        <v>210</v>
      </c>
      <c r="I3" s="8">
        <v>20479.2</v>
      </c>
      <c r="J3" s="7">
        <v>176</v>
      </c>
      <c r="K3" s="8">
        <v>17163.52</v>
      </c>
    </row>
    <row r="4" spans="1:11" ht="25.05" customHeight="1" x14ac:dyDescent="0.25">
      <c r="A4" s="6" t="s">
        <v>14</v>
      </c>
      <c r="B4" s="6" t="s">
        <v>15</v>
      </c>
      <c r="C4" s="7">
        <v>142</v>
      </c>
      <c r="D4" s="8">
        <v>1461.18</v>
      </c>
      <c r="E4" s="7">
        <v>0</v>
      </c>
      <c r="F4" s="8">
        <v>0</v>
      </c>
      <c r="G4" s="9" t="s">
        <v>13</v>
      </c>
      <c r="H4" s="7">
        <v>47</v>
      </c>
      <c r="I4" s="8">
        <v>483.63</v>
      </c>
      <c r="J4" s="7">
        <v>95</v>
      </c>
      <c r="K4" s="8">
        <v>977.55</v>
      </c>
    </row>
    <row r="5" spans="1:11" ht="25.05" customHeight="1" x14ac:dyDescent="0.25">
      <c r="A5" s="6" t="s">
        <v>16</v>
      </c>
      <c r="B5" s="6" t="s">
        <v>12</v>
      </c>
      <c r="C5" s="7">
        <v>41</v>
      </c>
      <c r="D5" s="8">
        <v>2486.65</v>
      </c>
      <c r="E5" s="7">
        <v>0</v>
      </c>
      <c r="F5" s="8">
        <v>0</v>
      </c>
      <c r="G5" s="9" t="s">
        <v>13</v>
      </c>
      <c r="H5" s="7">
        <v>12</v>
      </c>
      <c r="I5" s="8">
        <v>606.5</v>
      </c>
      <c r="J5" s="7">
        <v>29</v>
      </c>
      <c r="K5" s="8">
        <v>1758.85</v>
      </c>
    </row>
    <row r="6" spans="1:11" ht="25.05" customHeight="1" x14ac:dyDescent="0.25">
      <c r="A6" s="6" t="s">
        <v>17</v>
      </c>
      <c r="B6" s="6" t="s">
        <v>12</v>
      </c>
      <c r="C6" s="7">
        <v>121</v>
      </c>
      <c r="D6" s="8">
        <v>9412.59</v>
      </c>
      <c r="E6" s="7">
        <v>0</v>
      </c>
      <c r="F6" s="8">
        <v>0</v>
      </c>
      <c r="G6" s="9" t="s">
        <v>13</v>
      </c>
      <c r="H6" s="7">
        <v>57</v>
      </c>
      <c r="I6" s="8">
        <v>3656.13</v>
      </c>
      <c r="J6" s="7">
        <v>64</v>
      </c>
      <c r="K6" s="8">
        <v>4978.5600000000004</v>
      </c>
    </row>
    <row r="7" spans="1:11" ht="25.05" customHeight="1" x14ac:dyDescent="0.25">
      <c r="A7" s="6" t="s">
        <v>18</v>
      </c>
      <c r="B7" s="6" t="s">
        <v>12</v>
      </c>
      <c r="C7" s="7">
        <v>0</v>
      </c>
      <c r="D7" s="8">
        <v>0</v>
      </c>
      <c r="E7" s="7">
        <v>10</v>
      </c>
      <c r="F7" s="8">
        <v>1357.74</v>
      </c>
      <c r="G7" s="9" t="s">
        <v>13</v>
      </c>
      <c r="H7" s="7">
        <v>0</v>
      </c>
      <c r="I7" s="8">
        <v>0</v>
      </c>
      <c r="J7" s="7">
        <v>10</v>
      </c>
      <c r="K7" s="8">
        <v>1676.2</v>
      </c>
    </row>
    <row r="8" spans="1:11" ht="25.05" customHeight="1" x14ac:dyDescent="0.25">
      <c r="A8" s="6" t="s">
        <v>19</v>
      </c>
      <c r="B8" s="6" t="s">
        <v>12</v>
      </c>
      <c r="C8" s="7">
        <v>98</v>
      </c>
      <c r="D8" s="8">
        <v>1438.64</v>
      </c>
      <c r="E8" s="7">
        <v>40</v>
      </c>
      <c r="F8" s="8">
        <v>534</v>
      </c>
      <c r="G8" s="9" t="s">
        <v>13</v>
      </c>
      <c r="H8" s="7">
        <v>124</v>
      </c>
      <c r="I8" s="8">
        <v>1820.32</v>
      </c>
      <c r="J8" s="7">
        <v>14</v>
      </c>
      <c r="K8" s="8">
        <v>205.52</v>
      </c>
    </row>
    <row r="9" spans="1:11" ht="25.05" customHeight="1" x14ac:dyDescent="0.25">
      <c r="A9" s="6" t="s">
        <v>20</v>
      </c>
      <c r="B9" s="6" t="s">
        <v>12</v>
      </c>
      <c r="C9" s="7">
        <v>59</v>
      </c>
      <c r="D9" s="8">
        <v>1272.04</v>
      </c>
      <c r="E9" s="7">
        <v>30</v>
      </c>
      <c r="F9" s="8">
        <v>582.29999999999995</v>
      </c>
      <c r="G9" s="9" t="s">
        <v>13</v>
      </c>
      <c r="H9" s="7">
        <v>45</v>
      </c>
      <c r="I9" s="8">
        <v>970.2</v>
      </c>
      <c r="J9" s="7">
        <v>44</v>
      </c>
      <c r="K9" s="8">
        <v>948.64</v>
      </c>
    </row>
    <row r="10" spans="1:11" ht="25.05" customHeight="1" x14ac:dyDescent="0.25">
      <c r="A10" s="6" t="s">
        <v>21</v>
      </c>
      <c r="B10" s="6" t="s">
        <v>12</v>
      </c>
      <c r="C10" s="7">
        <v>10</v>
      </c>
      <c r="D10" s="8">
        <v>331.4</v>
      </c>
      <c r="E10" s="7">
        <v>20</v>
      </c>
      <c r="F10" s="8">
        <v>596.6</v>
      </c>
      <c r="G10" s="9" t="s">
        <v>13</v>
      </c>
      <c r="H10" s="7">
        <v>13</v>
      </c>
      <c r="I10" s="8">
        <v>430.82</v>
      </c>
      <c r="J10" s="7">
        <v>17</v>
      </c>
      <c r="K10" s="8">
        <v>563.38</v>
      </c>
    </row>
    <row r="11" spans="1:11" ht="25.05" customHeight="1" x14ac:dyDescent="0.25">
      <c r="A11" s="6" t="s">
        <v>22</v>
      </c>
      <c r="B11" s="6" t="s">
        <v>23</v>
      </c>
      <c r="C11" s="7">
        <v>727</v>
      </c>
      <c r="D11" s="8">
        <v>6811.99</v>
      </c>
      <c r="E11" s="7">
        <v>450</v>
      </c>
      <c r="F11" s="8">
        <v>2553</v>
      </c>
      <c r="G11" s="9" t="s">
        <v>13</v>
      </c>
      <c r="H11" s="7">
        <v>749</v>
      </c>
      <c r="I11" s="8">
        <v>4610.04</v>
      </c>
      <c r="J11" s="7">
        <v>435</v>
      </c>
      <c r="K11" s="8">
        <v>4075.95</v>
      </c>
    </row>
    <row r="12" spans="1:11" ht="25.05" customHeight="1" x14ac:dyDescent="0.25">
      <c r="A12" s="6" t="s">
        <v>24</v>
      </c>
      <c r="B12" s="6" t="s">
        <v>12</v>
      </c>
      <c r="C12" s="7">
        <v>85</v>
      </c>
      <c r="D12" s="8">
        <v>11061.05</v>
      </c>
      <c r="E12" s="7">
        <v>0</v>
      </c>
      <c r="F12" s="8">
        <v>0</v>
      </c>
      <c r="G12" s="9" t="s">
        <v>13</v>
      </c>
      <c r="H12" s="7">
        <v>50</v>
      </c>
      <c r="I12" s="8">
        <v>4944.9399999999996</v>
      </c>
      <c r="J12" s="7">
        <v>35</v>
      </c>
      <c r="K12" s="8">
        <v>4554.55</v>
      </c>
    </row>
    <row r="13" spans="1:11" ht="25.05" customHeight="1" x14ac:dyDescent="0.25">
      <c r="A13" s="6" t="s">
        <v>25</v>
      </c>
      <c r="B13" s="6" t="s">
        <v>26</v>
      </c>
      <c r="C13" s="7">
        <v>74</v>
      </c>
      <c r="D13" s="8">
        <v>4275.72</v>
      </c>
      <c r="E13" s="7">
        <v>0</v>
      </c>
      <c r="F13" s="8">
        <v>0</v>
      </c>
      <c r="G13" s="9" t="s">
        <v>13</v>
      </c>
      <c r="H13" s="7">
        <v>21</v>
      </c>
      <c r="I13" s="8">
        <v>1040.04</v>
      </c>
      <c r="J13" s="7">
        <v>54</v>
      </c>
      <c r="K13" s="8">
        <v>3120.12</v>
      </c>
    </row>
    <row r="14" spans="1:11" ht="25.05" customHeight="1" x14ac:dyDescent="0.25">
      <c r="A14" s="6" t="s">
        <v>27</v>
      </c>
      <c r="B14" s="6" t="s">
        <v>26</v>
      </c>
      <c r="C14" s="7">
        <v>49</v>
      </c>
      <c r="D14" s="8">
        <v>5040.1400000000003</v>
      </c>
      <c r="E14" s="7">
        <v>0</v>
      </c>
      <c r="F14" s="8">
        <v>0</v>
      </c>
      <c r="G14" s="9" t="s">
        <v>13</v>
      </c>
      <c r="H14" s="7">
        <v>2</v>
      </c>
      <c r="I14" s="8">
        <v>205.72</v>
      </c>
      <c r="J14" s="7">
        <v>47</v>
      </c>
      <c r="K14" s="8">
        <v>4834.42</v>
      </c>
    </row>
    <row r="15" spans="1:11" ht="25.05" customHeight="1" x14ac:dyDescent="0.25">
      <c r="A15" s="6" t="s">
        <v>28</v>
      </c>
      <c r="B15" s="6" t="s">
        <v>12</v>
      </c>
      <c r="C15" s="7">
        <v>51</v>
      </c>
      <c r="D15" s="8">
        <v>3458.31</v>
      </c>
      <c r="E15" s="7">
        <v>0</v>
      </c>
      <c r="F15" s="8">
        <v>0</v>
      </c>
      <c r="G15" s="9" t="s">
        <v>13</v>
      </c>
      <c r="H15" s="7">
        <v>51</v>
      </c>
      <c r="I15" s="8">
        <v>2915.83</v>
      </c>
      <c r="J15" s="7">
        <v>0</v>
      </c>
      <c r="K15" s="8">
        <v>0</v>
      </c>
    </row>
    <row r="16" spans="1:11" ht="25.05" customHeight="1" x14ac:dyDescent="0.25">
      <c r="A16" s="6" t="s">
        <v>29</v>
      </c>
      <c r="B16" s="6" t="s">
        <v>12</v>
      </c>
      <c r="C16" s="7">
        <v>0</v>
      </c>
      <c r="D16" s="8">
        <v>0</v>
      </c>
      <c r="E16" s="7">
        <v>0</v>
      </c>
      <c r="F16" s="8">
        <v>0</v>
      </c>
      <c r="G16" s="9" t="s">
        <v>13</v>
      </c>
      <c r="H16" s="7">
        <v>0</v>
      </c>
      <c r="I16" s="8">
        <v>0</v>
      </c>
      <c r="J16" s="7">
        <v>0</v>
      </c>
      <c r="K16" s="8">
        <v>0</v>
      </c>
    </row>
    <row r="17" spans="1:11" ht="25.05" customHeight="1" x14ac:dyDescent="0.25">
      <c r="A17" s="6" t="s">
        <v>30</v>
      </c>
      <c r="B17" s="6" t="s">
        <v>31</v>
      </c>
      <c r="C17" s="7">
        <v>0</v>
      </c>
      <c r="D17" s="8">
        <v>0</v>
      </c>
      <c r="E17" s="7">
        <v>0</v>
      </c>
      <c r="F17" s="8">
        <v>0</v>
      </c>
      <c r="G17" s="9" t="s">
        <v>13</v>
      </c>
      <c r="H17" s="7">
        <v>0</v>
      </c>
      <c r="I17" s="8">
        <v>0</v>
      </c>
      <c r="J17" s="7">
        <v>0</v>
      </c>
      <c r="K17" s="8">
        <v>0</v>
      </c>
    </row>
    <row r="18" spans="1:11" ht="25.05" customHeight="1" x14ac:dyDescent="0.25">
      <c r="A18" s="6" t="s">
        <v>32</v>
      </c>
      <c r="B18" s="6" t="s">
        <v>33</v>
      </c>
      <c r="C18" s="7">
        <v>125</v>
      </c>
      <c r="D18" s="8">
        <v>25886.25</v>
      </c>
      <c r="E18" s="7">
        <v>0</v>
      </c>
      <c r="F18" s="8">
        <v>0</v>
      </c>
      <c r="G18" s="9" t="s">
        <v>13</v>
      </c>
      <c r="H18" s="7">
        <v>79</v>
      </c>
      <c r="I18" s="8">
        <v>14496.3</v>
      </c>
      <c r="J18" s="7">
        <v>46</v>
      </c>
      <c r="K18" s="8">
        <v>9526.14</v>
      </c>
    </row>
    <row r="19" spans="1:11" ht="25.05" customHeight="1" x14ac:dyDescent="0.25">
      <c r="A19" s="6" t="s">
        <v>34</v>
      </c>
      <c r="B19" s="6" t="s">
        <v>35</v>
      </c>
      <c r="C19" s="7">
        <v>145</v>
      </c>
      <c r="D19" s="8">
        <v>14917.6</v>
      </c>
      <c r="E19" s="7">
        <v>78</v>
      </c>
      <c r="F19" s="8">
        <v>5555.4</v>
      </c>
      <c r="G19" s="9" t="s">
        <v>13</v>
      </c>
      <c r="H19" s="7">
        <v>140</v>
      </c>
      <c r="I19" s="8">
        <v>13168.64</v>
      </c>
      <c r="J19" s="7">
        <v>83</v>
      </c>
      <c r="K19" s="8">
        <v>8539.0400000000009</v>
      </c>
    </row>
    <row r="20" spans="1:11" ht="25.05" customHeight="1" x14ac:dyDescent="0.25">
      <c r="A20" s="6" t="s">
        <v>36</v>
      </c>
      <c r="B20" s="6" t="s">
        <v>37</v>
      </c>
      <c r="C20" s="7">
        <v>77</v>
      </c>
      <c r="D20" s="8">
        <v>15608.67</v>
      </c>
      <c r="E20" s="7">
        <v>0</v>
      </c>
      <c r="F20" s="8">
        <v>0</v>
      </c>
      <c r="G20" s="9" t="s">
        <v>13</v>
      </c>
      <c r="H20" s="7">
        <v>19</v>
      </c>
      <c r="I20" s="8">
        <v>3851.49</v>
      </c>
      <c r="J20" s="7">
        <v>58</v>
      </c>
      <c r="K20" s="8">
        <v>11757.18</v>
      </c>
    </row>
    <row r="21" spans="1:11" ht="25.05" customHeight="1" x14ac:dyDescent="0.25">
      <c r="A21" s="6" t="s">
        <v>38</v>
      </c>
      <c r="B21" s="6" t="s">
        <v>33</v>
      </c>
      <c r="C21" s="7">
        <v>31</v>
      </c>
      <c r="D21" s="8">
        <v>3202.61</v>
      </c>
      <c r="E21" s="7">
        <v>130</v>
      </c>
      <c r="F21" s="8">
        <v>9298</v>
      </c>
      <c r="G21" s="9" t="s">
        <v>13</v>
      </c>
      <c r="H21" s="7">
        <v>45</v>
      </c>
      <c r="I21" s="8">
        <v>3822.47</v>
      </c>
      <c r="J21" s="7">
        <v>116</v>
      </c>
      <c r="K21" s="8">
        <v>11983.96</v>
      </c>
    </row>
    <row r="22" spans="1:11" ht="25.05" customHeight="1" x14ac:dyDescent="0.25">
      <c r="A22" s="6" t="s">
        <v>39</v>
      </c>
      <c r="B22" s="6" t="s">
        <v>12</v>
      </c>
      <c r="C22" s="7">
        <v>409</v>
      </c>
      <c r="D22" s="8">
        <v>46274.26</v>
      </c>
      <c r="E22" s="7">
        <v>120</v>
      </c>
      <c r="F22" s="8">
        <v>10183</v>
      </c>
      <c r="G22" s="9" t="s">
        <v>13</v>
      </c>
      <c r="H22" s="7">
        <v>307</v>
      </c>
      <c r="I22" s="8">
        <v>29755.82</v>
      </c>
      <c r="J22" s="7">
        <v>224</v>
      </c>
      <c r="K22" s="8">
        <v>25343.360000000001</v>
      </c>
    </row>
    <row r="23" spans="1:11" ht="25.05" customHeight="1" x14ac:dyDescent="0.25">
      <c r="A23" s="6" t="s">
        <v>40</v>
      </c>
      <c r="B23" s="6" t="s">
        <v>33</v>
      </c>
      <c r="C23" s="7">
        <v>52</v>
      </c>
      <c r="D23" s="8">
        <v>3090.36</v>
      </c>
      <c r="E23" s="7">
        <v>0</v>
      </c>
      <c r="F23" s="8">
        <v>0</v>
      </c>
      <c r="G23" s="9" t="s">
        <v>13</v>
      </c>
      <c r="H23" s="7">
        <v>22</v>
      </c>
      <c r="I23" s="8">
        <v>1129.17</v>
      </c>
      <c r="J23" s="7">
        <v>30</v>
      </c>
      <c r="K23" s="8">
        <v>1782.9</v>
      </c>
    </row>
    <row r="24" spans="1:11" ht="25.05" customHeight="1" x14ac:dyDescent="0.25">
      <c r="A24" s="6" t="s">
        <v>41</v>
      </c>
      <c r="B24" s="6" t="s">
        <v>12</v>
      </c>
      <c r="C24" s="7">
        <v>65</v>
      </c>
      <c r="D24" s="8">
        <v>7656.35</v>
      </c>
      <c r="E24" s="7">
        <v>0</v>
      </c>
      <c r="F24" s="8">
        <v>0</v>
      </c>
      <c r="G24" s="9" t="s">
        <v>13</v>
      </c>
      <c r="H24" s="7">
        <v>19</v>
      </c>
      <c r="I24" s="8">
        <v>2238.0100000000002</v>
      </c>
      <c r="J24" s="7">
        <v>46</v>
      </c>
      <c r="K24" s="8">
        <v>5418.34</v>
      </c>
    </row>
    <row r="25" spans="1:11" ht="25.05" customHeight="1" x14ac:dyDescent="0.25">
      <c r="A25" s="6" t="s">
        <v>42</v>
      </c>
      <c r="B25" s="6" t="s">
        <v>33</v>
      </c>
      <c r="C25" s="7">
        <v>63</v>
      </c>
      <c r="D25" s="8">
        <v>8164.8</v>
      </c>
      <c r="E25" s="7">
        <v>0</v>
      </c>
      <c r="F25" s="8">
        <v>0</v>
      </c>
      <c r="G25" s="9" t="s">
        <v>13</v>
      </c>
      <c r="H25" s="7">
        <v>26</v>
      </c>
      <c r="I25" s="8">
        <v>2851.2</v>
      </c>
      <c r="J25" s="7">
        <v>37</v>
      </c>
      <c r="K25" s="8">
        <v>4795.2</v>
      </c>
    </row>
    <row r="26" spans="1:11" ht="25.05" customHeight="1" x14ac:dyDescent="0.25">
      <c r="A26" s="6" t="s">
        <v>43</v>
      </c>
      <c r="B26" s="6" t="s">
        <v>12</v>
      </c>
      <c r="C26" s="7">
        <v>45</v>
      </c>
      <c r="D26" s="8">
        <v>11506.5</v>
      </c>
      <c r="E26" s="7">
        <v>120</v>
      </c>
      <c r="F26" s="8">
        <v>23012.99</v>
      </c>
      <c r="G26" s="9" t="s">
        <v>13</v>
      </c>
      <c r="H26" s="7">
        <v>49</v>
      </c>
      <c r="I26" s="8">
        <v>11506.5</v>
      </c>
      <c r="J26" s="7">
        <v>116</v>
      </c>
      <c r="K26" s="8">
        <v>29661.200000000001</v>
      </c>
    </row>
    <row r="27" spans="1:11" ht="25.05" customHeight="1" x14ac:dyDescent="0.25">
      <c r="A27" s="6" t="s">
        <v>44</v>
      </c>
      <c r="B27" s="6" t="s">
        <v>33</v>
      </c>
      <c r="C27" s="7">
        <v>33</v>
      </c>
      <c r="D27" s="8">
        <v>2944.26</v>
      </c>
      <c r="E27" s="7">
        <v>0</v>
      </c>
      <c r="F27" s="8">
        <v>0</v>
      </c>
      <c r="G27" s="9" t="s">
        <v>13</v>
      </c>
      <c r="H27" s="7">
        <v>13</v>
      </c>
      <c r="I27" s="8">
        <v>1070.6400000000001</v>
      </c>
      <c r="J27" s="7">
        <v>20</v>
      </c>
      <c r="K27" s="8">
        <v>1784.4</v>
      </c>
    </row>
    <row r="28" spans="1:11" ht="25.05" customHeight="1" x14ac:dyDescent="0.25">
      <c r="A28" s="6" t="s">
        <v>45</v>
      </c>
      <c r="B28" s="6" t="s">
        <v>46</v>
      </c>
      <c r="C28" s="7">
        <v>37</v>
      </c>
      <c r="D28" s="8">
        <v>2145.2600000000002</v>
      </c>
      <c r="E28" s="7">
        <v>0</v>
      </c>
      <c r="F28" s="8">
        <v>0</v>
      </c>
      <c r="G28" s="9" t="s">
        <v>13</v>
      </c>
      <c r="H28" s="7">
        <v>10</v>
      </c>
      <c r="I28" s="8">
        <v>579.79999999999995</v>
      </c>
      <c r="J28" s="7">
        <v>27</v>
      </c>
      <c r="K28" s="8">
        <v>1565.46</v>
      </c>
    </row>
    <row r="29" spans="1:11" ht="25.05" customHeight="1" x14ac:dyDescent="0.25">
      <c r="A29" s="6" t="s">
        <v>47</v>
      </c>
      <c r="B29" s="6" t="s">
        <v>12</v>
      </c>
      <c r="C29" s="7">
        <v>71</v>
      </c>
      <c r="D29" s="8">
        <v>7451.45</v>
      </c>
      <c r="E29" s="7">
        <v>55</v>
      </c>
      <c r="F29" s="8">
        <v>4723.04</v>
      </c>
      <c r="G29" s="9" t="s">
        <v>13</v>
      </c>
      <c r="H29" s="7">
        <v>67</v>
      </c>
      <c r="I29" s="8">
        <v>6611.85</v>
      </c>
      <c r="J29" s="7">
        <v>59</v>
      </c>
      <c r="K29" s="8">
        <v>6192.05</v>
      </c>
    </row>
    <row r="30" spans="1:11" ht="25.05" customHeight="1" x14ac:dyDescent="0.25">
      <c r="A30" s="6" t="s">
        <v>48</v>
      </c>
      <c r="B30" s="6" t="s">
        <v>49</v>
      </c>
      <c r="C30" s="7">
        <v>68</v>
      </c>
      <c r="D30" s="8">
        <v>5388.32</v>
      </c>
      <c r="E30" s="7">
        <v>225</v>
      </c>
      <c r="F30" s="8">
        <v>10696.5</v>
      </c>
      <c r="G30" s="9" t="s">
        <v>13</v>
      </c>
      <c r="H30" s="7">
        <v>115</v>
      </c>
      <c r="I30" s="8">
        <v>7924</v>
      </c>
      <c r="J30" s="7">
        <v>178</v>
      </c>
      <c r="K30" s="8">
        <v>14104.72</v>
      </c>
    </row>
    <row r="31" spans="1:11" ht="25.05" customHeight="1" x14ac:dyDescent="0.25">
      <c r="A31" s="6" t="s">
        <v>50</v>
      </c>
      <c r="B31" s="6" t="s">
        <v>12</v>
      </c>
      <c r="C31" s="7">
        <v>180</v>
      </c>
      <c r="D31" s="8">
        <v>12835.8</v>
      </c>
      <c r="E31" s="7">
        <v>300</v>
      </c>
      <c r="F31" s="8">
        <v>12836</v>
      </c>
      <c r="G31" s="9" t="s">
        <v>13</v>
      </c>
      <c r="H31" s="7">
        <v>290</v>
      </c>
      <c r="I31" s="8">
        <v>15759.51</v>
      </c>
      <c r="J31" s="7">
        <v>190</v>
      </c>
      <c r="K31" s="8">
        <v>13548.9</v>
      </c>
    </row>
    <row r="32" spans="1:11" ht="25.05" customHeight="1" x14ac:dyDescent="0.25">
      <c r="A32" s="6" t="s">
        <v>51</v>
      </c>
      <c r="B32" s="6" t="s">
        <v>52</v>
      </c>
      <c r="C32" s="7">
        <v>1719</v>
      </c>
      <c r="D32" s="8">
        <v>20043.54</v>
      </c>
      <c r="E32" s="7">
        <v>600</v>
      </c>
      <c r="F32" s="8">
        <v>6296.4</v>
      </c>
      <c r="G32" s="9" t="s">
        <v>13</v>
      </c>
      <c r="H32" s="7">
        <v>1311</v>
      </c>
      <c r="I32" s="8">
        <v>15286.26</v>
      </c>
      <c r="J32" s="7">
        <v>1098</v>
      </c>
      <c r="K32" s="8">
        <v>12802.68</v>
      </c>
    </row>
    <row r="33" spans="1:11" ht="25.05" customHeight="1" x14ac:dyDescent="0.25">
      <c r="A33" s="6" t="s">
        <v>53</v>
      </c>
      <c r="B33" s="6" t="s">
        <v>12</v>
      </c>
      <c r="C33" s="7">
        <v>218</v>
      </c>
      <c r="D33" s="8">
        <v>24581.68</v>
      </c>
      <c r="E33" s="7">
        <v>280</v>
      </c>
      <c r="F33" s="8">
        <v>20298.009999999998</v>
      </c>
      <c r="G33" s="9" t="s">
        <v>13</v>
      </c>
      <c r="H33" s="7">
        <v>398</v>
      </c>
      <c r="I33" s="8">
        <v>40706.36</v>
      </c>
      <c r="J33" s="7">
        <v>100</v>
      </c>
      <c r="K33" s="8">
        <v>11276</v>
      </c>
    </row>
    <row r="34" spans="1:11" ht="25.05" customHeight="1" x14ac:dyDescent="0.25">
      <c r="A34" s="6" t="s">
        <v>54</v>
      </c>
      <c r="B34" s="6" t="s">
        <v>12</v>
      </c>
      <c r="C34" s="7">
        <v>17</v>
      </c>
      <c r="D34" s="8">
        <v>979.2</v>
      </c>
      <c r="E34" s="7">
        <v>10</v>
      </c>
      <c r="F34" s="8">
        <v>518.4</v>
      </c>
      <c r="G34" s="9" t="s">
        <v>13</v>
      </c>
      <c r="H34" s="7">
        <v>9</v>
      </c>
      <c r="I34" s="8">
        <v>518.4</v>
      </c>
      <c r="J34" s="7">
        <v>18</v>
      </c>
      <c r="K34" s="8">
        <v>1036.8</v>
      </c>
    </row>
    <row r="35" spans="1:11" ht="25.05" customHeight="1" x14ac:dyDescent="0.25">
      <c r="A35" s="6" t="s">
        <v>55</v>
      </c>
      <c r="B35" s="6" t="s">
        <v>12</v>
      </c>
      <c r="C35" s="7">
        <v>127</v>
      </c>
      <c r="D35" s="8">
        <v>9410.7000000000007</v>
      </c>
      <c r="E35" s="7">
        <v>110</v>
      </c>
      <c r="F35" s="8">
        <v>6669</v>
      </c>
      <c r="G35" s="9" t="s">
        <v>13</v>
      </c>
      <c r="H35" s="7">
        <v>116</v>
      </c>
      <c r="I35" s="8">
        <v>8151</v>
      </c>
      <c r="J35" s="7">
        <v>121</v>
      </c>
      <c r="K35" s="8">
        <v>8966.1</v>
      </c>
    </row>
    <row r="36" spans="1:11" ht="25.05" customHeight="1" x14ac:dyDescent="0.25">
      <c r="A36" s="10" t="s">
        <v>56</v>
      </c>
      <c r="B36" s="11"/>
      <c r="C36" s="11"/>
      <c r="D36" s="10" t="s">
        <v>57</v>
      </c>
      <c r="E36" s="11"/>
      <c r="F36" s="10" t="s">
        <v>58</v>
      </c>
      <c r="G36" s="11"/>
      <c r="H36" s="12"/>
      <c r="I36" s="13" cm="1">
        <f t="array" ref="I36">SUM(I3:I35)</f>
        <v>221590.79</v>
      </c>
      <c r="J36" s="14"/>
      <c r="K36" s="13" cm="1">
        <f t="array" ref="K36">SUM(K3:K35)</f>
        <v>224941.68999999994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2026-06-03T04:17:22Z</dcterms:modified>
</cp:coreProperties>
</file>