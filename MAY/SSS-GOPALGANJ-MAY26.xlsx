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6-27\STOCK STATEMENT\MAY26\"/>
    </mc:Choice>
  </mc:AlternateContent>
  <bookViews>
    <workbookView xWindow="0" yWindow="0" windowWidth="20490" windowHeight="7620"/>
  </bookViews>
  <sheets>
    <sheet name="MAY'26" sheetId="1" r:id="rId1"/>
  </sheets>
  <calcPr calcId="162913"/>
</workbook>
</file>

<file path=xl/calcChain.xml><?xml version="1.0" encoding="utf-8"?>
<calcChain xmlns="http://schemas.openxmlformats.org/spreadsheetml/2006/main">
  <c r="J64" i="1" l="1"/>
  <c r="O945" i="1"/>
  <c r="I945" i="1"/>
  <c r="K945" i="1" s="1"/>
  <c r="H945" i="1"/>
  <c r="G945" i="1"/>
  <c r="F945" i="1"/>
  <c r="E945" i="1"/>
  <c r="M945" i="1" s="1"/>
  <c r="D945" i="1"/>
  <c r="L945" i="1" s="1"/>
  <c r="P944" i="1"/>
  <c r="I944" i="1"/>
  <c r="K944" i="1" s="1"/>
  <c r="H944" i="1"/>
  <c r="G944" i="1"/>
  <c r="F944" i="1"/>
  <c r="O944" i="1" s="1"/>
  <c r="E944" i="1"/>
  <c r="D944" i="1"/>
  <c r="N944" i="1" s="1"/>
  <c r="O943" i="1"/>
  <c r="I943" i="1"/>
  <c r="K943" i="1" s="1"/>
  <c r="H943" i="1"/>
  <c r="G943" i="1"/>
  <c r="F943" i="1"/>
  <c r="E943" i="1"/>
  <c r="M943" i="1" s="1"/>
  <c r="D943" i="1"/>
  <c r="L943" i="1" s="1"/>
  <c r="P942" i="1"/>
  <c r="I942" i="1"/>
  <c r="K942" i="1" s="1"/>
  <c r="H942" i="1"/>
  <c r="G942" i="1"/>
  <c r="F942" i="1"/>
  <c r="O942" i="1" s="1"/>
  <c r="E942" i="1"/>
  <c r="D942" i="1"/>
  <c r="N942" i="1" s="1"/>
  <c r="O941" i="1"/>
  <c r="I941" i="1"/>
  <c r="K941" i="1" s="1"/>
  <c r="H941" i="1"/>
  <c r="G941" i="1"/>
  <c r="F941" i="1"/>
  <c r="E941" i="1"/>
  <c r="M941" i="1" s="1"/>
  <c r="D941" i="1"/>
  <c r="L941" i="1" s="1"/>
  <c r="P940" i="1"/>
  <c r="I940" i="1"/>
  <c r="K940" i="1" s="1"/>
  <c r="H940" i="1"/>
  <c r="G940" i="1"/>
  <c r="F940" i="1"/>
  <c r="O940" i="1" s="1"/>
  <c r="E940" i="1"/>
  <c r="D940" i="1"/>
  <c r="N940" i="1" s="1"/>
  <c r="O939" i="1"/>
  <c r="I939" i="1"/>
  <c r="K939" i="1" s="1"/>
  <c r="H939" i="1"/>
  <c r="G939" i="1"/>
  <c r="F939" i="1"/>
  <c r="E939" i="1"/>
  <c r="M939" i="1" s="1"/>
  <c r="D939" i="1"/>
  <c r="L939" i="1" s="1"/>
  <c r="P938" i="1"/>
  <c r="I938" i="1"/>
  <c r="K938" i="1" s="1"/>
  <c r="H938" i="1"/>
  <c r="G938" i="1"/>
  <c r="F938" i="1"/>
  <c r="O938" i="1" s="1"/>
  <c r="E938" i="1"/>
  <c r="D938" i="1"/>
  <c r="N938" i="1" s="1"/>
  <c r="O937" i="1"/>
  <c r="I937" i="1"/>
  <c r="K937" i="1" s="1"/>
  <c r="H937" i="1"/>
  <c r="G937" i="1"/>
  <c r="F937" i="1"/>
  <c r="E937" i="1"/>
  <c r="M937" i="1" s="1"/>
  <c r="D937" i="1"/>
  <c r="L937" i="1" s="1"/>
  <c r="P936" i="1"/>
  <c r="I936" i="1"/>
  <c r="K936" i="1" s="1"/>
  <c r="H936" i="1"/>
  <c r="G936" i="1"/>
  <c r="F936" i="1"/>
  <c r="O936" i="1" s="1"/>
  <c r="E936" i="1"/>
  <c r="D936" i="1"/>
  <c r="N936" i="1" s="1"/>
  <c r="O935" i="1"/>
  <c r="I935" i="1"/>
  <c r="K935" i="1" s="1"/>
  <c r="H935" i="1"/>
  <c r="G935" i="1"/>
  <c r="F935" i="1"/>
  <c r="E935" i="1"/>
  <c r="M935" i="1" s="1"/>
  <c r="D935" i="1"/>
  <c r="L935" i="1" s="1"/>
  <c r="P934" i="1"/>
  <c r="I934" i="1"/>
  <c r="K934" i="1" s="1"/>
  <c r="H934" i="1"/>
  <c r="G934" i="1"/>
  <c r="F934" i="1"/>
  <c r="O934" i="1" s="1"/>
  <c r="E934" i="1"/>
  <c r="D934" i="1"/>
  <c r="N934" i="1" s="1"/>
  <c r="O933" i="1"/>
  <c r="I933" i="1"/>
  <c r="K933" i="1" s="1"/>
  <c r="H933" i="1"/>
  <c r="G933" i="1"/>
  <c r="F933" i="1"/>
  <c r="E933" i="1"/>
  <c r="M933" i="1" s="1"/>
  <c r="D933" i="1"/>
  <c r="L933" i="1" s="1"/>
  <c r="I932" i="1"/>
  <c r="K932" i="1" s="1"/>
  <c r="H932" i="1"/>
  <c r="G932" i="1"/>
  <c r="F932" i="1"/>
  <c r="O932" i="1" s="1"/>
  <c r="E932" i="1"/>
  <c r="D932" i="1"/>
  <c r="O931" i="1"/>
  <c r="I931" i="1"/>
  <c r="K931" i="1" s="1"/>
  <c r="H931" i="1"/>
  <c r="G931" i="1"/>
  <c r="F931" i="1"/>
  <c r="E931" i="1"/>
  <c r="M931" i="1" s="1"/>
  <c r="D931" i="1"/>
  <c r="L931" i="1" s="1"/>
  <c r="I930" i="1"/>
  <c r="H930" i="1"/>
  <c r="G930" i="1"/>
  <c r="F930" i="1"/>
  <c r="O930" i="1" s="1"/>
  <c r="E930" i="1"/>
  <c r="D930" i="1"/>
  <c r="O929" i="1"/>
  <c r="I929" i="1"/>
  <c r="K929" i="1" s="1"/>
  <c r="H929" i="1"/>
  <c r="G929" i="1"/>
  <c r="F929" i="1"/>
  <c r="E929" i="1"/>
  <c r="M929" i="1" s="1"/>
  <c r="D929" i="1"/>
  <c r="L929" i="1" s="1"/>
  <c r="I928" i="1"/>
  <c r="K928" i="1" s="1"/>
  <c r="H928" i="1"/>
  <c r="G928" i="1"/>
  <c r="F928" i="1"/>
  <c r="O928" i="1" s="1"/>
  <c r="E928" i="1"/>
  <c r="D928" i="1"/>
  <c r="O927" i="1"/>
  <c r="I927" i="1"/>
  <c r="H927" i="1"/>
  <c r="G927" i="1"/>
  <c r="F927" i="1"/>
  <c r="E927" i="1"/>
  <c r="D927" i="1"/>
  <c r="L927" i="1" s="1"/>
  <c r="I926" i="1"/>
  <c r="H926" i="1"/>
  <c r="G926" i="1"/>
  <c r="F926" i="1"/>
  <c r="O926" i="1" s="1"/>
  <c r="E926" i="1"/>
  <c r="D926" i="1"/>
  <c r="O925" i="1"/>
  <c r="I925" i="1"/>
  <c r="K925" i="1" s="1"/>
  <c r="H925" i="1"/>
  <c r="G925" i="1"/>
  <c r="F925" i="1"/>
  <c r="E925" i="1"/>
  <c r="M925" i="1" s="1"/>
  <c r="D925" i="1"/>
  <c r="L925" i="1" s="1"/>
  <c r="I924" i="1"/>
  <c r="K924" i="1" s="1"/>
  <c r="H924" i="1"/>
  <c r="G924" i="1"/>
  <c r="F924" i="1"/>
  <c r="O924" i="1" s="1"/>
  <c r="E924" i="1"/>
  <c r="D924" i="1"/>
  <c r="O923" i="1"/>
  <c r="I923" i="1"/>
  <c r="H923" i="1"/>
  <c r="G923" i="1"/>
  <c r="F923" i="1"/>
  <c r="E923" i="1"/>
  <c r="D923" i="1"/>
  <c r="L923" i="1" s="1"/>
  <c r="I922" i="1"/>
  <c r="H922" i="1"/>
  <c r="G922" i="1"/>
  <c r="F922" i="1"/>
  <c r="O922" i="1" s="1"/>
  <c r="E922" i="1"/>
  <c r="D922" i="1"/>
  <c r="O921" i="1"/>
  <c r="I921" i="1"/>
  <c r="K921" i="1" s="1"/>
  <c r="H921" i="1"/>
  <c r="G921" i="1"/>
  <c r="F921" i="1"/>
  <c r="E921" i="1"/>
  <c r="M921" i="1" s="1"/>
  <c r="D921" i="1"/>
  <c r="L921" i="1" s="1"/>
  <c r="I920" i="1"/>
  <c r="K920" i="1" s="1"/>
  <c r="H920" i="1"/>
  <c r="G920" i="1"/>
  <c r="F920" i="1"/>
  <c r="O920" i="1" s="1"/>
  <c r="E920" i="1"/>
  <c r="D920" i="1"/>
  <c r="O919" i="1"/>
  <c r="I919" i="1"/>
  <c r="H919" i="1"/>
  <c r="G919" i="1"/>
  <c r="F919" i="1"/>
  <c r="E919" i="1"/>
  <c r="D919" i="1"/>
  <c r="L919" i="1" s="1"/>
  <c r="I918" i="1"/>
  <c r="H918" i="1"/>
  <c r="G918" i="1"/>
  <c r="F918" i="1"/>
  <c r="O918" i="1" s="1"/>
  <c r="E918" i="1"/>
  <c r="D918" i="1"/>
  <c r="O917" i="1"/>
  <c r="I917" i="1"/>
  <c r="K917" i="1" s="1"/>
  <c r="H917" i="1"/>
  <c r="G917" i="1"/>
  <c r="F917" i="1"/>
  <c r="E917" i="1"/>
  <c r="M917" i="1" s="1"/>
  <c r="D917" i="1"/>
  <c r="L917" i="1" s="1"/>
  <c r="I916" i="1"/>
  <c r="K916" i="1" s="1"/>
  <c r="H916" i="1"/>
  <c r="G916" i="1"/>
  <c r="F916" i="1"/>
  <c r="O916" i="1" s="1"/>
  <c r="E916" i="1"/>
  <c r="D916" i="1"/>
  <c r="O915" i="1"/>
  <c r="I915" i="1"/>
  <c r="H915" i="1"/>
  <c r="G915" i="1"/>
  <c r="F915" i="1"/>
  <c r="E915" i="1"/>
  <c r="D915" i="1"/>
  <c r="L915" i="1" s="1"/>
  <c r="I914" i="1"/>
  <c r="H914" i="1"/>
  <c r="G914" i="1"/>
  <c r="F914" i="1"/>
  <c r="O914" i="1" s="1"/>
  <c r="E914" i="1"/>
  <c r="D914" i="1"/>
  <c r="O913" i="1"/>
  <c r="I913" i="1"/>
  <c r="K913" i="1" s="1"/>
  <c r="H913" i="1"/>
  <c r="G913" i="1"/>
  <c r="F913" i="1"/>
  <c r="E913" i="1"/>
  <c r="M913" i="1" s="1"/>
  <c r="D913" i="1"/>
  <c r="L913" i="1" s="1"/>
  <c r="I912" i="1"/>
  <c r="K912" i="1" s="1"/>
  <c r="H912" i="1"/>
  <c r="G912" i="1"/>
  <c r="F912" i="1"/>
  <c r="O912" i="1" s="1"/>
  <c r="E912" i="1"/>
  <c r="D912" i="1"/>
  <c r="O911" i="1"/>
  <c r="I911" i="1"/>
  <c r="H911" i="1"/>
  <c r="G911" i="1"/>
  <c r="F911" i="1"/>
  <c r="E911" i="1"/>
  <c r="D911" i="1"/>
  <c r="L911" i="1" s="1"/>
  <c r="I910" i="1"/>
  <c r="H910" i="1"/>
  <c r="G910" i="1"/>
  <c r="F910" i="1"/>
  <c r="O910" i="1" s="1"/>
  <c r="E910" i="1"/>
  <c r="D910" i="1"/>
  <c r="O909" i="1"/>
  <c r="I909" i="1"/>
  <c r="K909" i="1" s="1"/>
  <c r="H909" i="1"/>
  <c r="G909" i="1"/>
  <c r="F909" i="1"/>
  <c r="E909" i="1"/>
  <c r="M909" i="1" s="1"/>
  <c r="D909" i="1"/>
  <c r="L909" i="1" s="1"/>
  <c r="I908" i="1"/>
  <c r="K908" i="1" s="1"/>
  <c r="H908" i="1"/>
  <c r="G908" i="1"/>
  <c r="F908" i="1"/>
  <c r="O908" i="1" s="1"/>
  <c r="E908" i="1"/>
  <c r="D908" i="1"/>
  <c r="O907" i="1"/>
  <c r="I907" i="1"/>
  <c r="H907" i="1"/>
  <c r="G907" i="1"/>
  <c r="F907" i="1"/>
  <c r="E907" i="1"/>
  <c r="D907" i="1"/>
  <c r="L907" i="1" s="1"/>
  <c r="I906" i="1"/>
  <c r="H906" i="1"/>
  <c r="G906" i="1"/>
  <c r="F906" i="1"/>
  <c r="O906" i="1" s="1"/>
  <c r="E906" i="1"/>
  <c r="D906" i="1"/>
  <c r="O905" i="1"/>
  <c r="I905" i="1"/>
  <c r="K905" i="1" s="1"/>
  <c r="H905" i="1"/>
  <c r="G905" i="1"/>
  <c r="F905" i="1"/>
  <c r="E905" i="1"/>
  <c r="M905" i="1" s="1"/>
  <c r="D905" i="1"/>
  <c r="L905" i="1" s="1"/>
  <c r="I904" i="1"/>
  <c r="K904" i="1" s="1"/>
  <c r="H904" i="1"/>
  <c r="G904" i="1"/>
  <c r="F904" i="1"/>
  <c r="O904" i="1" s="1"/>
  <c r="E904" i="1"/>
  <c r="D904" i="1"/>
  <c r="O903" i="1"/>
  <c r="I903" i="1"/>
  <c r="H903" i="1"/>
  <c r="G903" i="1"/>
  <c r="F903" i="1"/>
  <c r="E903" i="1"/>
  <c r="D903" i="1"/>
  <c r="L903" i="1" s="1"/>
  <c r="I902" i="1"/>
  <c r="H902" i="1"/>
  <c r="G902" i="1"/>
  <c r="F902" i="1"/>
  <c r="O902" i="1" s="1"/>
  <c r="E902" i="1"/>
  <c r="D902" i="1"/>
  <c r="O901" i="1"/>
  <c r="I901" i="1"/>
  <c r="K901" i="1" s="1"/>
  <c r="H901" i="1"/>
  <c r="G901" i="1"/>
  <c r="F901" i="1"/>
  <c r="E901" i="1"/>
  <c r="M901" i="1" s="1"/>
  <c r="D901" i="1"/>
  <c r="L901" i="1" s="1"/>
  <c r="I900" i="1"/>
  <c r="K900" i="1" s="1"/>
  <c r="H900" i="1"/>
  <c r="G900" i="1"/>
  <c r="F900" i="1"/>
  <c r="O900" i="1" s="1"/>
  <c r="E900" i="1"/>
  <c r="D900" i="1"/>
  <c r="O899" i="1"/>
  <c r="I899" i="1"/>
  <c r="H899" i="1"/>
  <c r="G899" i="1"/>
  <c r="F899" i="1"/>
  <c r="E899" i="1"/>
  <c r="D899" i="1"/>
  <c r="L899" i="1" s="1"/>
  <c r="I898" i="1"/>
  <c r="H898" i="1"/>
  <c r="G898" i="1"/>
  <c r="F898" i="1"/>
  <c r="O898" i="1" s="1"/>
  <c r="E898" i="1"/>
  <c r="D898" i="1"/>
  <c r="O897" i="1"/>
  <c r="I897" i="1"/>
  <c r="K897" i="1" s="1"/>
  <c r="H897" i="1"/>
  <c r="G897" i="1"/>
  <c r="F897" i="1"/>
  <c r="E897" i="1"/>
  <c r="M897" i="1" s="1"/>
  <c r="D897" i="1"/>
  <c r="L897" i="1" s="1"/>
  <c r="I896" i="1"/>
  <c r="K896" i="1" s="1"/>
  <c r="H896" i="1"/>
  <c r="G896" i="1"/>
  <c r="F896" i="1"/>
  <c r="O896" i="1" s="1"/>
  <c r="E896" i="1"/>
  <c r="D896" i="1"/>
  <c r="O895" i="1"/>
  <c r="I895" i="1"/>
  <c r="H895" i="1"/>
  <c r="G895" i="1"/>
  <c r="F895" i="1"/>
  <c r="E895" i="1"/>
  <c r="D895" i="1"/>
  <c r="L895" i="1" s="1"/>
  <c r="I894" i="1"/>
  <c r="H894" i="1"/>
  <c r="G894" i="1"/>
  <c r="F894" i="1"/>
  <c r="O894" i="1" s="1"/>
  <c r="E894" i="1"/>
  <c r="D894" i="1"/>
  <c r="O893" i="1"/>
  <c r="I893" i="1"/>
  <c r="K893" i="1" s="1"/>
  <c r="H893" i="1"/>
  <c r="G893" i="1"/>
  <c r="F893" i="1"/>
  <c r="E893" i="1"/>
  <c r="M893" i="1" s="1"/>
  <c r="D893" i="1"/>
  <c r="L893" i="1" s="1"/>
  <c r="I892" i="1"/>
  <c r="K892" i="1" s="1"/>
  <c r="H892" i="1"/>
  <c r="G892" i="1"/>
  <c r="F892" i="1"/>
  <c r="O892" i="1" s="1"/>
  <c r="E892" i="1"/>
  <c r="D892" i="1"/>
  <c r="O891" i="1"/>
  <c r="I891" i="1"/>
  <c r="H891" i="1"/>
  <c r="G891" i="1"/>
  <c r="F891" i="1"/>
  <c r="E891" i="1"/>
  <c r="D891" i="1"/>
  <c r="L891" i="1" s="1"/>
  <c r="I890" i="1"/>
  <c r="P890" i="1" s="1"/>
  <c r="H890" i="1"/>
  <c r="H946" i="1" s="1"/>
  <c r="G890" i="1"/>
  <c r="G946" i="1" s="1"/>
  <c r="F890" i="1"/>
  <c r="F946" i="1" s="1"/>
  <c r="O946" i="1" s="1"/>
  <c r="E890" i="1"/>
  <c r="E946" i="1" s="1"/>
  <c r="D890" i="1"/>
  <c r="D946" i="1" s="1"/>
  <c r="O887" i="1"/>
  <c r="I887" i="1"/>
  <c r="K887" i="1" s="1"/>
  <c r="H887" i="1"/>
  <c r="G887" i="1"/>
  <c r="F887" i="1"/>
  <c r="E887" i="1"/>
  <c r="M887" i="1" s="1"/>
  <c r="D887" i="1"/>
  <c r="L887" i="1" s="1"/>
  <c r="P886" i="1"/>
  <c r="O886" i="1"/>
  <c r="N886" i="1"/>
  <c r="M886" i="1"/>
  <c r="L886" i="1"/>
  <c r="K886" i="1"/>
  <c r="J886" i="1"/>
  <c r="P885" i="1"/>
  <c r="O885" i="1"/>
  <c r="N885" i="1"/>
  <c r="M885" i="1"/>
  <c r="L885" i="1"/>
  <c r="K885" i="1"/>
  <c r="J885" i="1"/>
  <c r="P884" i="1"/>
  <c r="O884" i="1"/>
  <c r="N884" i="1"/>
  <c r="M884" i="1"/>
  <c r="L884" i="1"/>
  <c r="K884" i="1"/>
  <c r="J884" i="1"/>
  <c r="P883" i="1"/>
  <c r="O883" i="1"/>
  <c r="N883" i="1"/>
  <c r="M883" i="1"/>
  <c r="L883" i="1"/>
  <c r="K883" i="1"/>
  <c r="J883" i="1"/>
  <c r="P882" i="1"/>
  <c r="O882" i="1"/>
  <c r="N882" i="1"/>
  <c r="M882" i="1"/>
  <c r="L882" i="1"/>
  <c r="K882" i="1"/>
  <c r="J882" i="1"/>
  <c r="P881" i="1"/>
  <c r="O881" i="1"/>
  <c r="N881" i="1"/>
  <c r="M881" i="1"/>
  <c r="L881" i="1"/>
  <c r="K881" i="1"/>
  <c r="J881" i="1"/>
  <c r="P880" i="1"/>
  <c r="O880" i="1"/>
  <c r="N880" i="1"/>
  <c r="M880" i="1"/>
  <c r="L880" i="1"/>
  <c r="K880" i="1"/>
  <c r="J880" i="1"/>
  <c r="P879" i="1"/>
  <c r="O879" i="1"/>
  <c r="N879" i="1"/>
  <c r="M879" i="1"/>
  <c r="L879" i="1"/>
  <c r="K879" i="1"/>
  <c r="J879" i="1"/>
  <c r="P878" i="1"/>
  <c r="O878" i="1"/>
  <c r="N878" i="1"/>
  <c r="M878" i="1"/>
  <c r="L878" i="1"/>
  <c r="K878" i="1"/>
  <c r="J878" i="1"/>
  <c r="P877" i="1"/>
  <c r="O877" i="1"/>
  <c r="N877" i="1"/>
  <c r="M877" i="1"/>
  <c r="L877" i="1"/>
  <c r="K877" i="1"/>
  <c r="J877" i="1"/>
  <c r="P876" i="1"/>
  <c r="O876" i="1"/>
  <c r="N876" i="1"/>
  <c r="M876" i="1"/>
  <c r="L876" i="1"/>
  <c r="K876" i="1"/>
  <c r="J876" i="1"/>
  <c r="P875" i="1"/>
  <c r="O875" i="1"/>
  <c r="N875" i="1"/>
  <c r="M875" i="1"/>
  <c r="L875" i="1"/>
  <c r="K875" i="1"/>
  <c r="J875" i="1"/>
  <c r="P874" i="1"/>
  <c r="O874" i="1"/>
  <c r="N874" i="1"/>
  <c r="M874" i="1"/>
  <c r="L874" i="1"/>
  <c r="K874" i="1"/>
  <c r="J874" i="1"/>
  <c r="P873" i="1"/>
  <c r="O873" i="1"/>
  <c r="N873" i="1"/>
  <c r="M873" i="1"/>
  <c r="L873" i="1"/>
  <c r="K873" i="1"/>
  <c r="J873" i="1"/>
  <c r="P872" i="1"/>
  <c r="O872" i="1"/>
  <c r="N872" i="1"/>
  <c r="M872" i="1"/>
  <c r="L872" i="1"/>
  <c r="K872" i="1"/>
  <c r="J872" i="1"/>
  <c r="P871" i="1"/>
  <c r="O871" i="1"/>
  <c r="N871" i="1"/>
  <c r="M871" i="1"/>
  <c r="L871" i="1"/>
  <c r="K871" i="1"/>
  <c r="J871" i="1"/>
  <c r="P870" i="1"/>
  <c r="O870" i="1"/>
  <c r="N870" i="1"/>
  <c r="M870" i="1"/>
  <c r="L870" i="1"/>
  <c r="K870" i="1"/>
  <c r="J870" i="1"/>
  <c r="P869" i="1"/>
  <c r="O869" i="1"/>
  <c r="N869" i="1"/>
  <c r="M869" i="1"/>
  <c r="L869" i="1"/>
  <c r="K869" i="1"/>
  <c r="J869" i="1"/>
  <c r="P868" i="1"/>
  <c r="O868" i="1"/>
  <c r="N868" i="1"/>
  <c r="M868" i="1"/>
  <c r="L868" i="1"/>
  <c r="K868" i="1"/>
  <c r="J868" i="1"/>
  <c r="P867" i="1"/>
  <c r="O867" i="1"/>
  <c r="N867" i="1"/>
  <c r="M867" i="1"/>
  <c r="L867" i="1"/>
  <c r="K867" i="1"/>
  <c r="J867" i="1"/>
  <c r="P866" i="1"/>
  <c r="O866" i="1"/>
  <c r="N866" i="1"/>
  <c r="M866" i="1"/>
  <c r="L866" i="1"/>
  <c r="K866" i="1"/>
  <c r="J866" i="1"/>
  <c r="P865" i="1"/>
  <c r="O865" i="1"/>
  <c r="N865" i="1"/>
  <c r="M865" i="1"/>
  <c r="L865" i="1"/>
  <c r="K865" i="1"/>
  <c r="J865" i="1"/>
  <c r="P864" i="1"/>
  <c r="O864" i="1"/>
  <c r="N864" i="1"/>
  <c r="M864" i="1"/>
  <c r="L864" i="1"/>
  <c r="K864" i="1"/>
  <c r="J864" i="1"/>
  <c r="P863" i="1"/>
  <c r="O863" i="1"/>
  <c r="N863" i="1"/>
  <c r="M863" i="1"/>
  <c r="L863" i="1"/>
  <c r="K863" i="1"/>
  <c r="J863" i="1"/>
  <c r="P862" i="1"/>
  <c r="O862" i="1"/>
  <c r="N862" i="1"/>
  <c r="M862" i="1"/>
  <c r="L862" i="1"/>
  <c r="K862" i="1"/>
  <c r="J862" i="1"/>
  <c r="P861" i="1"/>
  <c r="O861" i="1"/>
  <c r="N861" i="1"/>
  <c r="M861" i="1"/>
  <c r="L861" i="1"/>
  <c r="K861" i="1"/>
  <c r="J861" i="1"/>
  <c r="P860" i="1"/>
  <c r="O860" i="1"/>
  <c r="N860" i="1"/>
  <c r="M860" i="1"/>
  <c r="L860" i="1"/>
  <c r="K860" i="1"/>
  <c r="J860" i="1"/>
  <c r="P859" i="1"/>
  <c r="O859" i="1"/>
  <c r="N859" i="1"/>
  <c r="M859" i="1"/>
  <c r="L859" i="1"/>
  <c r="K859" i="1"/>
  <c r="J859" i="1"/>
  <c r="P858" i="1"/>
  <c r="O858" i="1"/>
  <c r="N858" i="1"/>
  <c r="M858" i="1"/>
  <c r="L858" i="1"/>
  <c r="K858" i="1"/>
  <c r="J858" i="1"/>
  <c r="P857" i="1"/>
  <c r="O857" i="1"/>
  <c r="N857" i="1"/>
  <c r="M857" i="1"/>
  <c r="L857" i="1"/>
  <c r="K857" i="1"/>
  <c r="J857" i="1"/>
  <c r="P856" i="1"/>
  <c r="O856" i="1"/>
  <c r="N856" i="1"/>
  <c r="M856" i="1"/>
  <c r="L856" i="1"/>
  <c r="K856" i="1"/>
  <c r="J856" i="1"/>
  <c r="P855" i="1"/>
  <c r="O855" i="1"/>
  <c r="N855" i="1"/>
  <c r="M855" i="1"/>
  <c r="L855" i="1"/>
  <c r="K855" i="1"/>
  <c r="J855" i="1"/>
  <c r="P854" i="1"/>
  <c r="O854" i="1"/>
  <c r="N854" i="1"/>
  <c r="M854" i="1"/>
  <c r="L854" i="1"/>
  <c r="K854" i="1"/>
  <c r="J854" i="1"/>
  <c r="P853" i="1"/>
  <c r="O853" i="1"/>
  <c r="N853" i="1"/>
  <c r="M853" i="1"/>
  <c r="L853" i="1"/>
  <c r="K853" i="1"/>
  <c r="J853" i="1"/>
  <c r="P852" i="1"/>
  <c r="O852" i="1"/>
  <c r="N852" i="1"/>
  <c r="M852" i="1"/>
  <c r="L852" i="1"/>
  <c r="K852" i="1"/>
  <c r="J852" i="1"/>
  <c r="P851" i="1"/>
  <c r="O851" i="1"/>
  <c r="N851" i="1"/>
  <c r="M851" i="1"/>
  <c r="L851" i="1"/>
  <c r="K851" i="1"/>
  <c r="J851" i="1"/>
  <c r="P850" i="1"/>
  <c r="O850" i="1"/>
  <c r="N850" i="1"/>
  <c r="M850" i="1"/>
  <c r="L850" i="1"/>
  <c r="K850" i="1"/>
  <c r="J850" i="1"/>
  <c r="P849" i="1"/>
  <c r="O849" i="1"/>
  <c r="N849" i="1"/>
  <c r="M849" i="1"/>
  <c r="L849" i="1"/>
  <c r="K849" i="1"/>
  <c r="J849" i="1"/>
  <c r="P848" i="1"/>
  <c r="O848" i="1"/>
  <c r="N848" i="1"/>
  <c r="M848" i="1"/>
  <c r="L848" i="1"/>
  <c r="K848" i="1"/>
  <c r="J848" i="1"/>
  <c r="P847" i="1"/>
  <c r="O847" i="1"/>
  <c r="N847" i="1"/>
  <c r="M847" i="1"/>
  <c r="L847" i="1"/>
  <c r="K847" i="1"/>
  <c r="J847" i="1"/>
  <c r="P846" i="1"/>
  <c r="O846" i="1"/>
  <c r="N846" i="1"/>
  <c r="M846" i="1"/>
  <c r="L846" i="1"/>
  <c r="K846" i="1"/>
  <c r="J846" i="1"/>
  <c r="P845" i="1"/>
  <c r="O845" i="1"/>
  <c r="N845" i="1"/>
  <c r="M845" i="1"/>
  <c r="L845" i="1"/>
  <c r="K845" i="1"/>
  <c r="J845" i="1"/>
  <c r="P844" i="1"/>
  <c r="O844" i="1"/>
  <c r="N844" i="1"/>
  <c r="M844" i="1"/>
  <c r="L844" i="1"/>
  <c r="K844" i="1"/>
  <c r="J844" i="1"/>
  <c r="P843" i="1"/>
  <c r="O843" i="1"/>
  <c r="N843" i="1"/>
  <c r="M843" i="1"/>
  <c r="L843" i="1"/>
  <c r="K843" i="1"/>
  <c r="J843" i="1"/>
  <c r="P842" i="1"/>
  <c r="O842" i="1"/>
  <c r="N842" i="1"/>
  <c r="M842" i="1"/>
  <c r="L842" i="1"/>
  <c r="K842" i="1"/>
  <c r="J842" i="1"/>
  <c r="P841" i="1"/>
  <c r="O841" i="1"/>
  <c r="N841" i="1"/>
  <c r="M841" i="1"/>
  <c r="L841" i="1"/>
  <c r="K841" i="1"/>
  <c r="J841" i="1"/>
  <c r="P840" i="1"/>
  <c r="O840" i="1"/>
  <c r="N840" i="1"/>
  <c r="M840" i="1"/>
  <c r="L840" i="1"/>
  <c r="K840" i="1"/>
  <c r="J840" i="1"/>
  <c r="P839" i="1"/>
  <c r="O839" i="1"/>
  <c r="N839" i="1"/>
  <c r="M839" i="1"/>
  <c r="L839" i="1"/>
  <c r="K839" i="1"/>
  <c r="J839" i="1"/>
  <c r="P838" i="1"/>
  <c r="O838" i="1"/>
  <c r="N838" i="1"/>
  <c r="M838" i="1"/>
  <c r="L838" i="1"/>
  <c r="K838" i="1"/>
  <c r="J838" i="1"/>
  <c r="P837" i="1"/>
  <c r="O837" i="1"/>
  <c r="N837" i="1"/>
  <c r="M837" i="1"/>
  <c r="L837" i="1"/>
  <c r="K837" i="1"/>
  <c r="J837" i="1"/>
  <c r="P836" i="1"/>
  <c r="O836" i="1"/>
  <c r="N836" i="1"/>
  <c r="M836" i="1"/>
  <c r="L836" i="1"/>
  <c r="K836" i="1"/>
  <c r="J836" i="1"/>
  <c r="P835" i="1"/>
  <c r="O835" i="1"/>
  <c r="N835" i="1"/>
  <c r="M835" i="1"/>
  <c r="L835" i="1"/>
  <c r="K835" i="1"/>
  <c r="J835" i="1"/>
  <c r="P834" i="1"/>
  <c r="O834" i="1"/>
  <c r="N834" i="1"/>
  <c r="M834" i="1"/>
  <c r="L834" i="1"/>
  <c r="K834" i="1"/>
  <c r="J834" i="1"/>
  <c r="P833" i="1"/>
  <c r="O833" i="1"/>
  <c r="N833" i="1"/>
  <c r="M833" i="1"/>
  <c r="L833" i="1"/>
  <c r="K833" i="1"/>
  <c r="J833" i="1"/>
  <c r="P832" i="1"/>
  <c r="O832" i="1"/>
  <c r="N832" i="1"/>
  <c r="M832" i="1"/>
  <c r="L832" i="1"/>
  <c r="K832" i="1"/>
  <c r="J832" i="1"/>
  <c r="P831" i="1"/>
  <c r="O831" i="1"/>
  <c r="N831" i="1"/>
  <c r="M831" i="1"/>
  <c r="L831" i="1"/>
  <c r="K831" i="1"/>
  <c r="J831" i="1"/>
  <c r="P828" i="1"/>
  <c r="I828" i="1"/>
  <c r="K828" i="1" s="1"/>
  <c r="H828" i="1"/>
  <c r="G828" i="1"/>
  <c r="F828" i="1"/>
  <c r="O828" i="1" s="1"/>
  <c r="E828" i="1"/>
  <c r="D828" i="1"/>
  <c r="N828" i="1" s="1"/>
  <c r="P827" i="1"/>
  <c r="O827" i="1"/>
  <c r="N827" i="1"/>
  <c r="M827" i="1"/>
  <c r="L827" i="1"/>
  <c r="K827" i="1"/>
  <c r="J827" i="1"/>
  <c r="P826" i="1"/>
  <c r="O826" i="1"/>
  <c r="N826" i="1"/>
  <c r="M826" i="1"/>
  <c r="L826" i="1"/>
  <c r="K826" i="1"/>
  <c r="J826" i="1"/>
  <c r="P825" i="1"/>
  <c r="O825" i="1"/>
  <c r="N825" i="1"/>
  <c r="M825" i="1"/>
  <c r="L825" i="1"/>
  <c r="K825" i="1"/>
  <c r="J825" i="1"/>
  <c r="P824" i="1"/>
  <c r="O824" i="1"/>
  <c r="N824" i="1"/>
  <c r="M824" i="1"/>
  <c r="L824" i="1"/>
  <c r="K824" i="1"/>
  <c r="J824" i="1"/>
  <c r="P823" i="1"/>
  <c r="O823" i="1"/>
  <c r="N823" i="1"/>
  <c r="M823" i="1"/>
  <c r="L823" i="1"/>
  <c r="K823" i="1"/>
  <c r="J823" i="1"/>
  <c r="P822" i="1"/>
  <c r="O822" i="1"/>
  <c r="N822" i="1"/>
  <c r="M822" i="1"/>
  <c r="L822" i="1"/>
  <c r="K822" i="1"/>
  <c r="J822" i="1"/>
  <c r="P821" i="1"/>
  <c r="O821" i="1"/>
  <c r="N821" i="1"/>
  <c r="M821" i="1"/>
  <c r="L821" i="1"/>
  <c r="K821" i="1"/>
  <c r="J821" i="1"/>
  <c r="P820" i="1"/>
  <c r="O820" i="1"/>
  <c r="N820" i="1"/>
  <c r="M820" i="1"/>
  <c r="L820" i="1"/>
  <c r="K820" i="1"/>
  <c r="J820" i="1"/>
  <c r="P819" i="1"/>
  <c r="O819" i="1"/>
  <c r="N819" i="1"/>
  <c r="M819" i="1"/>
  <c r="L819" i="1"/>
  <c r="K819" i="1"/>
  <c r="J819" i="1"/>
  <c r="P818" i="1"/>
  <c r="O818" i="1"/>
  <c r="N818" i="1"/>
  <c r="M818" i="1"/>
  <c r="L818" i="1"/>
  <c r="K818" i="1"/>
  <c r="J818" i="1"/>
  <c r="P817" i="1"/>
  <c r="O817" i="1"/>
  <c r="N817" i="1"/>
  <c r="M817" i="1"/>
  <c r="L817" i="1"/>
  <c r="K817" i="1"/>
  <c r="J817" i="1"/>
  <c r="P816" i="1"/>
  <c r="O816" i="1"/>
  <c r="N816" i="1"/>
  <c r="M816" i="1"/>
  <c r="L816" i="1"/>
  <c r="K816" i="1"/>
  <c r="J816" i="1"/>
  <c r="P815" i="1"/>
  <c r="O815" i="1"/>
  <c r="N815" i="1"/>
  <c r="M815" i="1"/>
  <c r="L815" i="1"/>
  <c r="K815" i="1"/>
  <c r="J815" i="1"/>
  <c r="P814" i="1"/>
  <c r="O814" i="1"/>
  <c r="N814" i="1"/>
  <c r="M814" i="1"/>
  <c r="L814" i="1"/>
  <c r="K814" i="1"/>
  <c r="J814" i="1"/>
  <c r="P813" i="1"/>
  <c r="O813" i="1"/>
  <c r="N813" i="1"/>
  <c r="M813" i="1"/>
  <c r="L813" i="1"/>
  <c r="K813" i="1"/>
  <c r="J813" i="1"/>
  <c r="P812" i="1"/>
  <c r="O812" i="1"/>
  <c r="N812" i="1"/>
  <c r="M812" i="1"/>
  <c r="L812" i="1"/>
  <c r="K812" i="1"/>
  <c r="J812" i="1"/>
  <c r="P811" i="1"/>
  <c r="O811" i="1"/>
  <c r="N811" i="1"/>
  <c r="M811" i="1"/>
  <c r="L811" i="1"/>
  <c r="K811" i="1"/>
  <c r="J811" i="1"/>
  <c r="P810" i="1"/>
  <c r="O810" i="1"/>
  <c r="N810" i="1"/>
  <c r="M810" i="1"/>
  <c r="L810" i="1"/>
  <c r="K810" i="1"/>
  <c r="J810" i="1"/>
  <c r="P809" i="1"/>
  <c r="O809" i="1"/>
  <c r="N809" i="1"/>
  <c r="M809" i="1"/>
  <c r="L809" i="1"/>
  <c r="K809" i="1"/>
  <c r="J809" i="1"/>
  <c r="P808" i="1"/>
  <c r="O808" i="1"/>
  <c r="N808" i="1"/>
  <c r="M808" i="1"/>
  <c r="L808" i="1"/>
  <c r="K808" i="1"/>
  <c r="J808" i="1"/>
  <c r="P807" i="1"/>
  <c r="O807" i="1"/>
  <c r="N807" i="1"/>
  <c r="M807" i="1"/>
  <c r="L807" i="1"/>
  <c r="K807" i="1"/>
  <c r="J807" i="1"/>
  <c r="P806" i="1"/>
  <c r="O806" i="1"/>
  <c r="N806" i="1"/>
  <c r="M806" i="1"/>
  <c r="L806" i="1"/>
  <c r="K806" i="1"/>
  <c r="J806" i="1"/>
  <c r="P805" i="1"/>
  <c r="O805" i="1"/>
  <c r="N805" i="1"/>
  <c r="M805" i="1"/>
  <c r="L805" i="1"/>
  <c r="K805" i="1"/>
  <c r="J805" i="1"/>
  <c r="P804" i="1"/>
  <c r="O804" i="1"/>
  <c r="N804" i="1"/>
  <c r="M804" i="1"/>
  <c r="L804" i="1"/>
  <c r="K804" i="1"/>
  <c r="J804" i="1"/>
  <c r="P803" i="1"/>
  <c r="O803" i="1"/>
  <c r="N803" i="1"/>
  <c r="M803" i="1"/>
  <c r="L803" i="1"/>
  <c r="K803" i="1"/>
  <c r="J803" i="1"/>
  <c r="P802" i="1"/>
  <c r="O802" i="1"/>
  <c r="N802" i="1"/>
  <c r="M802" i="1"/>
  <c r="L802" i="1"/>
  <c r="K802" i="1"/>
  <c r="J802" i="1"/>
  <c r="P801" i="1"/>
  <c r="O801" i="1"/>
  <c r="N801" i="1"/>
  <c r="M801" i="1"/>
  <c r="L801" i="1"/>
  <c r="K801" i="1"/>
  <c r="J801" i="1"/>
  <c r="P800" i="1"/>
  <c r="O800" i="1"/>
  <c r="N800" i="1"/>
  <c r="M800" i="1"/>
  <c r="L800" i="1"/>
  <c r="K800" i="1"/>
  <c r="J800" i="1"/>
  <c r="P799" i="1"/>
  <c r="O799" i="1"/>
  <c r="N799" i="1"/>
  <c r="M799" i="1"/>
  <c r="L799" i="1"/>
  <c r="K799" i="1"/>
  <c r="J799" i="1"/>
  <c r="P798" i="1"/>
  <c r="O798" i="1"/>
  <c r="N798" i="1"/>
  <c r="M798" i="1"/>
  <c r="L798" i="1"/>
  <c r="K798" i="1"/>
  <c r="J798" i="1"/>
  <c r="P797" i="1"/>
  <c r="O797" i="1"/>
  <c r="N797" i="1"/>
  <c r="M797" i="1"/>
  <c r="L797" i="1"/>
  <c r="K797" i="1"/>
  <c r="J797" i="1"/>
  <c r="P796" i="1"/>
  <c r="O796" i="1"/>
  <c r="N796" i="1"/>
  <c r="M796" i="1"/>
  <c r="L796" i="1"/>
  <c r="K796" i="1"/>
  <c r="J796" i="1"/>
  <c r="P795" i="1"/>
  <c r="O795" i="1"/>
  <c r="N795" i="1"/>
  <c r="M795" i="1"/>
  <c r="L795" i="1"/>
  <c r="K795" i="1"/>
  <c r="J795" i="1"/>
  <c r="P794" i="1"/>
  <c r="O794" i="1"/>
  <c r="N794" i="1"/>
  <c r="M794" i="1"/>
  <c r="L794" i="1"/>
  <c r="K794" i="1"/>
  <c r="J794" i="1"/>
  <c r="P793" i="1"/>
  <c r="O793" i="1"/>
  <c r="N793" i="1"/>
  <c r="M793" i="1"/>
  <c r="L793" i="1"/>
  <c r="K793" i="1"/>
  <c r="J793" i="1"/>
  <c r="P792" i="1"/>
  <c r="O792" i="1"/>
  <c r="N792" i="1"/>
  <c r="M792" i="1"/>
  <c r="L792" i="1"/>
  <c r="K792" i="1"/>
  <c r="J792" i="1"/>
  <c r="P791" i="1"/>
  <c r="O791" i="1"/>
  <c r="N791" i="1"/>
  <c r="M791" i="1"/>
  <c r="L791" i="1"/>
  <c r="K791" i="1"/>
  <c r="J791" i="1"/>
  <c r="P790" i="1"/>
  <c r="O790" i="1"/>
  <c r="N790" i="1"/>
  <c r="M790" i="1"/>
  <c r="L790" i="1"/>
  <c r="K790" i="1"/>
  <c r="J790" i="1"/>
  <c r="P789" i="1"/>
  <c r="O789" i="1"/>
  <c r="N789" i="1"/>
  <c r="M789" i="1"/>
  <c r="L789" i="1"/>
  <c r="K789" i="1"/>
  <c r="J789" i="1"/>
  <c r="P788" i="1"/>
  <c r="O788" i="1"/>
  <c r="N788" i="1"/>
  <c r="M788" i="1"/>
  <c r="L788" i="1"/>
  <c r="K788" i="1"/>
  <c r="J788" i="1"/>
  <c r="P787" i="1"/>
  <c r="O787" i="1"/>
  <c r="N787" i="1"/>
  <c r="M787" i="1"/>
  <c r="L787" i="1"/>
  <c r="K787" i="1"/>
  <c r="J787" i="1"/>
  <c r="P786" i="1"/>
  <c r="O786" i="1"/>
  <c r="N786" i="1"/>
  <c r="M786" i="1"/>
  <c r="L786" i="1"/>
  <c r="K786" i="1"/>
  <c r="J786" i="1"/>
  <c r="P785" i="1"/>
  <c r="O785" i="1"/>
  <c r="N785" i="1"/>
  <c r="M785" i="1"/>
  <c r="L785" i="1"/>
  <c r="K785" i="1"/>
  <c r="J785" i="1"/>
  <c r="P784" i="1"/>
  <c r="O784" i="1"/>
  <c r="N784" i="1"/>
  <c r="M784" i="1"/>
  <c r="L784" i="1"/>
  <c r="K784" i="1"/>
  <c r="J784" i="1"/>
  <c r="P783" i="1"/>
  <c r="O783" i="1"/>
  <c r="N783" i="1"/>
  <c r="M783" i="1"/>
  <c r="L783" i="1"/>
  <c r="K783" i="1"/>
  <c r="J783" i="1"/>
  <c r="P782" i="1"/>
  <c r="O782" i="1"/>
  <c r="N782" i="1"/>
  <c r="M782" i="1"/>
  <c r="L782" i="1"/>
  <c r="K782" i="1"/>
  <c r="J782" i="1"/>
  <c r="P781" i="1"/>
  <c r="O781" i="1"/>
  <c r="N781" i="1"/>
  <c r="M781" i="1"/>
  <c r="L781" i="1"/>
  <c r="K781" i="1"/>
  <c r="J781" i="1"/>
  <c r="P780" i="1"/>
  <c r="O780" i="1"/>
  <c r="N780" i="1"/>
  <c r="M780" i="1"/>
  <c r="L780" i="1"/>
  <c r="K780" i="1"/>
  <c r="J780" i="1"/>
  <c r="P779" i="1"/>
  <c r="O779" i="1"/>
  <c r="N779" i="1"/>
  <c r="M779" i="1"/>
  <c r="L779" i="1"/>
  <c r="K779" i="1"/>
  <c r="J779" i="1"/>
  <c r="P778" i="1"/>
  <c r="O778" i="1"/>
  <c r="N778" i="1"/>
  <c r="M778" i="1"/>
  <c r="L778" i="1"/>
  <c r="K778" i="1"/>
  <c r="J778" i="1"/>
  <c r="P777" i="1"/>
  <c r="O777" i="1"/>
  <c r="N777" i="1"/>
  <c r="M777" i="1"/>
  <c r="L777" i="1"/>
  <c r="K777" i="1"/>
  <c r="J777" i="1"/>
  <c r="P776" i="1"/>
  <c r="O776" i="1"/>
  <c r="N776" i="1"/>
  <c r="M776" i="1"/>
  <c r="L776" i="1"/>
  <c r="K776" i="1"/>
  <c r="J776" i="1"/>
  <c r="P775" i="1"/>
  <c r="O775" i="1"/>
  <c r="N775" i="1"/>
  <c r="M775" i="1"/>
  <c r="L775" i="1"/>
  <c r="K775" i="1"/>
  <c r="J775" i="1"/>
  <c r="P774" i="1"/>
  <c r="O774" i="1"/>
  <c r="N774" i="1"/>
  <c r="M774" i="1"/>
  <c r="L774" i="1"/>
  <c r="K774" i="1"/>
  <c r="J774" i="1"/>
  <c r="P773" i="1"/>
  <c r="O773" i="1"/>
  <c r="N773" i="1"/>
  <c r="M773" i="1"/>
  <c r="L773" i="1"/>
  <c r="K773" i="1"/>
  <c r="J773" i="1"/>
  <c r="P772" i="1"/>
  <c r="O772" i="1"/>
  <c r="N772" i="1"/>
  <c r="M772" i="1"/>
  <c r="L772" i="1"/>
  <c r="K772" i="1"/>
  <c r="J772" i="1"/>
  <c r="O769" i="1"/>
  <c r="I769" i="1"/>
  <c r="K769" i="1" s="1"/>
  <c r="H769" i="1"/>
  <c r="G769" i="1"/>
  <c r="F769" i="1"/>
  <c r="E769" i="1"/>
  <c r="M769" i="1" s="1"/>
  <c r="D769" i="1"/>
  <c r="L769" i="1" s="1"/>
  <c r="P768" i="1"/>
  <c r="O768" i="1"/>
  <c r="N768" i="1"/>
  <c r="M768" i="1"/>
  <c r="L768" i="1"/>
  <c r="K768" i="1"/>
  <c r="J768" i="1"/>
  <c r="P767" i="1"/>
  <c r="O767" i="1"/>
  <c r="N767" i="1"/>
  <c r="M767" i="1"/>
  <c r="L767" i="1"/>
  <c r="K767" i="1"/>
  <c r="J767" i="1"/>
  <c r="P766" i="1"/>
  <c r="O766" i="1"/>
  <c r="N766" i="1"/>
  <c r="M766" i="1"/>
  <c r="L766" i="1"/>
  <c r="K766" i="1"/>
  <c r="J766" i="1"/>
  <c r="P765" i="1"/>
  <c r="O765" i="1"/>
  <c r="N765" i="1"/>
  <c r="M765" i="1"/>
  <c r="L765" i="1"/>
  <c r="K765" i="1"/>
  <c r="J765" i="1"/>
  <c r="P764" i="1"/>
  <c r="O764" i="1"/>
  <c r="N764" i="1"/>
  <c r="M764" i="1"/>
  <c r="L764" i="1"/>
  <c r="K764" i="1"/>
  <c r="J764" i="1"/>
  <c r="P763" i="1"/>
  <c r="O763" i="1"/>
  <c r="N763" i="1"/>
  <c r="M763" i="1"/>
  <c r="L763" i="1"/>
  <c r="K763" i="1"/>
  <c r="J763" i="1"/>
  <c r="P762" i="1"/>
  <c r="O762" i="1"/>
  <c r="N762" i="1"/>
  <c r="M762" i="1"/>
  <c r="L762" i="1"/>
  <c r="K762" i="1"/>
  <c r="J762" i="1"/>
  <c r="P761" i="1"/>
  <c r="O761" i="1"/>
  <c r="N761" i="1"/>
  <c r="M761" i="1"/>
  <c r="L761" i="1"/>
  <c r="K761" i="1"/>
  <c r="J761" i="1"/>
  <c r="P760" i="1"/>
  <c r="O760" i="1"/>
  <c r="N760" i="1"/>
  <c r="M760" i="1"/>
  <c r="L760" i="1"/>
  <c r="K760" i="1"/>
  <c r="J760" i="1"/>
  <c r="P759" i="1"/>
  <c r="O759" i="1"/>
  <c r="N759" i="1"/>
  <c r="M759" i="1"/>
  <c r="L759" i="1"/>
  <c r="K759" i="1"/>
  <c r="J759" i="1"/>
  <c r="P758" i="1"/>
  <c r="O758" i="1"/>
  <c r="N758" i="1"/>
  <c r="M758" i="1"/>
  <c r="L758" i="1"/>
  <c r="K758" i="1"/>
  <c r="J758" i="1"/>
  <c r="P757" i="1"/>
  <c r="O757" i="1"/>
  <c r="N757" i="1"/>
  <c r="M757" i="1"/>
  <c r="L757" i="1"/>
  <c r="K757" i="1"/>
  <c r="J757" i="1"/>
  <c r="P756" i="1"/>
  <c r="O756" i="1"/>
  <c r="N756" i="1"/>
  <c r="M756" i="1"/>
  <c r="L756" i="1"/>
  <c r="K756" i="1"/>
  <c r="J756" i="1"/>
  <c r="P755" i="1"/>
  <c r="O755" i="1"/>
  <c r="N755" i="1"/>
  <c r="M755" i="1"/>
  <c r="L755" i="1"/>
  <c r="K755" i="1"/>
  <c r="J755" i="1"/>
  <c r="P754" i="1"/>
  <c r="O754" i="1"/>
  <c r="N754" i="1"/>
  <c r="M754" i="1"/>
  <c r="L754" i="1"/>
  <c r="K754" i="1"/>
  <c r="J754" i="1"/>
  <c r="P753" i="1"/>
  <c r="O753" i="1"/>
  <c r="N753" i="1"/>
  <c r="M753" i="1"/>
  <c r="L753" i="1"/>
  <c r="K753" i="1"/>
  <c r="J753" i="1"/>
  <c r="P752" i="1"/>
  <c r="O752" i="1"/>
  <c r="N752" i="1"/>
  <c r="M752" i="1"/>
  <c r="L752" i="1"/>
  <c r="K752" i="1"/>
  <c r="J752" i="1"/>
  <c r="P751" i="1"/>
  <c r="O751" i="1"/>
  <c r="N751" i="1"/>
  <c r="M751" i="1"/>
  <c r="L751" i="1"/>
  <c r="K751" i="1"/>
  <c r="J751" i="1"/>
  <c r="P750" i="1"/>
  <c r="O750" i="1"/>
  <c r="N750" i="1"/>
  <c r="M750" i="1"/>
  <c r="L750" i="1"/>
  <c r="K750" i="1"/>
  <c r="J750" i="1"/>
  <c r="P749" i="1"/>
  <c r="O749" i="1"/>
  <c r="N749" i="1"/>
  <c r="M749" i="1"/>
  <c r="L749" i="1"/>
  <c r="K749" i="1"/>
  <c r="J749" i="1"/>
  <c r="P748" i="1"/>
  <c r="O748" i="1"/>
  <c r="N748" i="1"/>
  <c r="M748" i="1"/>
  <c r="L748" i="1"/>
  <c r="K748" i="1"/>
  <c r="J748" i="1"/>
  <c r="P747" i="1"/>
  <c r="O747" i="1"/>
  <c r="N747" i="1"/>
  <c r="M747" i="1"/>
  <c r="L747" i="1"/>
  <c r="K747" i="1"/>
  <c r="J747" i="1"/>
  <c r="P746" i="1"/>
  <c r="O746" i="1"/>
  <c r="N746" i="1"/>
  <c r="M746" i="1"/>
  <c r="L746" i="1"/>
  <c r="K746" i="1"/>
  <c r="J746" i="1"/>
  <c r="P745" i="1"/>
  <c r="O745" i="1"/>
  <c r="N745" i="1"/>
  <c r="M745" i="1"/>
  <c r="L745" i="1"/>
  <c r="K745" i="1"/>
  <c r="J745" i="1"/>
  <c r="P744" i="1"/>
  <c r="O744" i="1"/>
  <c r="N744" i="1"/>
  <c r="M744" i="1"/>
  <c r="L744" i="1"/>
  <c r="K744" i="1"/>
  <c r="J744" i="1"/>
  <c r="P743" i="1"/>
  <c r="O743" i="1"/>
  <c r="N743" i="1"/>
  <c r="M743" i="1"/>
  <c r="L743" i="1"/>
  <c r="K743" i="1"/>
  <c r="J743" i="1"/>
  <c r="P742" i="1"/>
  <c r="O742" i="1"/>
  <c r="N742" i="1"/>
  <c r="M742" i="1"/>
  <c r="L742" i="1"/>
  <c r="K742" i="1"/>
  <c r="J742" i="1"/>
  <c r="P741" i="1"/>
  <c r="O741" i="1"/>
  <c r="N741" i="1"/>
  <c r="M741" i="1"/>
  <c r="L741" i="1"/>
  <c r="K741" i="1"/>
  <c r="J741" i="1"/>
  <c r="P740" i="1"/>
  <c r="O740" i="1"/>
  <c r="N740" i="1"/>
  <c r="M740" i="1"/>
  <c r="L740" i="1"/>
  <c r="K740" i="1"/>
  <c r="J740" i="1"/>
  <c r="P739" i="1"/>
  <c r="O739" i="1"/>
  <c r="N739" i="1"/>
  <c r="M739" i="1"/>
  <c r="L739" i="1"/>
  <c r="K739" i="1"/>
  <c r="J739" i="1"/>
  <c r="P738" i="1"/>
  <c r="O738" i="1"/>
  <c r="N738" i="1"/>
  <c r="M738" i="1"/>
  <c r="L738" i="1"/>
  <c r="K738" i="1"/>
  <c r="J738" i="1"/>
  <c r="P737" i="1"/>
  <c r="O737" i="1"/>
  <c r="N737" i="1"/>
  <c r="M737" i="1"/>
  <c r="L737" i="1"/>
  <c r="K737" i="1"/>
  <c r="J737" i="1"/>
  <c r="P736" i="1"/>
  <c r="O736" i="1"/>
  <c r="N736" i="1"/>
  <c r="M736" i="1"/>
  <c r="L736" i="1"/>
  <c r="K736" i="1"/>
  <c r="J736" i="1"/>
  <c r="P735" i="1"/>
  <c r="O735" i="1"/>
  <c r="N735" i="1"/>
  <c r="M735" i="1"/>
  <c r="L735" i="1"/>
  <c r="K735" i="1"/>
  <c r="J735" i="1"/>
  <c r="P734" i="1"/>
  <c r="O734" i="1"/>
  <c r="N734" i="1"/>
  <c r="M734" i="1"/>
  <c r="L734" i="1"/>
  <c r="K734" i="1"/>
  <c r="J734" i="1"/>
  <c r="P733" i="1"/>
  <c r="O733" i="1"/>
  <c r="N733" i="1"/>
  <c r="M733" i="1"/>
  <c r="L733" i="1"/>
  <c r="K733" i="1"/>
  <c r="J733" i="1"/>
  <c r="P732" i="1"/>
  <c r="O732" i="1"/>
  <c r="N732" i="1"/>
  <c r="M732" i="1"/>
  <c r="L732" i="1"/>
  <c r="K732" i="1"/>
  <c r="J732" i="1"/>
  <c r="P731" i="1"/>
  <c r="O731" i="1"/>
  <c r="N731" i="1"/>
  <c r="M731" i="1"/>
  <c r="L731" i="1"/>
  <c r="K731" i="1"/>
  <c r="J731" i="1"/>
  <c r="P730" i="1"/>
  <c r="O730" i="1"/>
  <c r="N730" i="1"/>
  <c r="M730" i="1"/>
  <c r="L730" i="1"/>
  <c r="K730" i="1"/>
  <c r="J730" i="1"/>
  <c r="P729" i="1"/>
  <c r="O729" i="1"/>
  <c r="N729" i="1"/>
  <c r="M729" i="1"/>
  <c r="L729" i="1"/>
  <c r="K729" i="1"/>
  <c r="J729" i="1"/>
  <c r="P728" i="1"/>
  <c r="O728" i="1"/>
  <c r="N728" i="1"/>
  <c r="M728" i="1"/>
  <c r="L728" i="1"/>
  <c r="K728" i="1"/>
  <c r="J728" i="1"/>
  <c r="P727" i="1"/>
  <c r="O727" i="1"/>
  <c r="N727" i="1"/>
  <c r="M727" i="1"/>
  <c r="L727" i="1"/>
  <c r="K727" i="1"/>
  <c r="J727" i="1"/>
  <c r="P726" i="1"/>
  <c r="O726" i="1"/>
  <c r="N726" i="1"/>
  <c r="M726" i="1"/>
  <c r="L726" i="1"/>
  <c r="K726" i="1"/>
  <c r="J726" i="1"/>
  <c r="P725" i="1"/>
  <c r="O725" i="1"/>
  <c r="N725" i="1"/>
  <c r="M725" i="1"/>
  <c r="L725" i="1"/>
  <c r="K725" i="1"/>
  <c r="J725" i="1"/>
  <c r="P724" i="1"/>
  <c r="O724" i="1"/>
  <c r="N724" i="1"/>
  <c r="M724" i="1"/>
  <c r="L724" i="1"/>
  <c r="K724" i="1"/>
  <c r="J724" i="1"/>
  <c r="P723" i="1"/>
  <c r="O723" i="1"/>
  <c r="N723" i="1"/>
  <c r="M723" i="1"/>
  <c r="L723" i="1"/>
  <c r="K723" i="1"/>
  <c r="J723" i="1"/>
  <c r="P722" i="1"/>
  <c r="O722" i="1"/>
  <c r="N722" i="1"/>
  <c r="M722" i="1"/>
  <c r="L722" i="1"/>
  <c r="K722" i="1"/>
  <c r="J722" i="1"/>
  <c r="P721" i="1"/>
  <c r="O721" i="1"/>
  <c r="N721" i="1"/>
  <c r="M721" i="1"/>
  <c r="L721" i="1"/>
  <c r="K721" i="1"/>
  <c r="J721" i="1"/>
  <c r="P720" i="1"/>
  <c r="O720" i="1"/>
  <c r="N720" i="1"/>
  <c r="M720" i="1"/>
  <c r="L720" i="1"/>
  <c r="K720" i="1"/>
  <c r="J720" i="1"/>
  <c r="P719" i="1"/>
  <c r="O719" i="1"/>
  <c r="N719" i="1"/>
  <c r="M719" i="1"/>
  <c r="L719" i="1"/>
  <c r="K719" i="1"/>
  <c r="J719" i="1"/>
  <c r="P718" i="1"/>
  <c r="O718" i="1"/>
  <c r="N718" i="1"/>
  <c r="M718" i="1"/>
  <c r="L718" i="1"/>
  <c r="K718" i="1"/>
  <c r="J718" i="1"/>
  <c r="P717" i="1"/>
  <c r="O717" i="1"/>
  <c r="N717" i="1"/>
  <c r="M717" i="1"/>
  <c r="L717" i="1"/>
  <c r="K717" i="1"/>
  <c r="J717" i="1"/>
  <c r="P716" i="1"/>
  <c r="O716" i="1"/>
  <c r="N716" i="1"/>
  <c r="M716" i="1"/>
  <c r="L716" i="1"/>
  <c r="K716" i="1"/>
  <c r="J716" i="1"/>
  <c r="P715" i="1"/>
  <c r="O715" i="1"/>
  <c r="N715" i="1"/>
  <c r="M715" i="1"/>
  <c r="L715" i="1"/>
  <c r="K715" i="1"/>
  <c r="J715" i="1"/>
  <c r="P714" i="1"/>
  <c r="O714" i="1"/>
  <c r="N714" i="1"/>
  <c r="M714" i="1"/>
  <c r="L714" i="1"/>
  <c r="K714" i="1"/>
  <c r="J714" i="1"/>
  <c r="P713" i="1"/>
  <c r="O713" i="1"/>
  <c r="N713" i="1"/>
  <c r="M713" i="1"/>
  <c r="L713" i="1"/>
  <c r="K713" i="1"/>
  <c r="J713" i="1"/>
  <c r="P710" i="1"/>
  <c r="I710" i="1"/>
  <c r="K710" i="1" s="1"/>
  <c r="H710" i="1"/>
  <c r="G710" i="1"/>
  <c r="F710" i="1"/>
  <c r="O710" i="1" s="1"/>
  <c r="E710" i="1"/>
  <c r="D710" i="1"/>
  <c r="N710" i="1" s="1"/>
  <c r="P709" i="1"/>
  <c r="O709" i="1"/>
  <c r="N709" i="1"/>
  <c r="M709" i="1"/>
  <c r="L709" i="1"/>
  <c r="K709" i="1"/>
  <c r="J709" i="1"/>
  <c r="P708" i="1"/>
  <c r="O708" i="1"/>
  <c r="N708" i="1"/>
  <c r="M708" i="1"/>
  <c r="L708" i="1"/>
  <c r="K708" i="1"/>
  <c r="J708" i="1"/>
  <c r="P707" i="1"/>
  <c r="O707" i="1"/>
  <c r="N707" i="1"/>
  <c r="M707" i="1"/>
  <c r="L707" i="1"/>
  <c r="K707" i="1"/>
  <c r="J707" i="1"/>
  <c r="P706" i="1"/>
  <c r="O706" i="1"/>
  <c r="N706" i="1"/>
  <c r="M706" i="1"/>
  <c r="L706" i="1"/>
  <c r="K706" i="1"/>
  <c r="J706" i="1"/>
  <c r="P705" i="1"/>
  <c r="O705" i="1"/>
  <c r="N705" i="1"/>
  <c r="M705" i="1"/>
  <c r="L705" i="1"/>
  <c r="K705" i="1"/>
  <c r="J705" i="1"/>
  <c r="P704" i="1"/>
  <c r="O704" i="1"/>
  <c r="N704" i="1"/>
  <c r="M704" i="1"/>
  <c r="L704" i="1"/>
  <c r="K704" i="1"/>
  <c r="J704" i="1"/>
  <c r="P703" i="1"/>
  <c r="O703" i="1"/>
  <c r="N703" i="1"/>
  <c r="M703" i="1"/>
  <c r="L703" i="1"/>
  <c r="K703" i="1"/>
  <c r="J703" i="1"/>
  <c r="P702" i="1"/>
  <c r="O702" i="1"/>
  <c r="N702" i="1"/>
  <c r="M702" i="1"/>
  <c r="L702" i="1"/>
  <c r="K702" i="1"/>
  <c r="J702" i="1"/>
  <c r="P701" i="1"/>
  <c r="O701" i="1"/>
  <c r="N701" i="1"/>
  <c r="M701" i="1"/>
  <c r="L701" i="1"/>
  <c r="K701" i="1"/>
  <c r="J701" i="1"/>
  <c r="P700" i="1"/>
  <c r="O700" i="1"/>
  <c r="N700" i="1"/>
  <c r="M700" i="1"/>
  <c r="L700" i="1"/>
  <c r="K700" i="1"/>
  <c r="J700" i="1"/>
  <c r="P699" i="1"/>
  <c r="O699" i="1"/>
  <c r="N699" i="1"/>
  <c r="M699" i="1"/>
  <c r="L699" i="1"/>
  <c r="K699" i="1"/>
  <c r="J699" i="1"/>
  <c r="P698" i="1"/>
  <c r="O698" i="1"/>
  <c r="N698" i="1"/>
  <c r="M698" i="1"/>
  <c r="L698" i="1"/>
  <c r="K698" i="1"/>
  <c r="J698" i="1"/>
  <c r="P697" i="1"/>
  <c r="O697" i="1"/>
  <c r="N697" i="1"/>
  <c r="M697" i="1"/>
  <c r="L697" i="1"/>
  <c r="K697" i="1"/>
  <c r="J697" i="1"/>
  <c r="P696" i="1"/>
  <c r="O696" i="1"/>
  <c r="N696" i="1"/>
  <c r="M696" i="1"/>
  <c r="L696" i="1"/>
  <c r="K696" i="1"/>
  <c r="J696" i="1"/>
  <c r="P695" i="1"/>
  <c r="O695" i="1"/>
  <c r="N695" i="1"/>
  <c r="M695" i="1"/>
  <c r="L695" i="1"/>
  <c r="K695" i="1"/>
  <c r="J695" i="1"/>
  <c r="P694" i="1"/>
  <c r="O694" i="1"/>
  <c r="N694" i="1"/>
  <c r="M694" i="1"/>
  <c r="L694" i="1"/>
  <c r="K694" i="1"/>
  <c r="J694" i="1"/>
  <c r="P693" i="1"/>
  <c r="O693" i="1"/>
  <c r="N693" i="1"/>
  <c r="M693" i="1"/>
  <c r="L693" i="1"/>
  <c r="K693" i="1"/>
  <c r="J693" i="1"/>
  <c r="P692" i="1"/>
  <c r="O692" i="1"/>
  <c r="N692" i="1"/>
  <c r="M692" i="1"/>
  <c r="L692" i="1"/>
  <c r="K692" i="1"/>
  <c r="J692" i="1"/>
  <c r="P691" i="1"/>
  <c r="O691" i="1"/>
  <c r="N691" i="1"/>
  <c r="M691" i="1"/>
  <c r="L691" i="1"/>
  <c r="K691" i="1"/>
  <c r="J691" i="1"/>
  <c r="P690" i="1"/>
  <c r="O690" i="1"/>
  <c r="N690" i="1"/>
  <c r="M690" i="1"/>
  <c r="L690" i="1"/>
  <c r="K690" i="1"/>
  <c r="J690" i="1"/>
  <c r="P689" i="1"/>
  <c r="O689" i="1"/>
  <c r="N689" i="1"/>
  <c r="M689" i="1"/>
  <c r="L689" i="1"/>
  <c r="K689" i="1"/>
  <c r="J689" i="1"/>
  <c r="P688" i="1"/>
  <c r="O688" i="1"/>
  <c r="N688" i="1"/>
  <c r="M688" i="1"/>
  <c r="L688" i="1"/>
  <c r="K688" i="1"/>
  <c r="J688" i="1"/>
  <c r="P687" i="1"/>
  <c r="O687" i="1"/>
  <c r="N687" i="1"/>
  <c r="M687" i="1"/>
  <c r="L687" i="1"/>
  <c r="K687" i="1"/>
  <c r="J687" i="1"/>
  <c r="P686" i="1"/>
  <c r="O686" i="1"/>
  <c r="N686" i="1"/>
  <c r="M686" i="1"/>
  <c r="L686" i="1"/>
  <c r="K686" i="1"/>
  <c r="J686" i="1"/>
  <c r="P685" i="1"/>
  <c r="O685" i="1"/>
  <c r="N685" i="1"/>
  <c r="M685" i="1"/>
  <c r="L685" i="1"/>
  <c r="K685" i="1"/>
  <c r="J685" i="1"/>
  <c r="P684" i="1"/>
  <c r="O684" i="1"/>
  <c r="N684" i="1"/>
  <c r="M684" i="1"/>
  <c r="L684" i="1"/>
  <c r="K684" i="1"/>
  <c r="J684" i="1"/>
  <c r="P683" i="1"/>
  <c r="O683" i="1"/>
  <c r="N683" i="1"/>
  <c r="M683" i="1"/>
  <c r="L683" i="1"/>
  <c r="K683" i="1"/>
  <c r="J683" i="1"/>
  <c r="P682" i="1"/>
  <c r="O682" i="1"/>
  <c r="N682" i="1"/>
  <c r="M682" i="1"/>
  <c r="L682" i="1"/>
  <c r="K682" i="1"/>
  <c r="J682" i="1"/>
  <c r="P681" i="1"/>
  <c r="O681" i="1"/>
  <c r="N681" i="1"/>
  <c r="M681" i="1"/>
  <c r="L681" i="1"/>
  <c r="K681" i="1"/>
  <c r="J681" i="1"/>
  <c r="P680" i="1"/>
  <c r="O680" i="1"/>
  <c r="N680" i="1"/>
  <c r="M680" i="1"/>
  <c r="L680" i="1"/>
  <c r="K680" i="1"/>
  <c r="J680" i="1"/>
  <c r="P679" i="1"/>
  <c r="O679" i="1"/>
  <c r="N679" i="1"/>
  <c r="M679" i="1"/>
  <c r="L679" i="1"/>
  <c r="K679" i="1"/>
  <c r="J679" i="1"/>
  <c r="P678" i="1"/>
  <c r="O678" i="1"/>
  <c r="N678" i="1"/>
  <c r="M678" i="1"/>
  <c r="L678" i="1"/>
  <c r="K678" i="1"/>
  <c r="J678" i="1"/>
  <c r="P677" i="1"/>
  <c r="O677" i="1"/>
  <c r="N677" i="1"/>
  <c r="M677" i="1"/>
  <c r="L677" i="1"/>
  <c r="K677" i="1"/>
  <c r="J677" i="1"/>
  <c r="P676" i="1"/>
  <c r="O676" i="1"/>
  <c r="N676" i="1"/>
  <c r="M676" i="1"/>
  <c r="L676" i="1"/>
  <c r="K676" i="1"/>
  <c r="J676" i="1"/>
  <c r="P675" i="1"/>
  <c r="O675" i="1"/>
  <c r="N675" i="1"/>
  <c r="M675" i="1"/>
  <c r="L675" i="1"/>
  <c r="K675" i="1"/>
  <c r="J675" i="1"/>
  <c r="P674" i="1"/>
  <c r="O674" i="1"/>
  <c r="N674" i="1"/>
  <c r="M674" i="1"/>
  <c r="L674" i="1"/>
  <c r="K674" i="1"/>
  <c r="J674" i="1"/>
  <c r="P673" i="1"/>
  <c r="O673" i="1"/>
  <c r="N673" i="1"/>
  <c r="M673" i="1"/>
  <c r="L673" i="1"/>
  <c r="K673" i="1"/>
  <c r="J673" i="1"/>
  <c r="P672" i="1"/>
  <c r="O672" i="1"/>
  <c r="N672" i="1"/>
  <c r="M672" i="1"/>
  <c r="L672" i="1"/>
  <c r="K672" i="1"/>
  <c r="J672" i="1"/>
  <c r="P671" i="1"/>
  <c r="O671" i="1"/>
  <c r="N671" i="1"/>
  <c r="M671" i="1"/>
  <c r="L671" i="1"/>
  <c r="K671" i="1"/>
  <c r="J671" i="1"/>
  <c r="P670" i="1"/>
  <c r="O670" i="1"/>
  <c r="N670" i="1"/>
  <c r="M670" i="1"/>
  <c r="L670" i="1"/>
  <c r="K670" i="1"/>
  <c r="J670" i="1"/>
  <c r="P669" i="1"/>
  <c r="O669" i="1"/>
  <c r="N669" i="1"/>
  <c r="M669" i="1"/>
  <c r="L669" i="1"/>
  <c r="K669" i="1"/>
  <c r="J669" i="1"/>
  <c r="P668" i="1"/>
  <c r="O668" i="1"/>
  <c r="N668" i="1"/>
  <c r="M668" i="1"/>
  <c r="L668" i="1"/>
  <c r="K668" i="1"/>
  <c r="J668" i="1"/>
  <c r="P667" i="1"/>
  <c r="O667" i="1"/>
  <c r="N667" i="1"/>
  <c r="M667" i="1"/>
  <c r="L667" i="1"/>
  <c r="K667" i="1"/>
  <c r="J667" i="1"/>
  <c r="P666" i="1"/>
  <c r="O666" i="1"/>
  <c r="N666" i="1"/>
  <c r="M666" i="1"/>
  <c r="L666" i="1"/>
  <c r="K666" i="1"/>
  <c r="J666" i="1"/>
  <c r="P665" i="1"/>
  <c r="O665" i="1"/>
  <c r="N665" i="1"/>
  <c r="M665" i="1"/>
  <c r="L665" i="1"/>
  <c r="K665" i="1"/>
  <c r="J665" i="1"/>
  <c r="P664" i="1"/>
  <c r="O664" i="1"/>
  <c r="N664" i="1"/>
  <c r="M664" i="1"/>
  <c r="L664" i="1"/>
  <c r="K664" i="1"/>
  <c r="J664" i="1"/>
  <c r="P663" i="1"/>
  <c r="O663" i="1"/>
  <c r="N663" i="1"/>
  <c r="M663" i="1"/>
  <c r="L663" i="1"/>
  <c r="K663" i="1"/>
  <c r="J663" i="1"/>
  <c r="P662" i="1"/>
  <c r="O662" i="1"/>
  <c r="N662" i="1"/>
  <c r="M662" i="1"/>
  <c r="L662" i="1"/>
  <c r="K662" i="1"/>
  <c r="J662" i="1"/>
  <c r="P661" i="1"/>
  <c r="O661" i="1"/>
  <c r="N661" i="1"/>
  <c r="M661" i="1"/>
  <c r="L661" i="1"/>
  <c r="K661" i="1"/>
  <c r="J661" i="1"/>
  <c r="P660" i="1"/>
  <c r="O660" i="1"/>
  <c r="N660" i="1"/>
  <c r="M660" i="1"/>
  <c r="L660" i="1"/>
  <c r="K660" i="1"/>
  <c r="J660" i="1"/>
  <c r="P659" i="1"/>
  <c r="O659" i="1"/>
  <c r="N659" i="1"/>
  <c r="M659" i="1"/>
  <c r="L659" i="1"/>
  <c r="K659" i="1"/>
  <c r="J659" i="1"/>
  <c r="P658" i="1"/>
  <c r="O658" i="1"/>
  <c r="N658" i="1"/>
  <c r="M658" i="1"/>
  <c r="L658" i="1"/>
  <c r="K658" i="1"/>
  <c r="J658" i="1"/>
  <c r="P657" i="1"/>
  <c r="O657" i="1"/>
  <c r="N657" i="1"/>
  <c r="M657" i="1"/>
  <c r="L657" i="1"/>
  <c r="K657" i="1"/>
  <c r="J657" i="1"/>
  <c r="P656" i="1"/>
  <c r="O656" i="1"/>
  <c r="N656" i="1"/>
  <c r="M656" i="1"/>
  <c r="L656" i="1"/>
  <c r="K656" i="1"/>
  <c r="J656" i="1"/>
  <c r="P655" i="1"/>
  <c r="O655" i="1"/>
  <c r="N655" i="1"/>
  <c r="M655" i="1"/>
  <c r="L655" i="1"/>
  <c r="K655" i="1"/>
  <c r="J655" i="1"/>
  <c r="P654" i="1"/>
  <c r="O654" i="1"/>
  <c r="N654" i="1"/>
  <c r="M654" i="1"/>
  <c r="L654" i="1"/>
  <c r="K654" i="1"/>
  <c r="J654" i="1"/>
  <c r="O651" i="1"/>
  <c r="I651" i="1"/>
  <c r="K651" i="1" s="1"/>
  <c r="H651" i="1"/>
  <c r="G651" i="1"/>
  <c r="F651" i="1"/>
  <c r="E651" i="1"/>
  <c r="M651" i="1" s="1"/>
  <c r="D651" i="1"/>
  <c r="L651" i="1" s="1"/>
  <c r="P650" i="1"/>
  <c r="O650" i="1"/>
  <c r="N650" i="1"/>
  <c r="M650" i="1"/>
  <c r="L650" i="1"/>
  <c r="K650" i="1"/>
  <c r="J650" i="1"/>
  <c r="P649" i="1"/>
  <c r="O649" i="1"/>
  <c r="N649" i="1"/>
  <c r="M649" i="1"/>
  <c r="L649" i="1"/>
  <c r="K649" i="1"/>
  <c r="J649" i="1"/>
  <c r="P648" i="1"/>
  <c r="O648" i="1"/>
  <c r="N648" i="1"/>
  <c r="M648" i="1"/>
  <c r="L648" i="1"/>
  <c r="K648" i="1"/>
  <c r="J648" i="1"/>
  <c r="P647" i="1"/>
  <c r="O647" i="1"/>
  <c r="N647" i="1"/>
  <c r="M647" i="1"/>
  <c r="L647" i="1"/>
  <c r="K647" i="1"/>
  <c r="J647" i="1"/>
  <c r="P646" i="1"/>
  <c r="O646" i="1"/>
  <c r="N646" i="1"/>
  <c r="M646" i="1"/>
  <c r="L646" i="1"/>
  <c r="K646" i="1"/>
  <c r="J646" i="1"/>
  <c r="P645" i="1"/>
  <c r="O645" i="1"/>
  <c r="N645" i="1"/>
  <c r="M645" i="1"/>
  <c r="L645" i="1"/>
  <c r="K645" i="1"/>
  <c r="J645" i="1"/>
  <c r="P644" i="1"/>
  <c r="O644" i="1"/>
  <c r="N644" i="1"/>
  <c r="M644" i="1"/>
  <c r="L644" i="1"/>
  <c r="K644" i="1"/>
  <c r="J644" i="1"/>
  <c r="P643" i="1"/>
  <c r="O643" i="1"/>
  <c r="N643" i="1"/>
  <c r="M643" i="1"/>
  <c r="L643" i="1"/>
  <c r="K643" i="1"/>
  <c r="J643" i="1"/>
  <c r="P642" i="1"/>
  <c r="O642" i="1"/>
  <c r="N642" i="1"/>
  <c r="M642" i="1"/>
  <c r="L642" i="1"/>
  <c r="K642" i="1"/>
  <c r="J642" i="1"/>
  <c r="P641" i="1"/>
  <c r="O641" i="1"/>
  <c r="N641" i="1"/>
  <c r="M641" i="1"/>
  <c r="L641" i="1"/>
  <c r="K641" i="1"/>
  <c r="J641" i="1"/>
  <c r="P640" i="1"/>
  <c r="O640" i="1"/>
  <c r="N640" i="1"/>
  <c r="M640" i="1"/>
  <c r="L640" i="1"/>
  <c r="K640" i="1"/>
  <c r="J640" i="1"/>
  <c r="P639" i="1"/>
  <c r="O639" i="1"/>
  <c r="N639" i="1"/>
  <c r="M639" i="1"/>
  <c r="L639" i="1"/>
  <c r="K639" i="1"/>
  <c r="J639" i="1"/>
  <c r="P638" i="1"/>
  <c r="O638" i="1"/>
  <c r="N638" i="1"/>
  <c r="M638" i="1"/>
  <c r="L638" i="1"/>
  <c r="K638" i="1"/>
  <c r="J638" i="1"/>
  <c r="P637" i="1"/>
  <c r="O637" i="1"/>
  <c r="N637" i="1"/>
  <c r="M637" i="1"/>
  <c r="L637" i="1"/>
  <c r="K637" i="1"/>
  <c r="J637" i="1"/>
  <c r="P636" i="1"/>
  <c r="O636" i="1"/>
  <c r="N636" i="1"/>
  <c r="M636" i="1"/>
  <c r="L636" i="1"/>
  <c r="K636" i="1"/>
  <c r="J636" i="1"/>
  <c r="P635" i="1"/>
  <c r="O635" i="1"/>
  <c r="N635" i="1"/>
  <c r="M635" i="1"/>
  <c r="L635" i="1"/>
  <c r="K635" i="1"/>
  <c r="J635" i="1"/>
  <c r="P634" i="1"/>
  <c r="O634" i="1"/>
  <c r="N634" i="1"/>
  <c r="M634" i="1"/>
  <c r="L634" i="1"/>
  <c r="K634" i="1"/>
  <c r="J634" i="1"/>
  <c r="P633" i="1"/>
  <c r="O633" i="1"/>
  <c r="N633" i="1"/>
  <c r="M633" i="1"/>
  <c r="L633" i="1"/>
  <c r="K633" i="1"/>
  <c r="J633" i="1"/>
  <c r="P632" i="1"/>
  <c r="O632" i="1"/>
  <c r="N632" i="1"/>
  <c r="M632" i="1"/>
  <c r="L632" i="1"/>
  <c r="K632" i="1"/>
  <c r="J632" i="1"/>
  <c r="P631" i="1"/>
  <c r="O631" i="1"/>
  <c r="N631" i="1"/>
  <c r="M631" i="1"/>
  <c r="L631" i="1"/>
  <c r="K631" i="1"/>
  <c r="J631" i="1"/>
  <c r="P630" i="1"/>
  <c r="O630" i="1"/>
  <c r="N630" i="1"/>
  <c r="M630" i="1"/>
  <c r="L630" i="1"/>
  <c r="K630" i="1"/>
  <c r="J630" i="1"/>
  <c r="P629" i="1"/>
  <c r="O629" i="1"/>
  <c r="N629" i="1"/>
  <c r="M629" i="1"/>
  <c r="L629" i="1"/>
  <c r="K629" i="1"/>
  <c r="J629" i="1"/>
  <c r="P628" i="1"/>
  <c r="O628" i="1"/>
  <c r="N628" i="1"/>
  <c r="M628" i="1"/>
  <c r="L628" i="1"/>
  <c r="K628" i="1"/>
  <c r="J628" i="1"/>
  <c r="P627" i="1"/>
  <c r="O627" i="1"/>
  <c r="N627" i="1"/>
  <c r="M627" i="1"/>
  <c r="L627" i="1"/>
  <c r="K627" i="1"/>
  <c r="J627" i="1"/>
  <c r="P626" i="1"/>
  <c r="O626" i="1"/>
  <c r="N626" i="1"/>
  <c r="M626" i="1"/>
  <c r="L626" i="1"/>
  <c r="K626" i="1"/>
  <c r="J626" i="1"/>
  <c r="P625" i="1"/>
  <c r="O625" i="1"/>
  <c r="N625" i="1"/>
  <c r="M625" i="1"/>
  <c r="L625" i="1"/>
  <c r="K625" i="1"/>
  <c r="J625" i="1"/>
  <c r="P624" i="1"/>
  <c r="O624" i="1"/>
  <c r="N624" i="1"/>
  <c r="M624" i="1"/>
  <c r="L624" i="1"/>
  <c r="K624" i="1"/>
  <c r="J624" i="1"/>
  <c r="P623" i="1"/>
  <c r="O623" i="1"/>
  <c r="N623" i="1"/>
  <c r="M623" i="1"/>
  <c r="L623" i="1"/>
  <c r="K623" i="1"/>
  <c r="J623" i="1"/>
  <c r="P622" i="1"/>
  <c r="O622" i="1"/>
  <c r="N622" i="1"/>
  <c r="M622" i="1"/>
  <c r="L622" i="1"/>
  <c r="K622" i="1"/>
  <c r="J622" i="1"/>
  <c r="P621" i="1"/>
  <c r="O621" i="1"/>
  <c r="N621" i="1"/>
  <c r="M621" i="1"/>
  <c r="L621" i="1"/>
  <c r="K621" i="1"/>
  <c r="J621" i="1"/>
  <c r="P620" i="1"/>
  <c r="O620" i="1"/>
  <c r="N620" i="1"/>
  <c r="M620" i="1"/>
  <c r="L620" i="1"/>
  <c r="K620" i="1"/>
  <c r="J620" i="1"/>
  <c r="P619" i="1"/>
  <c r="O619" i="1"/>
  <c r="N619" i="1"/>
  <c r="M619" i="1"/>
  <c r="L619" i="1"/>
  <c r="K619" i="1"/>
  <c r="J619" i="1"/>
  <c r="P618" i="1"/>
  <c r="O618" i="1"/>
  <c r="N618" i="1"/>
  <c r="M618" i="1"/>
  <c r="L618" i="1"/>
  <c r="K618" i="1"/>
  <c r="J618" i="1"/>
  <c r="P617" i="1"/>
  <c r="O617" i="1"/>
  <c r="N617" i="1"/>
  <c r="M617" i="1"/>
  <c r="L617" i="1"/>
  <c r="K617" i="1"/>
  <c r="J617" i="1"/>
  <c r="P616" i="1"/>
  <c r="O616" i="1"/>
  <c r="N616" i="1"/>
  <c r="M616" i="1"/>
  <c r="L616" i="1"/>
  <c r="K616" i="1"/>
  <c r="J616" i="1"/>
  <c r="P615" i="1"/>
  <c r="O615" i="1"/>
  <c r="N615" i="1"/>
  <c r="M615" i="1"/>
  <c r="L615" i="1"/>
  <c r="K615" i="1"/>
  <c r="J615" i="1"/>
  <c r="P614" i="1"/>
  <c r="O614" i="1"/>
  <c r="N614" i="1"/>
  <c r="M614" i="1"/>
  <c r="L614" i="1"/>
  <c r="K614" i="1"/>
  <c r="J614" i="1"/>
  <c r="P613" i="1"/>
  <c r="O613" i="1"/>
  <c r="N613" i="1"/>
  <c r="M613" i="1"/>
  <c r="L613" i="1"/>
  <c r="K613" i="1"/>
  <c r="J613" i="1"/>
  <c r="P612" i="1"/>
  <c r="O612" i="1"/>
  <c r="N612" i="1"/>
  <c r="M612" i="1"/>
  <c r="L612" i="1"/>
  <c r="K612" i="1"/>
  <c r="J612" i="1"/>
  <c r="P611" i="1"/>
  <c r="O611" i="1"/>
  <c r="N611" i="1"/>
  <c r="M611" i="1"/>
  <c r="L611" i="1"/>
  <c r="K611" i="1"/>
  <c r="J611" i="1"/>
  <c r="P610" i="1"/>
  <c r="O610" i="1"/>
  <c r="N610" i="1"/>
  <c r="M610" i="1"/>
  <c r="L610" i="1"/>
  <c r="K610" i="1"/>
  <c r="J610" i="1"/>
  <c r="P609" i="1"/>
  <c r="O609" i="1"/>
  <c r="N609" i="1"/>
  <c r="M609" i="1"/>
  <c r="L609" i="1"/>
  <c r="K609" i="1"/>
  <c r="J609" i="1"/>
  <c r="P608" i="1"/>
  <c r="O608" i="1"/>
  <c r="N608" i="1"/>
  <c r="M608" i="1"/>
  <c r="L608" i="1"/>
  <c r="K608" i="1"/>
  <c r="J608" i="1"/>
  <c r="P607" i="1"/>
  <c r="O607" i="1"/>
  <c r="N607" i="1"/>
  <c r="M607" i="1"/>
  <c r="L607" i="1"/>
  <c r="K607" i="1"/>
  <c r="J607" i="1"/>
  <c r="P606" i="1"/>
  <c r="O606" i="1"/>
  <c r="N606" i="1"/>
  <c r="M606" i="1"/>
  <c r="L606" i="1"/>
  <c r="K606" i="1"/>
  <c r="J606" i="1"/>
  <c r="P605" i="1"/>
  <c r="O605" i="1"/>
  <c r="N605" i="1"/>
  <c r="M605" i="1"/>
  <c r="L605" i="1"/>
  <c r="K605" i="1"/>
  <c r="J605" i="1"/>
  <c r="P604" i="1"/>
  <c r="O604" i="1"/>
  <c r="N604" i="1"/>
  <c r="M604" i="1"/>
  <c r="L604" i="1"/>
  <c r="K604" i="1"/>
  <c r="J604" i="1"/>
  <c r="P603" i="1"/>
  <c r="O603" i="1"/>
  <c r="N603" i="1"/>
  <c r="M603" i="1"/>
  <c r="L603" i="1"/>
  <c r="K603" i="1"/>
  <c r="J603" i="1"/>
  <c r="P602" i="1"/>
  <c r="O602" i="1"/>
  <c r="N602" i="1"/>
  <c r="M602" i="1"/>
  <c r="L602" i="1"/>
  <c r="K602" i="1"/>
  <c r="J602" i="1"/>
  <c r="P601" i="1"/>
  <c r="O601" i="1"/>
  <c r="N601" i="1"/>
  <c r="M601" i="1"/>
  <c r="L601" i="1"/>
  <c r="K601" i="1"/>
  <c r="J601" i="1"/>
  <c r="P600" i="1"/>
  <c r="O600" i="1"/>
  <c r="N600" i="1"/>
  <c r="M600" i="1"/>
  <c r="L600" i="1"/>
  <c r="K600" i="1"/>
  <c r="J600" i="1"/>
  <c r="P599" i="1"/>
  <c r="O599" i="1"/>
  <c r="N599" i="1"/>
  <c r="M599" i="1"/>
  <c r="L599" i="1"/>
  <c r="K599" i="1"/>
  <c r="J599" i="1"/>
  <c r="P598" i="1"/>
  <c r="O598" i="1"/>
  <c r="N598" i="1"/>
  <c r="M598" i="1"/>
  <c r="L598" i="1"/>
  <c r="K598" i="1"/>
  <c r="J598" i="1"/>
  <c r="P597" i="1"/>
  <c r="O597" i="1"/>
  <c r="N597" i="1"/>
  <c r="M597" i="1"/>
  <c r="L597" i="1"/>
  <c r="K597" i="1"/>
  <c r="J597" i="1"/>
  <c r="P596" i="1"/>
  <c r="O596" i="1"/>
  <c r="N596" i="1"/>
  <c r="M596" i="1"/>
  <c r="L596" i="1"/>
  <c r="K596" i="1"/>
  <c r="J596" i="1"/>
  <c r="P595" i="1"/>
  <c r="O595" i="1"/>
  <c r="N595" i="1"/>
  <c r="M595" i="1"/>
  <c r="L595" i="1"/>
  <c r="K595" i="1"/>
  <c r="J595" i="1"/>
  <c r="P592" i="1"/>
  <c r="I592" i="1"/>
  <c r="K592" i="1" s="1"/>
  <c r="H592" i="1"/>
  <c r="G592" i="1"/>
  <c r="F592" i="1"/>
  <c r="O592" i="1" s="1"/>
  <c r="E592" i="1"/>
  <c r="D592" i="1"/>
  <c r="N592" i="1" s="1"/>
  <c r="P591" i="1"/>
  <c r="O591" i="1"/>
  <c r="N591" i="1"/>
  <c r="M591" i="1"/>
  <c r="L591" i="1"/>
  <c r="K591" i="1"/>
  <c r="J591" i="1"/>
  <c r="P590" i="1"/>
  <c r="O590" i="1"/>
  <c r="N590" i="1"/>
  <c r="M590" i="1"/>
  <c r="L590" i="1"/>
  <c r="K590" i="1"/>
  <c r="J590" i="1"/>
  <c r="P589" i="1"/>
  <c r="O589" i="1"/>
  <c r="N589" i="1"/>
  <c r="M589" i="1"/>
  <c r="L589" i="1"/>
  <c r="K589" i="1"/>
  <c r="J589" i="1"/>
  <c r="P588" i="1"/>
  <c r="O588" i="1"/>
  <c r="N588" i="1"/>
  <c r="M588" i="1"/>
  <c r="L588" i="1"/>
  <c r="K588" i="1"/>
  <c r="J588" i="1"/>
  <c r="P587" i="1"/>
  <c r="O587" i="1"/>
  <c r="N587" i="1"/>
  <c r="M587" i="1"/>
  <c r="L587" i="1"/>
  <c r="K587" i="1"/>
  <c r="J587" i="1"/>
  <c r="P586" i="1"/>
  <c r="O586" i="1"/>
  <c r="N586" i="1"/>
  <c r="M586" i="1"/>
  <c r="L586" i="1"/>
  <c r="K586" i="1"/>
  <c r="J586" i="1"/>
  <c r="P585" i="1"/>
  <c r="O585" i="1"/>
  <c r="N585" i="1"/>
  <c r="M585" i="1"/>
  <c r="L585" i="1"/>
  <c r="K585" i="1"/>
  <c r="J585" i="1"/>
  <c r="P584" i="1"/>
  <c r="O584" i="1"/>
  <c r="N584" i="1"/>
  <c r="M584" i="1"/>
  <c r="L584" i="1"/>
  <c r="K584" i="1"/>
  <c r="J584" i="1"/>
  <c r="P583" i="1"/>
  <c r="O583" i="1"/>
  <c r="N583" i="1"/>
  <c r="M583" i="1"/>
  <c r="L583" i="1"/>
  <c r="K583" i="1"/>
  <c r="J583" i="1"/>
  <c r="P582" i="1"/>
  <c r="O582" i="1"/>
  <c r="N582" i="1"/>
  <c r="M582" i="1"/>
  <c r="L582" i="1"/>
  <c r="K582" i="1"/>
  <c r="J582" i="1"/>
  <c r="P581" i="1"/>
  <c r="O581" i="1"/>
  <c r="N581" i="1"/>
  <c r="M581" i="1"/>
  <c r="L581" i="1"/>
  <c r="K581" i="1"/>
  <c r="J581" i="1"/>
  <c r="P580" i="1"/>
  <c r="O580" i="1"/>
  <c r="N580" i="1"/>
  <c r="M580" i="1"/>
  <c r="L580" i="1"/>
  <c r="K580" i="1"/>
  <c r="J580" i="1"/>
  <c r="P579" i="1"/>
  <c r="O579" i="1"/>
  <c r="N579" i="1"/>
  <c r="M579" i="1"/>
  <c r="L579" i="1"/>
  <c r="K579" i="1"/>
  <c r="J579" i="1"/>
  <c r="P578" i="1"/>
  <c r="O578" i="1"/>
  <c r="N578" i="1"/>
  <c r="M578" i="1"/>
  <c r="L578" i="1"/>
  <c r="K578" i="1"/>
  <c r="J578" i="1"/>
  <c r="P577" i="1"/>
  <c r="O577" i="1"/>
  <c r="N577" i="1"/>
  <c r="M577" i="1"/>
  <c r="L577" i="1"/>
  <c r="K577" i="1"/>
  <c r="J577" i="1"/>
  <c r="P576" i="1"/>
  <c r="O576" i="1"/>
  <c r="N576" i="1"/>
  <c r="M576" i="1"/>
  <c r="L576" i="1"/>
  <c r="K576" i="1"/>
  <c r="J576" i="1"/>
  <c r="P575" i="1"/>
  <c r="O575" i="1"/>
  <c r="N575" i="1"/>
  <c r="M575" i="1"/>
  <c r="L575" i="1"/>
  <c r="K575" i="1"/>
  <c r="J575" i="1"/>
  <c r="P574" i="1"/>
  <c r="O574" i="1"/>
  <c r="N574" i="1"/>
  <c r="M574" i="1"/>
  <c r="L574" i="1"/>
  <c r="K574" i="1"/>
  <c r="J574" i="1"/>
  <c r="P573" i="1"/>
  <c r="O573" i="1"/>
  <c r="N573" i="1"/>
  <c r="M573" i="1"/>
  <c r="L573" i="1"/>
  <c r="K573" i="1"/>
  <c r="J573" i="1"/>
  <c r="P572" i="1"/>
  <c r="O572" i="1"/>
  <c r="N572" i="1"/>
  <c r="M572" i="1"/>
  <c r="L572" i="1"/>
  <c r="K572" i="1"/>
  <c r="J572" i="1"/>
  <c r="P571" i="1"/>
  <c r="O571" i="1"/>
  <c r="N571" i="1"/>
  <c r="M571" i="1"/>
  <c r="L571" i="1"/>
  <c r="K571" i="1"/>
  <c r="J571" i="1"/>
  <c r="P570" i="1"/>
  <c r="O570" i="1"/>
  <c r="N570" i="1"/>
  <c r="M570" i="1"/>
  <c r="L570" i="1"/>
  <c r="K570" i="1"/>
  <c r="J570" i="1"/>
  <c r="P569" i="1"/>
  <c r="O569" i="1"/>
  <c r="N569" i="1"/>
  <c r="M569" i="1"/>
  <c r="L569" i="1"/>
  <c r="K569" i="1"/>
  <c r="J569" i="1"/>
  <c r="P568" i="1"/>
  <c r="O568" i="1"/>
  <c r="N568" i="1"/>
  <c r="M568" i="1"/>
  <c r="L568" i="1"/>
  <c r="K568" i="1"/>
  <c r="J568" i="1"/>
  <c r="P567" i="1"/>
  <c r="O567" i="1"/>
  <c r="N567" i="1"/>
  <c r="M567" i="1"/>
  <c r="L567" i="1"/>
  <c r="K567" i="1"/>
  <c r="J567" i="1"/>
  <c r="P566" i="1"/>
  <c r="O566" i="1"/>
  <c r="N566" i="1"/>
  <c r="M566" i="1"/>
  <c r="L566" i="1"/>
  <c r="K566" i="1"/>
  <c r="J566" i="1"/>
  <c r="P565" i="1"/>
  <c r="O565" i="1"/>
  <c r="N565" i="1"/>
  <c r="M565" i="1"/>
  <c r="L565" i="1"/>
  <c r="K565" i="1"/>
  <c r="J565" i="1"/>
  <c r="P564" i="1"/>
  <c r="O564" i="1"/>
  <c r="N564" i="1"/>
  <c r="M564" i="1"/>
  <c r="L564" i="1"/>
  <c r="K564" i="1"/>
  <c r="J564" i="1"/>
  <c r="P563" i="1"/>
  <c r="O563" i="1"/>
  <c r="N563" i="1"/>
  <c r="M563" i="1"/>
  <c r="L563" i="1"/>
  <c r="K563" i="1"/>
  <c r="J563" i="1"/>
  <c r="P562" i="1"/>
  <c r="O562" i="1"/>
  <c r="N562" i="1"/>
  <c r="M562" i="1"/>
  <c r="L562" i="1"/>
  <c r="K562" i="1"/>
  <c r="J562" i="1"/>
  <c r="P561" i="1"/>
  <c r="O561" i="1"/>
  <c r="N561" i="1"/>
  <c r="M561" i="1"/>
  <c r="L561" i="1"/>
  <c r="K561" i="1"/>
  <c r="J561" i="1"/>
  <c r="P560" i="1"/>
  <c r="O560" i="1"/>
  <c r="N560" i="1"/>
  <c r="M560" i="1"/>
  <c r="L560" i="1"/>
  <c r="K560" i="1"/>
  <c r="J560" i="1"/>
  <c r="P559" i="1"/>
  <c r="O559" i="1"/>
  <c r="N559" i="1"/>
  <c r="M559" i="1"/>
  <c r="L559" i="1"/>
  <c r="K559" i="1"/>
  <c r="J559" i="1"/>
  <c r="P558" i="1"/>
  <c r="O558" i="1"/>
  <c r="N558" i="1"/>
  <c r="M558" i="1"/>
  <c r="L558" i="1"/>
  <c r="K558" i="1"/>
  <c r="J558" i="1"/>
  <c r="P557" i="1"/>
  <c r="O557" i="1"/>
  <c r="N557" i="1"/>
  <c r="M557" i="1"/>
  <c r="L557" i="1"/>
  <c r="K557" i="1"/>
  <c r="J557" i="1"/>
  <c r="P556" i="1"/>
  <c r="O556" i="1"/>
  <c r="N556" i="1"/>
  <c r="M556" i="1"/>
  <c r="L556" i="1"/>
  <c r="K556" i="1"/>
  <c r="J556" i="1"/>
  <c r="P555" i="1"/>
  <c r="O555" i="1"/>
  <c r="N555" i="1"/>
  <c r="M555" i="1"/>
  <c r="L555" i="1"/>
  <c r="K555" i="1"/>
  <c r="J555" i="1"/>
  <c r="P554" i="1"/>
  <c r="O554" i="1"/>
  <c r="N554" i="1"/>
  <c r="M554" i="1"/>
  <c r="L554" i="1"/>
  <c r="K554" i="1"/>
  <c r="J554" i="1"/>
  <c r="P553" i="1"/>
  <c r="O553" i="1"/>
  <c r="N553" i="1"/>
  <c r="M553" i="1"/>
  <c r="L553" i="1"/>
  <c r="K553" i="1"/>
  <c r="J553" i="1"/>
  <c r="P552" i="1"/>
  <c r="O552" i="1"/>
  <c r="N552" i="1"/>
  <c r="M552" i="1"/>
  <c r="L552" i="1"/>
  <c r="K552" i="1"/>
  <c r="J552" i="1"/>
  <c r="P551" i="1"/>
  <c r="O551" i="1"/>
  <c r="N551" i="1"/>
  <c r="M551" i="1"/>
  <c r="L551" i="1"/>
  <c r="K551" i="1"/>
  <c r="J551" i="1"/>
  <c r="P550" i="1"/>
  <c r="O550" i="1"/>
  <c r="N550" i="1"/>
  <c r="M550" i="1"/>
  <c r="L550" i="1"/>
  <c r="K550" i="1"/>
  <c r="J550" i="1"/>
  <c r="P549" i="1"/>
  <c r="O549" i="1"/>
  <c r="N549" i="1"/>
  <c r="M549" i="1"/>
  <c r="L549" i="1"/>
  <c r="K549" i="1"/>
  <c r="J549" i="1"/>
  <c r="P548" i="1"/>
  <c r="O548" i="1"/>
  <c r="N548" i="1"/>
  <c r="M548" i="1"/>
  <c r="L548" i="1"/>
  <c r="K548" i="1"/>
  <c r="J548" i="1"/>
  <c r="P547" i="1"/>
  <c r="O547" i="1"/>
  <c r="N547" i="1"/>
  <c r="M547" i="1"/>
  <c r="L547" i="1"/>
  <c r="K547" i="1"/>
  <c r="J547" i="1"/>
  <c r="P546" i="1"/>
  <c r="O546" i="1"/>
  <c r="N546" i="1"/>
  <c r="M546" i="1"/>
  <c r="L546" i="1"/>
  <c r="K546" i="1"/>
  <c r="J546" i="1"/>
  <c r="P545" i="1"/>
  <c r="O545" i="1"/>
  <c r="N545" i="1"/>
  <c r="M545" i="1"/>
  <c r="L545" i="1"/>
  <c r="K545" i="1"/>
  <c r="J545" i="1"/>
  <c r="P544" i="1"/>
  <c r="O544" i="1"/>
  <c r="N544" i="1"/>
  <c r="M544" i="1"/>
  <c r="L544" i="1"/>
  <c r="K544" i="1"/>
  <c r="J544" i="1"/>
  <c r="P543" i="1"/>
  <c r="O543" i="1"/>
  <c r="N543" i="1"/>
  <c r="M543" i="1"/>
  <c r="L543" i="1"/>
  <c r="K543" i="1"/>
  <c r="J543" i="1"/>
  <c r="P542" i="1"/>
  <c r="O542" i="1"/>
  <c r="N542" i="1"/>
  <c r="M542" i="1"/>
  <c r="L542" i="1"/>
  <c r="K542" i="1"/>
  <c r="J542" i="1"/>
  <c r="P541" i="1"/>
  <c r="O541" i="1"/>
  <c r="N541" i="1"/>
  <c r="M541" i="1"/>
  <c r="L541" i="1"/>
  <c r="K541" i="1"/>
  <c r="J541" i="1"/>
  <c r="P540" i="1"/>
  <c r="O540" i="1"/>
  <c r="N540" i="1"/>
  <c r="M540" i="1"/>
  <c r="L540" i="1"/>
  <c r="K540" i="1"/>
  <c r="J540" i="1"/>
  <c r="P539" i="1"/>
  <c r="O539" i="1"/>
  <c r="N539" i="1"/>
  <c r="M539" i="1"/>
  <c r="L539" i="1"/>
  <c r="K539" i="1"/>
  <c r="J539" i="1"/>
  <c r="P538" i="1"/>
  <c r="O538" i="1"/>
  <c r="N538" i="1"/>
  <c r="M538" i="1"/>
  <c r="L538" i="1"/>
  <c r="K538" i="1"/>
  <c r="J538" i="1"/>
  <c r="P537" i="1"/>
  <c r="O537" i="1"/>
  <c r="N537" i="1"/>
  <c r="M537" i="1"/>
  <c r="L537" i="1"/>
  <c r="K537" i="1"/>
  <c r="J537" i="1"/>
  <c r="P536" i="1"/>
  <c r="O536" i="1"/>
  <c r="N536" i="1"/>
  <c r="M536" i="1"/>
  <c r="L536" i="1"/>
  <c r="K536" i="1"/>
  <c r="J536" i="1"/>
  <c r="O533" i="1"/>
  <c r="I533" i="1"/>
  <c r="P533" i="1" s="1"/>
  <c r="H533" i="1"/>
  <c r="G533" i="1"/>
  <c r="F533" i="1"/>
  <c r="E533" i="1"/>
  <c r="M533" i="1" s="1"/>
  <c r="D533" i="1"/>
  <c r="L533" i="1" s="1"/>
  <c r="P532" i="1"/>
  <c r="O532" i="1"/>
  <c r="N532" i="1"/>
  <c r="M532" i="1"/>
  <c r="L532" i="1"/>
  <c r="K532" i="1"/>
  <c r="J532" i="1"/>
  <c r="P531" i="1"/>
  <c r="O531" i="1"/>
  <c r="N531" i="1"/>
  <c r="M531" i="1"/>
  <c r="L531" i="1"/>
  <c r="K531" i="1"/>
  <c r="J531" i="1"/>
  <c r="P530" i="1"/>
  <c r="O530" i="1"/>
  <c r="N530" i="1"/>
  <c r="M530" i="1"/>
  <c r="L530" i="1"/>
  <c r="K530" i="1"/>
  <c r="J530" i="1"/>
  <c r="P529" i="1"/>
  <c r="O529" i="1"/>
  <c r="N529" i="1"/>
  <c r="M529" i="1"/>
  <c r="L529" i="1"/>
  <c r="K529" i="1"/>
  <c r="J529" i="1"/>
  <c r="P528" i="1"/>
  <c r="O528" i="1"/>
  <c r="N528" i="1"/>
  <c r="M528" i="1"/>
  <c r="L528" i="1"/>
  <c r="K528" i="1"/>
  <c r="J528" i="1"/>
  <c r="P527" i="1"/>
  <c r="O527" i="1"/>
  <c r="N527" i="1"/>
  <c r="M527" i="1"/>
  <c r="L527" i="1"/>
  <c r="K527" i="1"/>
  <c r="J527" i="1"/>
  <c r="P526" i="1"/>
  <c r="O526" i="1"/>
  <c r="N526" i="1"/>
  <c r="M526" i="1"/>
  <c r="L526" i="1"/>
  <c r="K526" i="1"/>
  <c r="J526" i="1"/>
  <c r="P525" i="1"/>
  <c r="O525" i="1"/>
  <c r="N525" i="1"/>
  <c r="M525" i="1"/>
  <c r="L525" i="1"/>
  <c r="K525" i="1"/>
  <c r="J525" i="1"/>
  <c r="P524" i="1"/>
  <c r="O524" i="1"/>
  <c r="N524" i="1"/>
  <c r="M524" i="1"/>
  <c r="L524" i="1"/>
  <c r="K524" i="1"/>
  <c r="J524" i="1"/>
  <c r="P523" i="1"/>
  <c r="O523" i="1"/>
  <c r="N523" i="1"/>
  <c r="M523" i="1"/>
  <c r="L523" i="1"/>
  <c r="K523" i="1"/>
  <c r="J523" i="1"/>
  <c r="P522" i="1"/>
  <c r="O522" i="1"/>
  <c r="N522" i="1"/>
  <c r="M522" i="1"/>
  <c r="L522" i="1"/>
  <c r="K522" i="1"/>
  <c r="J522" i="1"/>
  <c r="P521" i="1"/>
  <c r="O521" i="1"/>
  <c r="N521" i="1"/>
  <c r="M521" i="1"/>
  <c r="L521" i="1"/>
  <c r="K521" i="1"/>
  <c r="J521" i="1"/>
  <c r="P520" i="1"/>
  <c r="O520" i="1"/>
  <c r="N520" i="1"/>
  <c r="M520" i="1"/>
  <c r="L520" i="1"/>
  <c r="K520" i="1"/>
  <c r="J520" i="1"/>
  <c r="P519" i="1"/>
  <c r="O519" i="1"/>
  <c r="N519" i="1"/>
  <c r="M519" i="1"/>
  <c r="L519" i="1"/>
  <c r="K519" i="1"/>
  <c r="J519" i="1"/>
  <c r="P518" i="1"/>
  <c r="O518" i="1"/>
  <c r="N518" i="1"/>
  <c r="M518" i="1"/>
  <c r="L518" i="1"/>
  <c r="K518" i="1"/>
  <c r="J518" i="1"/>
  <c r="P517" i="1"/>
  <c r="O517" i="1"/>
  <c r="N517" i="1"/>
  <c r="M517" i="1"/>
  <c r="L517" i="1"/>
  <c r="K517" i="1"/>
  <c r="J517" i="1"/>
  <c r="P516" i="1"/>
  <c r="O516" i="1"/>
  <c r="N516" i="1"/>
  <c r="M516" i="1"/>
  <c r="L516" i="1"/>
  <c r="K516" i="1"/>
  <c r="J516" i="1"/>
  <c r="P515" i="1"/>
  <c r="O515" i="1"/>
  <c r="N515" i="1"/>
  <c r="M515" i="1"/>
  <c r="L515" i="1"/>
  <c r="K515" i="1"/>
  <c r="J515" i="1"/>
  <c r="P514" i="1"/>
  <c r="O514" i="1"/>
  <c r="N514" i="1"/>
  <c r="M514" i="1"/>
  <c r="L514" i="1"/>
  <c r="K514" i="1"/>
  <c r="J514" i="1"/>
  <c r="P513" i="1"/>
  <c r="O513" i="1"/>
  <c r="N513" i="1"/>
  <c r="M513" i="1"/>
  <c r="L513" i="1"/>
  <c r="K513" i="1"/>
  <c r="J513" i="1"/>
  <c r="P512" i="1"/>
  <c r="O512" i="1"/>
  <c r="N512" i="1"/>
  <c r="M512" i="1"/>
  <c r="L512" i="1"/>
  <c r="K512" i="1"/>
  <c r="J512" i="1"/>
  <c r="P511" i="1"/>
  <c r="O511" i="1"/>
  <c r="N511" i="1"/>
  <c r="M511" i="1"/>
  <c r="L511" i="1"/>
  <c r="K511" i="1"/>
  <c r="J511" i="1"/>
  <c r="P510" i="1"/>
  <c r="O510" i="1"/>
  <c r="N510" i="1"/>
  <c r="M510" i="1"/>
  <c r="L510" i="1"/>
  <c r="K510" i="1"/>
  <c r="J510" i="1"/>
  <c r="P509" i="1"/>
  <c r="O509" i="1"/>
  <c r="N509" i="1"/>
  <c r="M509" i="1"/>
  <c r="L509" i="1"/>
  <c r="K509" i="1"/>
  <c r="J509" i="1"/>
  <c r="P508" i="1"/>
  <c r="O508" i="1"/>
  <c r="N508" i="1"/>
  <c r="M508" i="1"/>
  <c r="L508" i="1"/>
  <c r="K508" i="1"/>
  <c r="J508" i="1"/>
  <c r="P507" i="1"/>
  <c r="O507" i="1"/>
  <c r="N507" i="1"/>
  <c r="M507" i="1"/>
  <c r="L507" i="1"/>
  <c r="K507" i="1"/>
  <c r="J507" i="1"/>
  <c r="P506" i="1"/>
  <c r="O506" i="1"/>
  <c r="N506" i="1"/>
  <c r="M506" i="1"/>
  <c r="L506" i="1"/>
  <c r="K506" i="1"/>
  <c r="J506" i="1"/>
  <c r="P505" i="1"/>
  <c r="O505" i="1"/>
  <c r="N505" i="1"/>
  <c r="M505" i="1"/>
  <c r="L505" i="1"/>
  <c r="K505" i="1"/>
  <c r="J505" i="1"/>
  <c r="P504" i="1"/>
  <c r="O504" i="1"/>
  <c r="N504" i="1"/>
  <c r="M504" i="1"/>
  <c r="L504" i="1"/>
  <c r="K504" i="1"/>
  <c r="J504" i="1"/>
  <c r="P503" i="1"/>
  <c r="O503" i="1"/>
  <c r="N503" i="1"/>
  <c r="M503" i="1"/>
  <c r="L503" i="1"/>
  <c r="K503" i="1"/>
  <c r="J503" i="1"/>
  <c r="P502" i="1"/>
  <c r="O502" i="1"/>
  <c r="N502" i="1"/>
  <c r="M502" i="1"/>
  <c r="L502" i="1"/>
  <c r="K502" i="1"/>
  <c r="J502" i="1"/>
  <c r="P501" i="1"/>
  <c r="O501" i="1"/>
  <c r="N501" i="1"/>
  <c r="M501" i="1"/>
  <c r="L501" i="1"/>
  <c r="K501" i="1"/>
  <c r="J501" i="1"/>
  <c r="P500" i="1"/>
  <c r="O500" i="1"/>
  <c r="N500" i="1"/>
  <c r="M500" i="1"/>
  <c r="L500" i="1"/>
  <c r="K500" i="1"/>
  <c r="J500" i="1"/>
  <c r="P499" i="1"/>
  <c r="O499" i="1"/>
  <c r="N499" i="1"/>
  <c r="M499" i="1"/>
  <c r="L499" i="1"/>
  <c r="K499" i="1"/>
  <c r="J499" i="1"/>
  <c r="P498" i="1"/>
  <c r="O498" i="1"/>
  <c r="N498" i="1"/>
  <c r="M498" i="1"/>
  <c r="L498" i="1"/>
  <c r="K498" i="1"/>
  <c r="J498" i="1"/>
  <c r="P497" i="1"/>
  <c r="O497" i="1"/>
  <c r="N497" i="1"/>
  <c r="M497" i="1"/>
  <c r="L497" i="1"/>
  <c r="K497" i="1"/>
  <c r="J497" i="1"/>
  <c r="P496" i="1"/>
  <c r="O496" i="1"/>
  <c r="N496" i="1"/>
  <c r="M496" i="1"/>
  <c r="L496" i="1"/>
  <c r="K496" i="1"/>
  <c r="J496" i="1"/>
  <c r="P495" i="1"/>
  <c r="O495" i="1"/>
  <c r="N495" i="1"/>
  <c r="M495" i="1"/>
  <c r="L495" i="1"/>
  <c r="K495" i="1"/>
  <c r="J495" i="1"/>
  <c r="P494" i="1"/>
  <c r="O494" i="1"/>
  <c r="N494" i="1"/>
  <c r="M494" i="1"/>
  <c r="L494" i="1"/>
  <c r="K494" i="1"/>
  <c r="J494" i="1"/>
  <c r="P493" i="1"/>
  <c r="O493" i="1"/>
  <c r="N493" i="1"/>
  <c r="M493" i="1"/>
  <c r="L493" i="1"/>
  <c r="K493" i="1"/>
  <c r="J493" i="1"/>
  <c r="P492" i="1"/>
  <c r="O492" i="1"/>
  <c r="N492" i="1"/>
  <c r="M492" i="1"/>
  <c r="L492" i="1"/>
  <c r="K492" i="1"/>
  <c r="J492" i="1"/>
  <c r="P491" i="1"/>
  <c r="O491" i="1"/>
  <c r="N491" i="1"/>
  <c r="M491" i="1"/>
  <c r="L491" i="1"/>
  <c r="K491" i="1"/>
  <c r="J491" i="1"/>
  <c r="P490" i="1"/>
  <c r="O490" i="1"/>
  <c r="N490" i="1"/>
  <c r="M490" i="1"/>
  <c r="L490" i="1"/>
  <c r="K490" i="1"/>
  <c r="J490" i="1"/>
  <c r="P489" i="1"/>
  <c r="O489" i="1"/>
  <c r="N489" i="1"/>
  <c r="M489" i="1"/>
  <c r="L489" i="1"/>
  <c r="K489" i="1"/>
  <c r="J489" i="1"/>
  <c r="P488" i="1"/>
  <c r="O488" i="1"/>
  <c r="N488" i="1"/>
  <c r="M488" i="1"/>
  <c r="L488" i="1"/>
  <c r="K488" i="1"/>
  <c r="J488" i="1"/>
  <c r="P487" i="1"/>
  <c r="O487" i="1"/>
  <c r="N487" i="1"/>
  <c r="M487" i="1"/>
  <c r="L487" i="1"/>
  <c r="K487" i="1"/>
  <c r="J487" i="1"/>
  <c r="P486" i="1"/>
  <c r="O486" i="1"/>
  <c r="N486" i="1"/>
  <c r="M486" i="1"/>
  <c r="L486" i="1"/>
  <c r="K486" i="1"/>
  <c r="J486" i="1"/>
  <c r="P485" i="1"/>
  <c r="O485" i="1"/>
  <c r="N485" i="1"/>
  <c r="M485" i="1"/>
  <c r="L485" i="1"/>
  <c r="K485" i="1"/>
  <c r="J485" i="1"/>
  <c r="P484" i="1"/>
  <c r="O484" i="1"/>
  <c r="N484" i="1"/>
  <c r="M484" i="1"/>
  <c r="L484" i="1"/>
  <c r="K484" i="1"/>
  <c r="J484" i="1"/>
  <c r="P483" i="1"/>
  <c r="O483" i="1"/>
  <c r="N483" i="1"/>
  <c r="M483" i="1"/>
  <c r="L483" i="1"/>
  <c r="K483" i="1"/>
  <c r="J483" i="1"/>
  <c r="P482" i="1"/>
  <c r="O482" i="1"/>
  <c r="N482" i="1"/>
  <c r="M482" i="1"/>
  <c r="L482" i="1"/>
  <c r="K482" i="1"/>
  <c r="J482" i="1"/>
  <c r="P481" i="1"/>
  <c r="O481" i="1"/>
  <c r="N481" i="1"/>
  <c r="M481" i="1"/>
  <c r="L481" i="1"/>
  <c r="K481" i="1"/>
  <c r="J481" i="1"/>
  <c r="P480" i="1"/>
  <c r="O480" i="1"/>
  <c r="N480" i="1"/>
  <c r="M480" i="1"/>
  <c r="L480" i="1"/>
  <c r="K480" i="1"/>
  <c r="J480" i="1"/>
  <c r="P479" i="1"/>
  <c r="O479" i="1"/>
  <c r="N479" i="1"/>
  <c r="M479" i="1"/>
  <c r="L479" i="1"/>
  <c r="K479" i="1"/>
  <c r="J479" i="1"/>
  <c r="P478" i="1"/>
  <c r="O478" i="1"/>
  <c r="N478" i="1"/>
  <c r="M478" i="1"/>
  <c r="L478" i="1"/>
  <c r="K478" i="1"/>
  <c r="J478" i="1"/>
  <c r="P477" i="1"/>
  <c r="O477" i="1"/>
  <c r="N477" i="1"/>
  <c r="M477" i="1"/>
  <c r="L477" i="1"/>
  <c r="K477" i="1"/>
  <c r="J477" i="1"/>
  <c r="P474" i="1"/>
  <c r="I474" i="1"/>
  <c r="K474" i="1" s="1"/>
  <c r="H474" i="1"/>
  <c r="G474" i="1"/>
  <c r="F474" i="1"/>
  <c r="O474" i="1" s="1"/>
  <c r="E474" i="1"/>
  <c r="D474" i="1"/>
  <c r="L474" i="1" s="1"/>
  <c r="P473" i="1"/>
  <c r="O473" i="1"/>
  <c r="N473" i="1"/>
  <c r="M473" i="1"/>
  <c r="L473" i="1"/>
  <c r="K473" i="1"/>
  <c r="J473" i="1"/>
  <c r="P472" i="1"/>
  <c r="O472" i="1"/>
  <c r="N472" i="1"/>
  <c r="M472" i="1"/>
  <c r="L472" i="1"/>
  <c r="K472" i="1"/>
  <c r="J472" i="1"/>
  <c r="P471" i="1"/>
  <c r="O471" i="1"/>
  <c r="N471" i="1"/>
  <c r="M471" i="1"/>
  <c r="L471" i="1"/>
  <c r="K471" i="1"/>
  <c r="J471" i="1"/>
  <c r="P470" i="1"/>
  <c r="O470" i="1"/>
  <c r="N470" i="1"/>
  <c r="M470" i="1"/>
  <c r="L470" i="1"/>
  <c r="K470" i="1"/>
  <c r="J470" i="1"/>
  <c r="P469" i="1"/>
  <c r="O469" i="1"/>
  <c r="N469" i="1"/>
  <c r="M469" i="1"/>
  <c r="L469" i="1"/>
  <c r="K469" i="1"/>
  <c r="J469" i="1"/>
  <c r="P468" i="1"/>
  <c r="O468" i="1"/>
  <c r="N468" i="1"/>
  <c r="M468" i="1"/>
  <c r="L468" i="1"/>
  <c r="K468" i="1"/>
  <c r="J468" i="1"/>
  <c r="P467" i="1"/>
  <c r="O467" i="1"/>
  <c r="N467" i="1"/>
  <c r="M467" i="1"/>
  <c r="L467" i="1"/>
  <c r="K467" i="1"/>
  <c r="J467" i="1"/>
  <c r="P466" i="1"/>
  <c r="O466" i="1"/>
  <c r="N466" i="1"/>
  <c r="M466" i="1"/>
  <c r="L466" i="1"/>
  <c r="K466" i="1"/>
  <c r="J466" i="1"/>
  <c r="P465" i="1"/>
  <c r="O465" i="1"/>
  <c r="N465" i="1"/>
  <c r="M465" i="1"/>
  <c r="L465" i="1"/>
  <c r="K465" i="1"/>
  <c r="J465" i="1"/>
  <c r="P464" i="1"/>
  <c r="O464" i="1"/>
  <c r="N464" i="1"/>
  <c r="M464" i="1"/>
  <c r="L464" i="1"/>
  <c r="K464" i="1"/>
  <c r="J464" i="1"/>
  <c r="P463" i="1"/>
  <c r="O463" i="1"/>
  <c r="N463" i="1"/>
  <c r="M463" i="1"/>
  <c r="L463" i="1"/>
  <c r="K463" i="1"/>
  <c r="J463" i="1"/>
  <c r="P462" i="1"/>
  <c r="O462" i="1"/>
  <c r="N462" i="1"/>
  <c r="M462" i="1"/>
  <c r="L462" i="1"/>
  <c r="K462" i="1"/>
  <c r="J462" i="1"/>
  <c r="P461" i="1"/>
  <c r="O461" i="1"/>
  <c r="N461" i="1"/>
  <c r="M461" i="1"/>
  <c r="L461" i="1"/>
  <c r="K461" i="1"/>
  <c r="J461" i="1"/>
  <c r="P460" i="1"/>
  <c r="O460" i="1"/>
  <c r="N460" i="1"/>
  <c r="M460" i="1"/>
  <c r="L460" i="1"/>
  <c r="K460" i="1"/>
  <c r="J460" i="1"/>
  <c r="P459" i="1"/>
  <c r="O459" i="1"/>
  <c r="N459" i="1"/>
  <c r="M459" i="1"/>
  <c r="L459" i="1"/>
  <c r="K459" i="1"/>
  <c r="J459" i="1"/>
  <c r="P458" i="1"/>
  <c r="O458" i="1"/>
  <c r="N458" i="1"/>
  <c r="M458" i="1"/>
  <c r="L458" i="1"/>
  <c r="K458" i="1"/>
  <c r="J458" i="1"/>
  <c r="P457" i="1"/>
  <c r="O457" i="1"/>
  <c r="N457" i="1"/>
  <c r="M457" i="1"/>
  <c r="L457" i="1"/>
  <c r="K457" i="1"/>
  <c r="J457" i="1"/>
  <c r="P456" i="1"/>
  <c r="O456" i="1"/>
  <c r="N456" i="1"/>
  <c r="M456" i="1"/>
  <c r="L456" i="1"/>
  <c r="K456" i="1"/>
  <c r="J456" i="1"/>
  <c r="P455" i="1"/>
  <c r="O455" i="1"/>
  <c r="N455" i="1"/>
  <c r="M455" i="1"/>
  <c r="L455" i="1"/>
  <c r="K455" i="1"/>
  <c r="J455" i="1"/>
  <c r="P454" i="1"/>
  <c r="O454" i="1"/>
  <c r="N454" i="1"/>
  <c r="M454" i="1"/>
  <c r="L454" i="1"/>
  <c r="K454" i="1"/>
  <c r="J454" i="1"/>
  <c r="P453" i="1"/>
  <c r="O453" i="1"/>
  <c r="N453" i="1"/>
  <c r="M453" i="1"/>
  <c r="L453" i="1"/>
  <c r="K453" i="1"/>
  <c r="J453" i="1"/>
  <c r="P452" i="1"/>
  <c r="O452" i="1"/>
  <c r="N452" i="1"/>
  <c r="M452" i="1"/>
  <c r="L452" i="1"/>
  <c r="K452" i="1"/>
  <c r="J452" i="1"/>
  <c r="P451" i="1"/>
  <c r="O451" i="1"/>
  <c r="N451" i="1"/>
  <c r="M451" i="1"/>
  <c r="L451" i="1"/>
  <c r="K451" i="1"/>
  <c r="J451" i="1"/>
  <c r="P450" i="1"/>
  <c r="O450" i="1"/>
  <c r="N450" i="1"/>
  <c r="M450" i="1"/>
  <c r="L450" i="1"/>
  <c r="K450" i="1"/>
  <c r="J450" i="1"/>
  <c r="P449" i="1"/>
  <c r="O449" i="1"/>
  <c r="N449" i="1"/>
  <c r="M449" i="1"/>
  <c r="L449" i="1"/>
  <c r="K449" i="1"/>
  <c r="J449" i="1"/>
  <c r="P448" i="1"/>
  <c r="O448" i="1"/>
  <c r="N448" i="1"/>
  <c r="M448" i="1"/>
  <c r="L448" i="1"/>
  <c r="K448" i="1"/>
  <c r="J448" i="1"/>
  <c r="P447" i="1"/>
  <c r="O447" i="1"/>
  <c r="N447" i="1"/>
  <c r="M447" i="1"/>
  <c r="L447" i="1"/>
  <c r="K447" i="1"/>
  <c r="J447" i="1"/>
  <c r="P446" i="1"/>
  <c r="O446" i="1"/>
  <c r="N446" i="1"/>
  <c r="M446" i="1"/>
  <c r="L446" i="1"/>
  <c r="K446" i="1"/>
  <c r="J446" i="1"/>
  <c r="P445" i="1"/>
  <c r="O445" i="1"/>
  <c r="N445" i="1"/>
  <c r="M445" i="1"/>
  <c r="L445" i="1"/>
  <c r="K445" i="1"/>
  <c r="J445" i="1"/>
  <c r="P444" i="1"/>
  <c r="O444" i="1"/>
  <c r="N444" i="1"/>
  <c r="M444" i="1"/>
  <c r="L444" i="1"/>
  <c r="K444" i="1"/>
  <c r="J444" i="1"/>
  <c r="P443" i="1"/>
  <c r="O443" i="1"/>
  <c r="N443" i="1"/>
  <c r="M443" i="1"/>
  <c r="L443" i="1"/>
  <c r="K443" i="1"/>
  <c r="J443" i="1"/>
  <c r="P442" i="1"/>
  <c r="O442" i="1"/>
  <c r="N442" i="1"/>
  <c r="M442" i="1"/>
  <c r="L442" i="1"/>
  <c r="K442" i="1"/>
  <c r="J442" i="1"/>
  <c r="P441" i="1"/>
  <c r="O441" i="1"/>
  <c r="N441" i="1"/>
  <c r="M441" i="1"/>
  <c r="L441" i="1"/>
  <c r="K441" i="1"/>
  <c r="J441" i="1"/>
  <c r="P440" i="1"/>
  <c r="O440" i="1"/>
  <c r="N440" i="1"/>
  <c r="M440" i="1"/>
  <c r="L440" i="1"/>
  <c r="K440" i="1"/>
  <c r="J440" i="1"/>
  <c r="P439" i="1"/>
  <c r="O439" i="1"/>
  <c r="N439" i="1"/>
  <c r="M439" i="1"/>
  <c r="L439" i="1"/>
  <c r="K439" i="1"/>
  <c r="J439" i="1"/>
  <c r="P438" i="1"/>
  <c r="O438" i="1"/>
  <c r="N438" i="1"/>
  <c r="M438" i="1"/>
  <c r="L438" i="1"/>
  <c r="K438" i="1"/>
  <c r="J438" i="1"/>
  <c r="P437" i="1"/>
  <c r="O437" i="1"/>
  <c r="N437" i="1"/>
  <c r="M437" i="1"/>
  <c r="L437" i="1"/>
  <c r="K437" i="1"/>
  <c r="J437" i="1"/>
  <c r="P436" i="1"/>
  <c r="O436" i="1"/>
  <c r="N436" i="1"/>
  <c r="M436" i="1"/>
  <c r="L436" i="1"/>
  <c r="K436" i="1"/>
  <c r="J436" i="1"/>
  <c r="P435" i="1"/>
  <c r="O435" i="1"/>
  <c r="N435" i="1"/>
  <c r="M435" i="1"/>
  <c r="L435" i="1"/>
  <c r="K435" i="1"/>
  <c r="J435" i="1"/>
  <c r="P434" i="1"/>
  <c r="O434" i="1"/>
  <c r="N434" i="1"/>
  <c r="M434" i="1"/>
  <c r="L434" i="1"/>
  <c r="K434" i="1"/>
  <c r="J434" i="1"/>
  <c r="P433" i="1"/>
  <c r="O433" i="1"/>
  <c r="N433" i="1"/>
  <c r="M433" i="1"/>
  <c r="L433" i="1"/>
  <c r="K433" i="1"/>
  <c r="J433" i="1"/>
  <c r="P432" i="1"/>
  <c r="O432" i="1"/>
  <c r="N432" i="1"/>
  <c r="M432" i="1"/>
  <c r="L432" i="1"/>
  <c r="K432" i="1"/>
  <c r="J432" i="1"/>
  <c r="P431" i="1"/>
  <c r="O431" i="1"/>
  <c r="N431" i="1"/>
  <c r="M431" i="1"/>
  <c r="L431" i="1"/>
  <c r="K431" i="1"/>
  <c r="J431" i="1"/>
  <c r="P430" i="1"/>
  <c r="O430" i="1"/>
  <c r="N430" i="1"/>
  <c r="M430" i="1"/>
  <c r="L430" i="1"/>
  <c r="K430" i="1"/>
  <c r="J430" i="1"/>
  <c r="P429" i="1"/>
  <c r="O429" i="1"/>
  <c r="N429" i="1"/>
  <c r="M429" i="1"/>
  <c r="L429" i="1"/>
  <c r="K429" i="1"/>
  <c r="J429" i="1"/>
  <c r="P428" i="1"/>
  <c r="O428" i="1"/>
  <c r="N428" i="1"/>
  <c r="M428" i="1"/>
  <c r="L428" i="1"/>
  <c r="K428" i="1"/>
  <c r="J428" i="1"/>
  <c r="P427" i="1"/>
  <c r="O427" i="1"/>
  <c r="N427" i="1"/>
  <c r="M427" i="1"/>
  <c r="L427" i="1"/>
  <c r="K427" i="1"/>
  <c r="J427" i="1"/>
  <c r="P426" i="1"/>
  <c r="O426" i="1"/>
  <c r="N426" i="1"/>
  <c r="M426" i="1"/>
  <c r="L426" i="1"/>
  <c r="K426" i="1"/>
  <c r="J426" i="1"/>
  <c r="P425" i="1"/>
  <c r="O425" i="1"/>
  <c r="N425" i="1"/>
  <c r="M425" i="1"/>
  <c r="L425" i="1"/>
  <c r="K425" i="1"/>
  <c r="J425" i="1"/>
  <c r="P424" i="1"/>
  <c r="O424" i="1"/>
  <c r="N424" i="1"/>
  <c r="M424" i="1"/>
  <c r="L424" i="1"/>
  <c r="K424" i="1"/>
  <c r="J424" i="1"/>
  <c r="P423" i="1"/>
  <c r="O423" i="1"/>
  <c r="N423" i="1"/>
  <c r="M423" i="1"/>
  <c r="L423" i="1"/>
  <c r="K423" i="1"/>
  <c r="J423" i="1"/>
  <c r="P422" i="1"/>
  <c r="O422" i="1"/>
  <c r="N422" i="1"/>
  <c r="M422" i="1"/>
  <c r="L422" i="1"/>
  <c r="K422" i="1"/>
  <c r="J422" i="1"/>
  <c r="P421" i="1"/>
  <c r="O421" i="1"/>
  <c r="N421" i="1"/>
  <c r="M421" i="1"/>
  <c r="L421" i="1"/>
  <c r="K421" i="1"/>
  <c r="J421" i="1"/>
  <c r="P420" i="1"/>
  <c r="O420" i="1"/>
  <c r="N420" i="1"/>
  <c r="M420" i="1"/>
  <c r="L420" i="1"/>
  <c r="K420" i="1"/>
  <c r="J420" i="1"/>
  <c r="P419" i="1"/>
  <c r="O419" i="1"/>
  <c r="N419" i="1"/>
  <c r="M419" i="1"/>
  <c r="L419" i="1"/>
  <c r="K419" i="1"/>
  <c r="J419" i="1"/>
  <c r="P418" i="1"/>
  <c r="O418" i="1"/>
  <c r="N418" i="1"/>
  <c r="M418" i="1"/>
  <c r="L418" i="1"/>
  <c r="K418" i="1"/>
  <c r="J418" i="1"/>
  <c r="O415" i="1"/>
  <c r="I415" i="1"/>
  <c r="P415" i="1" s="1"/>
  <c r="H415" i="1"/>
  <c r="G415" i="1"/>
  <c r="F415" i="1"/>
  <c r="E415" i="1"/>
  <c r="M415" i="1" s="1"/>
  <c r="D415" i="1"/>
  <c r="L415" i="1" s="1"/>
  <c r="P414" i="1"/>
  <c r="O414" i="1"/>
  <c r="N414" i="1"/>
  <c r="M414" i="1"/>
  <c r="L414" i="1"/>
  <c r="K414" i="1"/>
  <c r="J414" i="1"/>
  <c r="P413" i="1"/>
  <c r="O413" i="1"/>
  <c r="N413" i="1"/>
  <c r="M413" i="1"/>
  <c r="L413" i="1"/>
  <c r="K413" i="1"/>
  <c r="J413" i="1"/>
  <c r="P412" i="1"/>
  <c r="O412" i="1"/>
  <c r="N412" i="1"/>
  <c r="M412" i="1"/>
  <c r="L412" i="1"/>
  <c r="K412" i="1"/>
  <c r="J412" i="1"/>
  <c r="P411" i="1"/>
  <c r="O411" i="1"/>
  <c r="N411" i="1"/>
  <c r="M411" i="1"/>
  <c r="L411" i="1"/>
  <c r="K411" i="1"/>
  <c r="J411" i="1"/>
  <c r="P410" i="1"/>
  <c r="O410" i="1"/>
  <c r="N410" i="1"/>
  <c r="M410" i="1"/>
  <c r="L410" i="1"/>
  <c r="K410" i="1"/>
  <c r="J410" i="1"/>
  <c r="P409" i="1"/>
  <c r="O409" i="1"/>
  <c r="N409" i="1"/>
  <c r="M409" i="1"/>
  <c r="L409" i="1"/>
  <c r="K409" i="1"/>
  <c r="J409" i="1"/>
  <c r="P408" i="1"/>
  <c r="O408" i="1"/>
  <c r="N408" i="1"/>
  <c r="M408" i="1"/>
  <c r="L408" i="1"/>
  <c r="K408" i="1"/>
  <c r="J408" i="1"/>
  <c r="P407" i="1"/>
  <c r="O407" i="1"/>
  <c r="N407" i="1"/>
  <c r="M407" i="1"/>
  <c r="L407" i="1"/>
  <c r="K407" i="1"/>
  <c r="J407" i="1"/>
  <c r="P406" i="1"/>
  <c r="O406" i="1"/>
  <c r="N406" i="1"/>
  <c r="M406" i="1"/>
  <c r="L406" i="1"/>
  <c r="K406" i="1"/>
  <c r="J406" i="1"/>
  <c r="P405" i="1"/>
  <c r="O405" i="1"/>
  <c r="N405" i="1"/>
  <c r="M405" i="1"/>
  <c r="L405" i="1"/>
  <c r="K405" i="1"/>
  <c r="J405" i="1"/>
  <c r="P404" i="1"/>
  <c r="O404" i="1"/>
  <c r="N404" i="1"/>
  <c r="M404" i="1"/>
  <c r="L404" i="1"/>
  <c r="K404" i="1"/>
  <c r="J404" i="1"/>
  <c r="P403" i="1"/>
  <c r="O403" i="1"/>
  <c r="N403" i="1"/>
  <c r="M403" i="1"/>
  <c r="L403" i="1"/>
  <c r="K403" i="1"/>
  <c r="J403" i="1"/>
  <c r="P402" i="1"/>
  <c r="O402" i="1"/>
  <c r="N402" i="1"/>
  <c r="M402" i="1"/>
  <c r="L402" i="1"/>
  <c r="K402" i="1"/>
  <c r="J402" i="1"/>
  <c r="P401" i="1"/>
  <c r="O401" i="1"/>
  <c r="N401" i="1"/>
  <c r="M401" i="1"/>
  <c r="L401" i="1"/>
  <c r="K401" i="1"/>
  <c r="J401" i="1"/>
  <c r="P400" i="1"/>
  <c r="O400" i="1"/>
  <c r="N400" i="1"/>
  <c r="M400" i="1"/>
  <c r="L400" i="1"/>
  <c r="K400" i="1"/>
  <c r="J400" i="1"/>
  <c r="P399" i="1"/>
  <c r="O399" i="1"/>
  <c r="N399" i="1"/>
  <c r="M399" i="1"/>
  <c r="L399" i="1"/>
  <c r="K399" i="1"/>
  <c r="J399" i="1"/>
  <c r="P398" i="1"/>
  <c r="O398" i="1"/>
  <c r="N398" i="1"/>
  <c r="M398" i="1"/>
  <c r="L398" i="1"/>
  <c r="K398" i="1"/>
  <c r="J398" i="1"/>
  <c r="P397" i="1"/>
  <c r="O397" i="1"/>
  <c r="N397" i="1"/>
  <c r="M397" i="1"/>
  <c r="L397" i="1"/>
  <c r="K397" i="1"/>
  <c r="J397" i="1"/>
  <c r="P396" i="1"/>
  <c r="O396" i="1"/>
  <c r="N396" i="1"/>
  <c r="M396" i="1"/>
  <c r="L396" i="1"/>
  <c r="K396" i="1"/>
  <c r="J396" i="1"/>
  <c r="P395" i="1"/>
  <c r="O395" i="1"/>
  <c r="N395" i="1"/>
  <c r="M395" i="1"/>
  <c r="L395" i="1"/>
  <c r="K395" i="1"/>
  <c r="J395" i="1"/>
  <c r="P394" i="1"/>
  <c r="O394" i="1"/>
  <c r="N394" i="1"/>
  <c r="M394" i="1"/>
  <c r="L394" i="1"/>
  <c r="K394" i="1"/>
  <c r="J394" i="1"/>
  <c r="P393" i="1"/>
  <c r="O393" i="1"/>
  <c r="N393" i="1"/>
  <c r="M393" i="1"/>
  <c r="L393" i="1"/>
  <c r="K393" i="1"/>
  <c r="J393" i="1"/>
  <c r="P392" i="1"/>
  <c r="O392" i="1"/>
  <c r="N392" i="1"/>
  <c r="M392" i="1"/>
  <c r="L392" i="1"/>
  <c r="K392" i="1"/>
  <c r="J392" i="1"/>
  <c r="P391" i="1"/>
  <c r="O391" i="1"/>
  <c r="N391" i="1"/>
  <c r="M391" i="1"/>
  <c r="L391" i="1"/>
  <c r="K391" i="1"/>
  <c r="J391" i="1"/>
  <c r="P390" i="1"/>
  <c r="O390" i="1"/>
  <c r="N390" i="1"/>
  <c r="M390" i="1"/>
  <c r="L390" i="1"/>
  <c r="K390" i="1"/>
  <c r="J390" i="1"/>
  <c r="P389" i="1"/>
  <c r="O389" i="1"/>
  <c r="N389" i="1"/>
  <c r="M389" i="1"/>
  <c r="L389" i="1"/>
  <c r="K389" i="1"/>
  <c r="J389" i="1"/>
  <c r="P388" i="1"/>
  <c r="O388" i="1"/>
  <c r="N388" i="1"/>
  <c r="M388" i="1"/>
  <c r="L388" i="1"/>
  <c r="K388" i="1"/>
  <c r="J388" i="1"/>
  <c r="P387" i="1"/>
  <c r="O387" i="1"/>
  <c r="N387" i="1"/>
  <c r="M387" i="1"/>
  <c r="L387" i="1"/>
  <c r="K387" i="1"/>
  <c r="J387" i="1"/>
  <c r="P386" i="1"/>
  <c r="O386" i="1"/>
  <c r="N386" i="1"/>
  <c r="M386" i="1"/>
  <c r="L386" i="1"/>
  <c r="K386" i="1"/>
  <c r="J386" i="1"/>
  <c r="P385" i="1"/>
  <c r="O385" i="1"/>
  <c r="N385" i="1"/>
  <c r="M385" i="1"/>
  <c r="L385" i="1"/>
  <c r="K385" i="1"/>
  <c r="J385" i="1"/>
  <c r="P384" i="1"/>
  <c r="O384" i="1"/>
  <c r="N384" i="1"/>
  <c r="M384" i="1"/>
  <c r="L384" i="1"/>
  <c r="K384" i="1"/>
  <c r="J384" i="1"/>
  <c r="P383" i="1"/>
  <c r="O383" i="1"/>
  <c r="N383" i="1"/>
  <c r="M383" i="1"/>
  <c r="L383" i="1"/>
  <c r="K383" i="1"/>
  <c r="J383" i="1"/>
  <c r="P382" i="1"/>
  <c r="O382" i="1"/>
  <c r="N382" i="1"/>
  <c r="M382" i="1"/>
  <c r="L382" i="1"/>
  <c r="K382" i="1"/>
  <c r="J382" i="1"/>
  <c r="P381" i="1"/>
  <c r="O381" i="1"/>
  <c r="N381" i="1"/>
  <c r="M381" i="1"/>
  <c r="L381" i="1"/>
  <c r="K381" i="1"/>
  <c r="J381" i="1"/>
  <c r="P380" i="1"/>
  <c r="O380" i="1"/>
  <c r="N380" i="1"/>
  <c r="M380" i="1"/>
  <c r="L380" i="1"/>
  <c r="K380" i="1"/>
  <c r="J380" i="1"/>
  <c r="P379" i="1"/>
  <c r="O379" i="1"/>
  <c r="N379" i="1"/>
  <c r="M379" i="1"/>
  <c r="L379" i="1"/>
  <c r="K379" i="1"/>
  <c r="J379" i="1"/>
  <c r="P378" i="1"/>
  <c r="O378" i="1"/>
  <c r="N378" i="1"/>
  <c r="M378" i="1"/>
  <c r="L378" i="1"/>
  <c r="K378" i="1"/>
  <c r="J378" i="1"/>
  <c r="P377" i="1"/>
  <c r="O377" i="1"/>
  <c r="N377" i="1"/>
  <c r="M377" i="1"/>
  <c r="L377" i="1"/>
  <c r="K377" i="1"/>
  <c r="J377" i="1"/>
  <c r="P376" i="1"/>
  <c r="O376" i="1"/>
  <c r="N376" i="1"/>
  <c r="M376" i="1"/>
  <c r="L376" i="1"/>
  <c r="K376" i="1"/>
  <c r="J376" i="1"/>
  <c r="P375" i="1"/>
  <c r="O375" i="1"/>
  <c r="N375" i="1"/>
  <c r="M375" i="1"/>
  <c r="L375" i="1"/>
  <c r="K375" i="1"/>
  <c r="J375" i="1"/>
  <c r="P374" i="1"/>
  <c r="O374" i="1"/>
  <c r="N374" i="1"/>
  <c r="M374" i="1"/>
  <c r="L374" i="1"/>
  <c r="K374" i="1"/>
  <c r="J374" i="1"/>
  <c r="P373" i="1"/>
  <c r="O373" i="1"/>
  <c r="N373" i="1"/>
  <c r="M373" i="1"/>
  <c r="L373" i="1"/>
  <c r="K373" i="1"/>
  <c r="J373" i="1"/>
  <c r="P372" i="1"/>
  <c r="O372" i="1"/>
  <c r="N372" i="1"/>
  <c r="M372" i="1"/>
  <c r="L372" i="1"/>
  <c r="K372" i="1"/>
  <c r="J372" i="1"/>
  <c r="P371" i="1"/>
  <c r="O371" i="1"/>
  <c r="N371" i="1"/>
  <c r="M371" i="1"/>
  <c r="L371" i="1"/>
  <c r="K371" i="1"/>
  <c r="J371" i="1"/>
  <c r="P370" i="1"/>
  <c r="O370" i="1"/>
  <c r="N370" i="1"/>
  <c r="M370" i="1"/>
  <c r="L370" i="1"/>
  <c r="K370" i="1"/>
  <c r="J370" i="1"/>
  <c r="P369" i="1"/>
  <c r="O369" i="1"/>
  <c r="N369" i="1"/>
  <c r="M369" i="1"/>
  <c r="L369" i="1"/>
  <c r="K369" i="1"/>
  <c r="J369" i="1"/>
  <c r="P368" i="1"/>
  <c r="O368" i="1"/>
  <c r="N368" i="1"/>
  <c r="M368" i="1"/>
  <c r="L368" i="1"/>
  <c r="K368" i="1"/>
  <c r="J368" i="1"/>
  <c r="P367" i="1"/>
  <c r="O367" i="1"/>
  <c r="N367" i="1"/>
  <c r="M367" i="1"/>
  <c r="L367" i="1"/>
  <c r="K367" i="1"/>
  <c r="J367" i="1"/>
  <c r="P366" i="1"/>
  <c r="O366" i="1"/>
  <c r="N366" i="1"/>
  <c r="M366" i="1"/>
  <c r="L366" i="1"/>
  <c r="K366" i="1"/>
  <c r="J366" i="1"/>
  <c r="P365" i="1"/>
  <c r="O365" i="1"/>
  <c r="N365" i="1"/>
  <c r="M365" i="1"/>
  <c r="L365" i="1"/>
  <c r="K365" i="1"/>
  <c r="J365" i="1"/>
  <c r="P364" i="1"/>
  <c r="O364" i="1"/>
  <c r="N364" i="1"/>
  <c r="M364" i="1"/>
  <c r="L364" i="1"/>
  <c r="K364" i="1"/>
  <c r="J364" i="1"/>
  <c r="P363" i="1"/>
  <c r="O363" i="1"/>
  <c r="N363" i="1"/>
  <c r="M363" i="1"/>
  <c r="L363" i="1"/>
  <c r="K363" i="1"/>
  <c r="J363" i="1"/>
  <c r="P362" i="1"/>
  <c r="O362" i="1"/>
  <c r="N362" i="1"/>
  <c r="M362" i="1"/>
  <c r="L362" i="1"/>
  <c r="K362" i="1"/>
  <c r="J362" i="1"/>
  <c r="P361" i="1"/>
  <c r="O361" i="1"/>
  <c r="N361" i="1"/>
  <c r="M361" i="1"/>
  <c r="L361" i="1"/>
  <c r="K361" i="1"/>
  <c r="J361" i="1"/>
  <c r="P360" i="1"/>
  <c r="O360" i="1"/>
  <c r="N360" i="1"/>
  <c r="M360" i="1"/>
  <c r="L360" i="1"/>
  <c r="K360" i="1"/>
  <c r="J360" i="1"/>
  <c r="P359" i="1"/>
  <c r="O359" i="1"/>
  <c r="N359" i="1"/>
  <c r="M359" i="1"/>
  <c r="L359" i="1"/>
  <c r="K359" i="1"/>
  <c r="J359" i="1"/>
  <c r="P356" i="1"/>
  <c r="I356" i="1"/>
  <c r="K356" i="1" s="1"/>
  <c r="H356" i="1"/>
  <c r="G356" i="1"/>
  <c r="F356" i="1"/>
  <c r="O356" i="1" s="1"/>
  <c r="E356" i="1"/>
  <c r="D356" i="1"/>
  <c r="N356" i="1" s="1"/>
  <c r="P355" i="1"/>
  <c r="O355" i="1"/>
  <c r="N355" i="1"/>
  <c r="M355" i="1"/>
  <c r="L355" i="1"/>
  <c r="K355" i="1"/>
  <c r="J355" i="1"/>
  <c r="P354" i="1"/>
  <c r="O354" i="1"/>
  <c r="N354" i="1"/>
  <c r="M354" i="1"/>
  <c r="L354" i="1"/>
  <c r="K354" i="1"/>
  <c r="J354" i="1"/>
  <c r="P353" i="1"/>
  <c r="O353" i="1"/>
  <c r="N353" i="1"/>
  <c r="M353" i="1"/>
  <c r="L353" i="1"/>
  <c r="K353" i="1"/>
  <c r="J353" i="1"/>
  <c r="P352" i="1"/>
  <c r="O352" i="1"/>
  <c r="N352" i="1"/>
  <c r="M352" i="1"/>
  <c r="L352" i="1"/>
  <c r="K352" i="1"/>
  <c r="J352" i="1"/>
  <c r="P351" i="1"/>
  <c r="O351" i="1"/>
  <c r="N351" i="1"/>
  <c r="M351" i="1"/>
  <c r="L351" i="1"/>
  <c r="K351" i="1"/>
  <c r="J351" i="1"/>
  <c r="P350" i="1"/>
  <c r="O350" i="1"/>
  <c r="N350" i="1"/>
  <c r="M350" i="1"/>
  <c r="L350" i="1"/>
  <c r="K350" i="1"/>
  <c r="J350" i="1"/>
  <c r="P349" i="1"/>
  <c r="O349" i="1"/>
  <c r="N349" i="1"/>
  <c r="M349" i="1"/>
  <c r="L349" i="1"/>
  <c r="K349" i="1"/>
  <c r="J349" i="1"/>
  <c r="P348" i="1"/>
  <c r="O348" i="1"/>
  <c r="N348" i="1"/>
  <c r="M348" i="1"/>
  <c r="L348" i="1"/>
  <c r="K348" i="1"/>
  <c r="J348" i="1"/>
  <c r="P347" i="1"/>
  <c r="O347" i="1"/>
  <c r="N347" i="1"/>
  <c r="M347" i="1"/>
  <c r="L347" i="1"/>
  <c r="K347" i="1"/>
  <c r="J347" i="1"/>
  <c r="P346" i="1"/>
  <c r="O346" i="1"/>
  <c r="N346" i="1"/>
  <c r="M346" i="1"/>
  <c r="L346" i="1"/>
  <c r="K346" i="1"/>
  <c r="J346" i="1"/>
  <c r="P345" i="1"/>
  <c r="O345" i="1"/>
  <c r="N345" i="1"/>
  <c r="M345" i="1"/>
  <c r="L345" i="1"/>
  <c r="K345" i="1"/>
  <c r="J345" i="1"/>
  <c r="P344" i="1"/>
  <c r="O344" i="1"/>
  <c r="N344" i="1"/>
  <c r="M344" i="1"/>
  <c r="L344" i="1"/>
  <c r="K344" i="1"/>
  <c r="J344" i="1"/>
  <c r="P343" i="1"/>
  <c r="O343" i="1"/>
  <c r="N343" i="1"/>
  <c r="M343" i="1"/>
  <c r="L343" i="1"/>
  <c r="K343" i="1"/>
  <c r="J343" i="1"/>
  <c r="P342" i="1"/>
  <c r="O342" i="1"/>
  <c r="N342" i="1"/>
  <c r="M342" i="1"/>
  <c r="L342" i="1"/>
  <c r="K342" i="1"/>
  <c r="J342" i="1"/>
  <c r="P341" i="1"/>
  <c r="O341" i="1"/>
  <c r="N341" i="1"/>
  <c r="M341" i="1"/>
  <c r="L341" i="1"/>
  <c r="K341" i="1"/>
  <c r="J341" i="1"/>
  <c r="P340" i="1"/>
  <c r="O340" i="1"/>
  <c r="N340" i="1"/>
  <c r="M340" i="1"/>
  <c r="L340" i="1"/>
  <c r="K340" i="1"/>
  <c r="J340" i="1"/>
  <c r="P339" i="1"/>
  <c r="O339" i="1"/>
  <c r="N339" i="1"/>
  <c r="M339" i="1"/>
  <c r="L339" i="1"/>
  <c r="K339" i="1"/>
  <c r="J339" i="1"/>
  <c r="P338" i="1"/>
  <c r="O338" i="1"/>
  <c r="N338" i="1"/>
  <c r="M338" i="1"/>
  <c r="L338" i="1"/>
  <c r="K338" i="1"/>
  <c r="J338" i="1"/>
  <c r="P337" i="1"/>
  <c r="O337" i="1"/>
  <c r="N337" i="1"/>
  <c r="M337" i="1"/>
  <c r="L337" i="1"/>
  <c r="K337" i="1"/>
  <c r="J337" i="1"/>
  <c r="P336" i="1"/>
  <c r="O336" i="1"/>
  <c r="N336" i="1"/>
  <c r="M336" i="1"/>
  <c r="L336" i="1"/>
  <c r="K336" i="1"/>
  <c r="J336" i="1"/>
  <c r="P335" i="1"/>
  <c r="O335" i="1"/>
  <c r="N335" i="1"/>
  <c r="M335" i="1"/>
  <c r="L335" i="1"/>
  <c r="K335" i="1"/>
  <c r="J335" i="1"/>
  <c r="P334" i="1"/>
  <c r="O334" i="1"/>
  <c r="N334" i="1"/>
  <c r="M334" i="1"/>
  <c r="L334" i="1"/>
  <c r="K334" i="1"/>
  <c r="J334" i="1"/>
  <c r="P333" i="1"/>
  <c r="O333" i="1"/>
  <c r="N333" i="1"/>
  <c r="M333" i="1"/>
  <c r="L333" i="1"/>
  <c r="K333" i="1"/>
  <c r="J333" i="1"/>
  <c r="P332" i="1"/>
  <c r="O332" i="1"/>
  <c r="N332" i="1"/>
  <c r="M332" i="1"/>
  <c r="L332" i="1"/>
  <c r="K332" i="1"/>
  <c r="J332" i="1"/>
  <c r="P331" i="1"/>
  <c r="O331" i="1"/>
  <c r="N331" i="1"/>
  <c r="M331" i="1"/>
  <c r="L331" i="1"/>
  <c r="K331" i="1"/>
  <c r="J331" i="1"/>
  <c r="P330" i="1"/>
  <c r="O330" i="1"/>
  <c r="N330" i="1"/>
  <c r="M330" i="1"/>
  <c r="L330" i="1"/>
  <c r="K330" i="1"/>
  <c r="J330" i="1"/>
  <c r="P329" i="1"/>
  <c r="O329" i="1"/>
  <c r="N329" i="1"/>
  <c r="M329" i="1"/>
  <c r="L329" i="1"/>
  <c r="K329" i="1"/>
  <c r="J329" i="1"/>
  <c r="P328" i="1"/>
  <c r="O328" i="1"/>
  <c r="N328" i="1"/>
  <c r="M328" i="1"/>
  <c r="L328" i="1"/>
  <c r="K328" i="1"/>
  <c r="J328" i="1"/>
  <c r="P327" i="1"/>
  <c r="O327" i="1"/>
  <c r="N327" i="1"/>
  <c r="M327" i="1"/>
  <c r="L327" i="1"/>
  <c r="K327" i="1"/>
  <c r="J327" i="1"/>
  <c r="P326" i="1"/>
  <c r="O326" i="1"/>
  <c r="N326" i="1"/>
  <c r="M326" i="1"/>
  <c r="L326" i="1"/>
  <c r="K326" i="1"/>
  <c r="J326" i="1"/>
  <c r="P325" i="1"/>
  <c r="O325" i="1"/>
  <c r="N325" i="1"/>
  <c r="M325" i="1"/>
  <c r="L325" i="1"/>
  <c r="K325" i="1"/>
  <c r="J325" i="1"/>
  <c r="P324" i="1"/>
  <c r="O324" i="1"/>
  <c r="N324" i="1"/>
  <c r="M324" i="1"/>
  <c r="L324" i="1"/>
  <c r="K324" i="1"/>
  <c r="J324" i="1"/>
  <c r="P323" i="1"/>
  <c r="O323" i="1"/>
  <c r="N323" i="1"/>
  <c r="M323" i="1"/>
  <c r="L323" i="1"/>
  <c r="K323" i="1"/>
  <c r="J323" i="1"/>
  <c r="P322" i="1"/>
  <c r="O322" i="1"/>
  <c r="N322" i="1"/>
  <c r="M322" i="1"/>
  <c r="L322" i="1"/>
  <c r="K322" i="1"/>
  <c r="J322" i="1"/>
  <c r="P321" i="1"/>
  <c r="O321" i="1"/>
  <c r="N321" i="1"/>
  <c r="M321" i="1"/>
  <c r="L321" i="1"/>
  <c r="K321" i="1"/>
  <c r="J321" i="1"/>
  <c r="P320" i="1"/>
  <c r="O320" i="1"/>
  <c r="N320" i="1"/>
  <c r="M320" i="1"/>
  <c r="L320" i="1"/>
  <c r="K320" i="1"/>
  <c r="J320" i="1"/>
  <c r="P319" i="1"/>
  <c r="O319" i="1"/>
  <c r="N319" i="1"/>
  <c r="M319" i="1"/>
  <c r="L319" i="1"/>
  <c r="K319" i="1"/>
  <c r="J319" i="1"/>
  <c r="P318" i="1"/>
  <c r="O318" i="1"/>
  <c r="N318" i="1"/>
  <c r="M318" i="1"/>
  <c r="L318" i="1"/>
  <c r="K318" i="1"/>
  <c r="J318" i="1"/>
  <c r="P317" i="1"/>
  <c r="O317" i="1"/>
  <c r="N317" i="1"/>
  <c r="M317" i="1"/>
  <c r="L317" i="1"/>
  <c r="K317" i="1"/>
  <c r="J317" i="1"/>
  <c r="P316" i="1"/>
  <c r="O316" i="1"/>
  <c r="N316" i="1"/>
  <c r="M316" i="1"/>
  <c r="L316" i="1"/>
  <c r="K316" i="1"/>
  <c r="J316" i="1"/>
  <c r="P315" i="1"/>
  <c r="O315" i="1"/>
  <c r="N315" i="1"/>
  <c r="M315" i="1"/>
  <c r="L315" i="1"/>
  <c r="K315" i="1"/>
  <c r="J315" i="1"/>
  <c r="P314" i="1"/>
  <c r="O314" i="1"/>
  <c r="N314" i="1"/>
  <c r="M314" i="1"/>
  <c r="L314" i="1"/>
  <c r="K314" i="1"/>
  <c r="J314" i="1"/>
  <c r="P313" i="1"/>
  <c r="O313" i="1"/>
  <c r="N313" i="1"/>
  <c r="M313" i="1"/>
  <c r="L313" i="1"/>
  <c r="K313" i="1"/>
  <c r="J313" i="1"/>
  <c r="P312" i="1"/>
  <c r="O312" i="1"/>
  <c r="N312" i="1"/>
  <c r="M312" i="1"/>
  <c r="L312" i="1"/>
  <c r="K312" i="1"/>
  <c r="J312" i="1"/>
  <c r="P311" i="1"/>
  <c r="O311" i="1"/>
  <c r="N311" i="1"/>
  <c r="M311" i="1"/>
  <c r="L311" i="1"/>
  <c r="K311" i="1"/>
  <c r="J311" i="1"/>
  <c r="P310" i="1"/>
  <c r="O310" i="1"/>
  <c r="N310" i="1"/>
  <c r="M310" i="1"/>
  <c r="L310" i="1"/>
  <c r="K310" i="1"/>
  <c r="J310" i="1"/>
  <c r="P309" i="1"/>
  <c r="O309" i="1"/>
  <c r="N309" i="1"/>
  <c r="M309" i="1"/>
  <c r="L309" i="1"/>
  <c r="K309" i="1"/>
  <c r="J309" i="1"/>
  <c r="P308" i="1"/>
  <c r="O308" i="1"/>
  <c r="N308" i="1"/>
  <c r="M308" i="1"/>
  <c r="L308" i="1"/>
  <c r="K308" i="1"/>
  <c r="J308" i="1"/>
  <c r="P307" i="1"/>
  <c r="O307" i="1"/>
  <c r="N307" i="1"/>
  <c r="M307" i="1"/>
  <c r="L307" i="1"/>
  <c r="K307" i="1"/>
  <c r="J307" i="1"/>
  <c r="P306" i="1"/>
  <c r="O306" i="1"/>
  <c r="N306" i="1"/>
  <c r="M306" i="1"/>
  <c r="L306" i="1"/>
  <c r="K306" i="1"/>
  <c r="J306" i="1"/>
  <c r="P305" i="1"/>
  <c r="O305" i="1"/>
  <c r="N305" i="1"/>
  <c r="M305" i="1"/>
  <c r="L305" i="1"/>
  <c r="K305" i="1"/>
  <c r="J305" i="1"/>
  <c r="P304" i="1"/>
  <c r="O304" i="1"/>
  <c r="N304" i="1"/>
  <c r="M304" i="1"/>
  <c r="L304" i="1"/>
  <c r="K304" i="1"/>
  <c r="J304" i="1"/>
  <c r="P303" i="1"/>
  <c r="O303" i="1"/>
  <c r="N303" i="1"/>
  <c r="M303" i="1"/>
  <c r="L303" i="1"/>
  <c r="K303" i="1"/>
  <c r="J303" i="1"/>
  <c r="P302" i="1"/>
  <c r="O302" i="1"/>
  <c r="N302" i="1"/>
  <c r="M302" i="1"/>
  <c r="L302" i="1"/>
  <c r="K302" i="1"/>
  <c r="J302" i="1"/>
  <c r="P301" i="1"/>
  <c r="O301" i="1"/>
  <c r="N301" i="1"/>
  <c r="M301" i="1"/>
  <c r="L301" i="1"/>
  <c r="K301" i="1"/>
  <c r="J301" i="1"/>
  <c r="P300" i="1"/>
  <c r="O300" i="1"/>
  <c r="N300" i="1"/>
  <c r="M300" i="1"/>
  <c r="L300" i="1"/>
  <c r="K300" i="1"/>
  <c r="J300" i="1"/>
  <c r="O297" i="1"/>
  <c r="I297" i="1"/>
  <c r="K297" i="1" s="1"/>
  <c r="H297" i="1"/>
  <c r="G297" i="1"/>
  <c r="F297" i="1"/>
  <c r="E297" i="1"/>
  <c r="M297" i="1" s="1"/>
  <c r="D297" i="1"/>
  <c r="L297" i="1" s="1"/>
  <c r="P296" i="1"/>
  <c r="O296" i="1"/>
  <c r="N296" i="1"/>
  <c r="M296" i="1"/>
  <c r="L296" i="1"/>
  <c r="K296" i="1"/>
  <c r="J296" i="1"/>
  <c r="P295" i="1"/>
  <c r="O295" i="1"/>
  <c r="N295" i="1"/>
  <c r="M295" i="1"/>
  <c r="L295" i="1"/>
  <c r="K295" i="1"/>
  <c r="J295" i="1"/>
  <c r="P294" i="1"/>
  <c r="O294" i="1"/>
  <c r="N294" i="1"/>
  <c r="M294" i="1"/>
  <c r="L294" i="1"/>
  <c r="K294" i="1"/>
  <c r="J294" i="1"/>
  <c r="P293" i="1"/>
  <c r="O293" i="1"/>
  <c r="N293" i="1"/>
  <c r="M293" i="1"/>
  <c r="L293" i="1"/>
  <c r="K293" i="1"/>
  <c r="J293" i="1"/>
  <c r="P292" i="1"/>
  <c r="O292" i="1"/>
  <c r="N292" i="1"/>
  <c r="M292" i="1"/>
  <c r="L292" i="1"/>
  <c r="K292" i="1"/>
  <c r="J292" i="1"/>
  <c r="P291" i="1"/>
  <c r="O291" i="1"/>
  <c r="N291" i="1"/>
  <c r="M291" i="1"/>
  <c r="L291" i="1"/>
  <c r="K291" i="1"/>
  <c r="J291" i="1"/>
  <c r="P290" i="1"/>
  <c r="O290" i="1"/>
  <c r="N290" i="1"/>
  <c r="M290" i="1"/>
  <c r="L290" i="1"/>
  <c r="K290" i="1"/>
  <c r="J290" i="1"/>
  <c r="P289" i="1"/>
  <c r="O289" i="1"/>
  <c r="N289" i="1"/>
  <c r="M289" i="1"/>
  <c r="L289" i="1"/>
  <c r="K289" i="1"/>
  <c r="J289" i="1"/>
  <c r="P288" i="1"/>
  <c r="O288" i="1"/>
  <c r="N288" i="1"/>
  <c r="M288" i="1"/>
  <c r="L288" i="1"/>
  <c r="K288" i="1"/>
  <c r="J288" i="1"/>
  <c r="P287" i="1"/>
  <c r="O287" i="1"/>
  <c r="N287" i="1"/>
  <c r="M287" i="1"/>
  <c r="L287" i="1"/>
  <c r="K287" i="1"/>
  <c r="J287" i="1"/>
  <c r="P286" i="1"/>
  <c r="O286" i="1"/>
  <c r="N286" i="1"/>
  <c r="M286" i="1"/>
  <c r="L286" i="1"/>
  <c r="K286" i="1"/>
  <c r="J286" i="1"/>
  <c r="P285" i="1"/>
  <c r="O285" i="1"/>
  <c r="N285" i="1"/>
  <c r="M285" i="1"/>
  <c r="L285" i="1"/>
  <c r="K285" i="1"/>
  <c r="J285" i="1"/>
  <c r="P284" i="1"/>
  <c r="O284" i="1"/>
  <c r="N284" i="1"/>
  <c r="M284" i="1"/>
  <c r="L284" i="1"/>
  <c r="K284" i="1"/>
  <c r="J284" i="1"/>
  <c r="P283" i="1"/>
  <c r="O283" i="1"/>
  <c r="N283" i="1"/>
  <c r="M283" i="1"/>
  <c r="L283" i="1"/>
  <c r="K283" i="1"/>
  <c r="J283" i="1"/>
  <c r="P282" i="1"/>
  <c r="O282" i="1"/>
  <c r="N282" i="1"/>
  <c r="M282" i="1"/>
  <c r="L282" i="1"/>
  <c r="K282" i="1"/>
  <c r="J282" i="1"/>
  <c r="P281" i="1"/>
  <c r="O281" i="1"/>
  <c r="N281" i="1"/>
  <c r="M281" i="1"/>
  <c r="L281" i="1"/>
  <c r="K281" i="1"/>
  <c r="J281" i="1"/>
  <c r="P280" i="1"/>
  <c r="O280" i="1"/>
  <c r="N280" i="1"/>
  <c r="M280" i="1"/>
  <c r="L280" i="1"/>
  <c r="K280" i="1"/>
  <c r="J280" i="1"/>
  <c r="P279" i="1"/>
  <c r="O279" i="1"/>
  <c r="N279" i="1"/>
  <c r="M279" i="1"/>
  <c r="L279" i="1"/>
  <c r="K279" i="1"/>
  <c r="J279" i="1"/>
  <c r="P278" i="1"/>
  <c r="O278" i="1"/>
  <c r="N278" i="1"/>
  <c r="M278" i="1"/>
  <c r="L278" i="1"/>
  <c r="K278" i="1"/>
  <c r="J278" i="1"/>
  <c r="P277" i="1"/>
  <c r="O277" i="1"/>
  <c r="N277" i="1"/>
  <c r="M277" i="1"/>
  <c r="L277" i="1"/>
  <c r="K277" i="1"/>
  <c r="J277" i="1"/>
  <c r="P276" i="1"/>
  <c r="O276" i="1"/>
  <c r="N276" i="1"/>
  <c r="M276" i="1"/>
  <c r="L276" i="1"/>
  <c r="K276" i="1"/>
  <c r="J276" i="1"/>
  <c r="P275" i="1"/>
  <c r="O275" i="1"/>
  <c r="N275" i="1"/>
  <c r="M275" i="1"/>
  <c r="L275" i="1"/>
  <c r="K275" i="1"/>
  <c r="J275" i="1"/>
  <c r="P274" i="1"/>
  <c r="O274" i="1"/>
  <c r="N274" i="1"/>
  <c r="M274" i="1"/>
  <c r="L274" i="1"/>
  <c r="K274" i="1"/>
  <c r="J274" i="1"/>
  <c r="P273" i="1"/>
  <c r="O273" i="1"/>
  <c r="N273" i="1"/>
  <c r="M273" i="1"/>
  <c r="L273" i="1"/>
  <c r="K273" i="1"/>
  <c r="J273" i="1"/>
  <c r="P272" i="1"/>
  <c r="O272" i="1"/>
  <c r="N272" i="1"/>
  <c r="M272" i="1"/>
  <c r="L272" i="1"/>
  <c r="K272" i="1"/>
  <c r="J272" i="1"/>
  <c r="P271" i="1"/>
  <c r="O271" i="1"/>
  <c r="N271" i="1"/>
  <c r="M271" i="1"/>
  <c r="L271" i="1"/>
  <c r="K271" i="1"/>
  <c r="J271" i="1"/>
  <c r="P270" i="1"/>
  <c r="O270" i="1"/>
  <c r="N270" i="1"/>
  <c r="M270" i="1"/>
  <c r="L270" i="1"/>
  <c r="K270" i="1"/>
  <c r="J270" i="1"/>
  <c r="P269" i="1"/>
  <c r="O269" i="1"/>
  <c r="N269" i="1"/>
  <c r="M269" i="1"/>
  <c r="L269" i="1"/>
  <c r="K269" i="1"/>
  <c r="J269" i="1"/>
  <c r="P268" i="1"/>
  <c r="O268" i="1"/>
  <c r="N268" i="1"/>
  <c r="M268" i="1"/>
  <c r="L268" i="1"/>
  <c r="K268" i="1"/>
  <c r="J268" i="1"/>
  <c r="P267" i="1"/>
  <c r="O267" i="1"/>
  <c r="N267" i="1"/>
  <c r="M267" i="1"/>
  <c r="L267" i="1"/>
  <c r="K267" i="1"/>
  <c r="J267" i="1"/>
  <c r="P266" i="1"/>
  <c r="O266" i="1"/>
  <c r="N266" i="1"/>
  <c r="M266" i="1"/>
  <c r="L266" i="1"/>
  <c r="K266" i="1"/>
  <c r="J266" i="1"/>
  <c r="P265" i="1"/>
  <c r="O265" i="1"/>
  <c r="N265" i="1"/>
  <c r="M265" i="1"/>
  <c r="L265" i="1"/>
  <c r="K265" i="1"/>
  <c r="J265" i="1"/>
  <c r="P264" i="1"/>
  <c r="O264" i="1"/>
  <c r="N264" i="1"/>
  <c r="M264" i="1"/>
  <c r="L264" i="1"/>
  <c r="K264" i="1"/>
  <c r="J264" i="1"/>
  <c r="P263" i="1"/>
  <c r="O263" i="1"/>
  <c r="N263" i="1"/>
  <c r="M263" i="1"/>
  <c r="L263" i="1"/>
  <c r="K263" i="1"/>
  <c r="J263" i="1"/>
  <c r="P262" i="1"/>
  <c r="O262" i="1"/>
  <c r="N262" i="1"/>
  <c r="M262" i="1"/>
  <c r="L262" i="1"/>
  <c r="K262" i="1"/>
  <c r="J262" i="1"/>
  <c r="P261" i="1"/>
  <c r="O261" i="1"/>
  <c r="N261" i="1"/>
  <c r="M261" i="1"/>
  <c r="L261" i="1"/>
  <c r="K261" i="1"/>
  <c r="J261" i="1"/>
  <c r="P260" i="1"/>
  <c r="O260" i="1"/>
  <c r="N260" i="1"/>
  <c r="M260" i="1"/>
  <c r="L260" i="1"/>
  <c r="K260" i="1"/>
  <c r="J260" i="1"/>
  <c r="P259" i="1"/>
  <c r="O259" i="1"/>
  <c r="N259" i="1"/>
  <c r="M259" i="1"/>
  <c r="L259" i="1"/>
  <c r="K259" i="1"/>
  <c r="J259" i="1"/>
  <c r="P258" i="1"/>
  <c r="O258" i="1"/>
  <c r="N258" i="1"/>
  <c r="M258" i="1"/>
  <c r="L258" i="1"/>
  <c r="K258" i="1"/>
  <c r="J258" i="1"/>
  <c r="P257" i="1"/>
  <c r="O257" i="1"/>
  <c r="N257" i="1"/>
  <c r="M257" i="1"/>
  <c r="L257" i="1"/>
  <c r="K257" i="1"/>
  <c r="J257" i="1"/>
  <c r="P256" i="1"/>
  <c r="O256" i="1"/>
  <c r="N256" i="1"/>
  <c r="M256" i="1"/>
  <c r="L256" i="1"/>
  <c r="K256" i="1"/>
  <c r="J256" i="1"/>
  <c r="P255" i="1"/>
  <c r="O255" i="1"/>
  <c r="N255" i="1"/>
  <c r="M255" i="1"/>
  <c r="L255" i="1"/>
  <c r="K255" i="1"/>
  <c r="J255" i="1"/>
  <c r="P254" i="1"/>
  <c r="O254" i="1"/>
  <c r="N254" i="1"/>
  <c r="M254" i="1"/>
  <c r="L254" i="1"/>
  <c r="K254" i="1"/>
  <c r="J254" i="1"/>
  <c r="P253" i="1"/>
  <c r="O253" i="1"/>
  <c r="N253" i="1"/>
  <c r="M253" i="1"/>
  <c r="L253" i="1"/>
  <c r="K253" i="1"/>
  <c r="J253" i="1"/>
  <c r="P252" i="1"/>
  <c r="O252" i="1"/>
  <c r="N252" i="1"/>
  <c r="M252" i="1"/>
  <c r="L252" i="1"/>
  <c r="K252" i="1"/>
  <c r="J252" i="1"/>
  <c r="P251" i="1"/>
  <c r="O251" i="1"/>
  <c r="N251" i="1"/>
  <c r="M251" i="1"/>
  <c r="L251" i="1"/>
  <c r="K251" i="1"/>
  <c r="J251" i="1"/>
  <c r="P250" i="1"/>
  <c r="O250" i="1"/>
  <c r="N250" i="1"/>
  <c r="M250" i="1"/>
  <c r="L250" i="1"/>
  <c r="K250" i="1"/>
  <c r="J250" i="1"/>
  <c r="P249" i="1"/>
  <c r="O249" i="1"/>
  <c r="N249" i="1"/>
  <c r="M249" i="1"/>
  <c r="L249" i="1"/>
  <c r="K249" i="1"/>
  <c r="J249" i="1"/>
  <c r="P248" i="1"/>
  <c r="O248" i="1"/>
  <c r="N248" i="1"/>
  <c r="M248" i="1"/>
  <c r="L248" i="1"/>
  <c r="K248" i="1"/>
  <c r="J248" i="1"/>
  <c r="P247" i="1"/>
  <c r="O247" i="1"/>
  <c r="N247" i="1"/>
  <c r="M247" i="1"/>
  <c r="L247" i="1"/>
  <c r="K247" i="1"/>
  <c r="J247" i="1"/>
  <c r="P246" i="1"/>
  <c r="O246" i="1"/>
  <c r="N246" i="1"/>
  <c r="M246" i="1"/>
  <c r="L246" i="1"/>
  <c r="K246" i="1"/>
  <c r="J246" i="1"/>
  <c r="P245" i="1"/>
  <c r="O245" i="1"/>
  <c r="N245" i="1"/>
  <c r="M245" i="1"/>
  <c r="L245" i="1"/>
  <c r="K245" i="1"/>
  <c r="J245" i="1"/>
  <c r="P244" i="1"/>
  <c r="O244" i="1"/>
  <c r="N244" i="1"/>
  <c r="M244" i="1"/>
  <c r="L244" i="1"/>
  <c r="K244" i="1"/>
  <c r="J244" i="1"/>
  <c r="P243" i="1"/>
  <c r="O243" i="1"/>
  <c r="N243" i="1"/>
  <c r="M243" i="1"/>
  <c r="L243" i="1"/>
  <c r="K243" i="1"/>
  <c r="J243" i="1"/>
  <c r="P242" i="1"/>
  <c r="O242" i="1"/>
  <c r="N242" i="1"/>
  <c r="M242" i="1"/>
  <c r="L242" i="1"/>
  <c r="K242" i="1"/>
  <c r="J242" i="1"/>
  <c r="P241" i="1"/>
  <c r="O241" i="1"/>
  <c r="N241" i="1"/>
  <c r="M241" i="1"/>
  <c r="L241" i="1"/>
  <c r="K241" i="1"/>
  <c r="J241" i="1"/>
  <c r="P238" i="1"/>
  <c r="I238" i="1"/>
  <c r="K238" i="1" s="1"/>
  <c r="H238" i="1"/>
  <c r="G238" i="1"/>
  <c r="F238" i="1"/>
  <c r="O238" i="1" s="1"/>
  <c r="E238" i="1"/>
  <c r="D238" i="1"/>
  <c r="L238" i="1" s="1"/>
  <c r="P237" i="1"/>
  <c r="O237" i="1"/>
  <c r="N237" i="1"/>
  <c r="M237" i="1"/>
  <c r="L237" i="1"/>
  <c r="K237" i="1"/>
  <c r="J237" i="1"/>
  <c r="P236" i="1"/>
  <c r="O236" i="1"/>
  <c r="N236" i="1"/>
  <c r="M236" i="1"/>
  <c r="L236" i="1"/>
  <c r="K236" i="1"/>
  <c r="J236" i="1"/>
  <c r="P235" i="1"/>
  <c r="O235" i="1"/>
  <c r="N235" i="1"/>
  <c r="M235" i="1"/>
  <c r="L235" i="1"/>
  <c r="K235" i="1"/>
  <c r="J235" i="1"/>
  <c r="P234" i="1"/>
  <c r="O234" i="1"/>
  <c r="N234" i="1"/>
  <c r="M234" i="1"/>
  <c r="L234" i="1"/>
  <c r="K234" i="1"/>
  <c r="J234" i="1"/>
  <c r="P233" i="1"/>
  <c r="O233" i="1"/>
  <c r="N233" i="1"/>
  <c r="M233" i="1"/>
  <c r="L233" i="1"/>
  <c r="K233" i="1"/>
  <c r="J233" i="1"/>
  <c r="P232" i="1"/>
  <c r="O232" i="1"/>
  <c r="N232" i="1"/>
  <c r="M232" i="1"/>
  <c r="L232" i="1"/>
  <c r="K232" i="1"/>
  <c r="J232" i="1"/>
  <c r="P231" i="1"/>
  <c r="O231" i="1"/>
  <c r="N231" i="1"/>
  <c r="M231" i="1"/>
  <c r="L231" i="1"/>
  <c r="K231" i="1"/>
  <c r="J231" i="1"/>
  <c r="P230" i="1"/>
  <c r="O230" i="1"/>
  <c r="N230" i="1"/>
  <c r="M230" i="1"/>
  <c r="L230" i="1"/>
  <c r="K230" i="1"/>
  <c r="J230" i="1"/>
  <c r="P229" i="1"/>
  <c r="O229" i="1"/>
  <c r="N229" i="1"/>
  <c r="M229" i="1"/>
  <c r="L229" i="1"/>
  <c r="K229" i="1"/>
  <c r="J229" i="1"/>
  <c r="P228" i="1"/>
  <c r="O228" i="1"/>
  <c r="N228" i="1"/>
  <c r="M228" i="1"/>
  <c r="L228" i="1"/>
  <c r="K228" i="1"/>
  <c r="J228" i="1"/>
  <c r="P227" i="1"/>
  <c r="O227" i="1"/>
  <c r="N227" i="1"/>
  <c r="M227" i="1"/>
  <c r="L227" i="1"/>
  <c r="K227" i="1"/>
  <c r="J227" i="1"/>
  <c r="P226" i="1"/>
  <c r="O226" i="1"/>
  <c r="N226" i="1"/>
  <c r="M226" i="1"/>
  <c r="L226" i="1"/>
  <c r="K226" i="1"/>
  <c r="J226" i="1"/>
  <c r="P225" i="1"/>
  <c r="O225" i="1"/>
  <c r="N225" i="1"/>
  <c r="M225" i="1"/>
  <c r="L225" i="1"/>
  <c r="K225" i="1"/>
  <c r="J225" i="1"/>
  <c r="P224" i="1"/>
  <c r="O224" i="1"/>
  <c r="N224" i="1"/>
  <c r="M224" i="1"/>
  <c r="L224" i="1"/>
  <c r="K224" i="1"/>
  <c r="J224" i="1"/>
  <c r="P223" i="1"/>
  <c r="O223" i="1"/>
  <c r="N223" i="1"/>
  <c r="M223" i="1"/>
  <c r="L223" i="1"/>
  <c r="K223" i="1"/>
  <c r="J223" i="1"/>
  <c r="P222" i="1"/>
  <c r="O222" i="1"/>
  <c r="N222" i="1"/>
  <c r="M222" i="1"/>
  <c r="L222" i="1"/>
  <c r="K222" i="1"/>
  <c r="J222" i="1"/>
  <c r="P221" i="1"/>
  <c r="O221" i="1"/>
  <c r="N221" i="1"/>
  <c r="M221" i="1"/>
  <c r="L221" i="1"/>
  <c r="K221" i="1"/>
  <c r="J221" i="1"/>
  <c r="P220" i="1"/>
  <c r="O220" i="1"/>
  <c r="N220" i="1"/>
  <c r="M220" i="1"/>
  <c r="L220" i="1"/>
  <c r="K220" i="1"/>
  <c r="J220" i="1"/>
  <c r="P219" i="1"/>
  <c r="O219" i="1"/>
  <c r="N219" i="1"/>
  <c r="M219" i="1"/>
  <c r="L219" i="1"/>
  <c r="K219" i="1"/>
  <c r="J219" i="1"/>
  <c r="P218" i="1"/>
  <c r="O218" i="1"/>
  <c r="N218" i="1"/>
  <c r="M218" i="1"/>
  <c r="L218" i="1"/>
  <c r="K218" i="1"/>
  <c r="J218" i="1"/>
  <c r="P217" i="1"/>
  <c r="O217" i="1"/>
  <c r="N217" i="1"/>
  <c r="M217" i="1"/>
  <c r="L217" i="1"/>
  <c r="K217" i="1"/>
  <c r="J217" i="1"/>
  <c r="P216" i="1"/>
  <c r="O216" i="1"/>
  <c r="N216" i="1"/>
  <c r="M216" i="1"/>
  <c r="L216" i="1"/>
  <c r="K216" i="1"/>
  <c r="J216" i="1"/>
  <c r="P215" i="1"/>
  <c r="O215" i="1"/>
  <c r="N215" i="1"/>
  <c r="M215" i="1"/>
  <c r="L215" i="1"/>
  <c r="K215" i="1"/>
  <c r="J215" i="1"/>
  <c r="P214" i="1"/>
  <c r="O214" i="1"/>
  <c r="N214" i="1"/>
  <c r="M214" i="1"/>
  <c r="L214" i="1"/>
  <c r="K214" i="1"/>
  <c r="J214" i="1"/>
  <c r="P213" i="1"/>
  <c r="O213" i="1"/>
  <c r="N213" i="1"/>
  <c r="M213" i="1"/>
  <c r="L213" i="1"/>
  <c r="K213" i="1"/>
  <c r="J213" i="1"/>
  <c r="P212" i="1"/>
  <c r="O212" i="1"/>
  <c r="N212" i="1"/>
  <c r="M212" i="1"/>
  <c r="L212" i="1"/>
  <c r="K212" i="1"/>
  <c r="J212" i="1"/>
  <c r="P211" i="1"/>
  <c r="O211" i="1"/>
  <c r="N211" i="1"/>
  <c r="M211" i="1"/>
  <c r="L211" i="1"/>
  <c r="K211" i="1"/>
  <c r="J211" i="1"/>
  <c r="P210" i="1"/>
  <c r="O210" i="1"/>
  <c r="N210" i="1"/>
  <c r="M210" i="1"/>
  <c r="L210" i="1"/>
  <c r="K210" i="1"/>
  <c r="J210" i="1"/>
  <c r="P209" i="1"/>
  <c r="O209" i="1"/>
  <c r="N209" i="1"/>
  <c r="M209" i="1"/>
  <c r="L209" i="1"/>
  <c r="K209" i="1"/>
  <c r="J209" i="1"/>
  <c r="P208" i="1"/>
  <c r="O208" i="1"/>
  <c r="N208" i="1"/>
  <c r="M208" i="1"/>
  <c r="L208" i="1"/>
  <c r="K208" i="1"/>
  <c r="J208" i="1"/>
  <c r="P207" i="1"/>
  <c r="O207" i="1"/>
  <c r="N207" i="1"/>
  <c r="M207" i="1"/>
  <c r="L207" i="1"/>
  <c r="K207" i="1"/>
  <c r="J207" i="1"/>
  <c r="P206" i="1"/>
  <c r="O206" i="1"/>
  <c r="N206" i="1"/>
  <c r="M206" i="1"/>
  <c r="L206" i="1"/>
  <c r="K206" i="1"/>
  <c r="J206" i="1"/>
  <c r="P205" i="1"/>
  <c r="O205" i="1"/>
  <c r="N205" i="1"/>
  <c r="M205" i="1"/>
  <c r="L205" i="1"/>
  <c r="K205" i="1"/>
  <c r="J205" i="1"/>
  <c r="P204" i="1"/>
  <c r="O204" i="1"/>
  <c r="N204" i="1"/>
  <c r="M204" i="1"/>
  <c r="L204" i="1"/>
  <c r="K204" i="1"/>
  <c r="J204" i="1"/>
  <c r="P203" i="1"/>
  <c r="O203" i="1"/>
  <c r="N203" i="1"/>
  <c r="M203" i="1"/>
  <c r="L203" i="1"/>
  <c r="K203" i="1"/>
  <c r="J203" i="1"/>
  <c r="P202" i="1"/>
  <c r="O202" i="1"/>
  <c r="N202" i="1"/>
  <c r="M202" i="1"/>
  <c r="L202" i="1"/>
  <c r="K202" i="1"/>
  <c r="J202" i="1"/>
  <c r="P201" i="1"/>
  <c r="O201" i="1"/>
  <c r="N201" i="1"/>
  <c r="M201" i="1"/>
  <c r="L201" i="1"/>
  <c r="K201" i="1"/>
  <c r="J201" i="1"/>
  <c r="P200" i="1"/>
  <c r="O200" i="1"/>
  <c r="N200" i="1"/>
  <c r="M200" i="1"/>
  <c r="L200" i="1"/>
  <c r="K200" i="1"/>
  <c r="J200" i="1"/>
  <c r="P199" i="1"/>
  <c r="O199" i="1"/>
  <c r="N199" i="1"/>
  <c r="M199" i="1"/>
  <c r="L199" i="1"/>
  <c r="K199" i="1"/>
  <c r="J199" i="1"/>
  <c r="P198" i="1"/>
  <c r="O198" i="1"/>
  <c r="N198" i="1"/>
  <c r="M198" i="1"/>
  <c r="L198" i="1"/>
  <c r="K198" i="1"/>
  <c r="J198" i="1"/>
  <c r="P197" i="1"/>
  <c r="O197" i="1"/>
  <c r="N197" i="1"/>
  <c r="M197" i="1"/>
  <c r="L197" i="1"/>
  <c r="K197" i="1"/>
  <c r="J197" i="1"/>
  <c r="P196" i="1"/>
  <c r="O196" i="1"/>
  <c r="N196" i="1"/>
  <c r="M196" i="1"/>
  <c r="L196" i="1"/>
  <c r="K196" i="1"/>
  <c r="J196" i="1"/>
  <c r="P195" i="1"/>
  <c r="O195" i="1"/>
  <c r="N195" i="1"/>
  <c r="M195" i="1"/>
  <c r="L195" i="1"/>
  <c r="K195" i="1"/>
  <c r="J195" i="1"/>
  <c r="P194" i="1"/>
  <c r="O194" i="1"/>
  <c r="N194" i="1"/>
  <c r="M194" i="1"/>
  <c r="L194" i="1"/>
  <c r="K194" i="1"/>
  <c r="J194" i="1"/>
  <c r="P193" i="1"/>
  <c r="O193" i="1"/>
  <c r="N193" i="1"/>
  <c r="M193" i="1"/>
  <c r="L193" i="1"/>
  <c r="K193" i="1"/>
  <c r="J193" i="1"/>
  <c r="P192" i="1"/>
  <c r="O192" i="1"/>
  <c r="N192" i="1"/>
  <c r="M192" i="1"/>
  <c r="L192" i="1"/>
  <c r="K192" i="1"/>
  <c r="J192" i="1"/>
  <c r="P191" i="1"/>
  <c r="O191" i="1"/>
  <c r="N191" i="1"/>
  <c r="M191" i="1"/>
  <c r="L191" i="1"/>
  <c r="K191" i="1"/>
  <c r="J191" i="1"/>
  <c r="P190" i="1"/>
  <c r="O190" i="1"/>
  <c r="N190" i="1"/>
  <c r="M190" i="1"/>
  <c r="L190" i="1"/>
  <c r="K190" i="1"/>
  <c r="J190" i="1"/>
  <c r="P189" i="1"/>
  <c r="O189" i="1"/>
  <c r="N189" i="1"/>
  <c r="M189" i="1"/>
  <c r="L189" i="1"/>
  <c r="K189" i="1"/>
  <c r="J189" i="1"/>
  <c r="P188" i="1"/>
  <c r="O188" i="1"/>
  <c r="N188" i="1"/>
  <c r="M188" i="1"/>
  <c r="L188" i="1"/>
  <c r="K188" i="1"/>
  <c r="J188" i="1"/>
  <c r="P187" i="1"/>
  <c r="O187" i="1"/>
  <c r="N187" i="1"/>
  <c r="M187" i="1"/>
  <c r="L187" i="1"/>
  <c r="K187" i="1"/>
  <c r="J187" i="1"/>
  <c r="P186" i="1"/>
  <c r="O186" i="1"/>
  <c r="N186" i="1"/>
  <c r="M186" i="1"/>
  <c r="L186" i="1"/>
  <c r="K186" i="1"/>
  <c r="J186" i="1"/>
  <c r="P185" i="1"/>
  <c r="O185" i="1"/>
  <c r="N185" i="1"/>
  <c r="M185" i="1"/>
  <c r="L185" i="1"/>
  <c r="K185" i="1"/>
  <c r="J185" i="1"/>
  <c r="P184" i="1"/>
  <c r="O184" i="1"/>
  <c r="N184" i="1"/>
  <c r="M184" i="1"/>
  <c r="L184" i="1"/>
  <c r="K184" i="1"/>
  <c r="J184" i="1"/>
  <c r="P183" i="1"/>
  <c r="O183" i="1"/>
  <c r="N183" i="1"/>
  <c r="M183" i="1"/>
  <c r="L183" i="1"/>
  <c r="K183" i="1"/>
  <c r="J183" i="1"/>
  <c r="P182" i="1"/>
  <c r="O182" i="1"/>
  <c r="N182" i="1"/>
  <c r="M182" i="1"/>
  <c r="L182" i="1"/>
  <c r="K182" i="1"/>
  <c r="J182" i="1"/>
  <c r="O179" i="1"/>
  <c r="I179" i="1"/>
  <c r="K179" i="1" s="1"/>
  <c r="H179" i="1"/>
  <c r="G179" i="1"/>
  <c r="F179" i="1"/>
  <c r="E179" i="1"/>
  <c r="M179" i="1" s="1"/>
  <c r="D179" i="1"/>
  <c r="L179" i="1" s="1"/>
  <c r="P178" i="1"/>
  <c r="O178" i="1"/>
  <c r="N178" i="1"/>
  <c r="M178" i="1"/>
  <c r="L178" i="1"/>
  <c r="K178" i="1"/>
  <c r="J178" i="1"/>
  <c r="P177" i="1"/>
  <c r="O177" i="1"/>
  <c r="N177" i="1"/>
  <c r="M177" i="1"/>
  <c r="L177" i="1"/>
  <c r="K177" i="1"/>
  <c r="J177" i="1"/>
  <c r="P176" i="1"/>
  <c r="O176" i="1"/>
  <c r="N176" i="1"/>
  <c r="M176" i="1"/>
  <c r="L176" i="1"/>
  <c r="K176" i="1"/>
  <c r="J176" i="1"/>
  <c r="P175" i="1"/>
  <c r="O175" i="1"/>
  <c r="N175" i="1"/>
  <c r="M175" i="1"/>
  <c r="L175" i="1"/>
  <c r="K175" i="1"/>
  <c r="J175" i="1"/>
  <c r="P174" i="1"/>
  <c r="O174" i="1"/>
  <c r="N174" i="1"/>
  <c r="M174" i="1"/>
  <c r="L174" i="1"/>
  <c r="K174" i="1"/>
  <c r="J174" i="1"/>
  <c r="P173" i="1"/>
  <c r="O173" i="1"/>
  <c r="N173" i="1"/>
  <c r="M173" i="1"/>
  <c r="L173" i="1"/>
  <c r="K173" i="1"/>
  <c r="J173" i="1"/>
  <c r="P172" i="1"/>
  <c r="O172" i="1"/>
  <c r="N172" i="1"/>
  <c r="M172" i="1"/>
  <c r="L172" i="1"/>
  <c r="K172" i="1"/>
  <c r="J172" i="1"/>
  <c r="P171" i="1"/>
  <c r="O171" i="1"/>
  <c r="N171" i="1"/>
  <c r="M171" i="1"/>
  <c r="L171" i="1"/>
  <c r="K171" i="1"/>
  <c r="J171" i="1"/>
  <c r="P170" i="1"/>
  <c r="O170" i="1"/>
  <c r="N170" i="1"/>
  <c r="M170" i="1"/>
  <c r="L170" i="1"/>
  <c r="K170" i="1"/>
  <c r="J170" i="1"/>
  <c r="P169" i="1"/>
  <c r="O169" i="1"/>
  <c r="N169" i="1"/>
  <c r="M169" i="1"/>
  <c r="L169" i="1"/>
  <c r="K169" i="1"/>
  <c r="J169" i="1"/>
  <c r="P168" i="1"/>
  <c r="O168" i="1"/>
  <c r="N168" i="1"/>
  <c r="M168" i="1"/>
  <c r="L168" i="1"/>
  <c r="K168" i="1"/>
  <c r="J168" i="1"/>
  <c r="P167" i="1"/>
  <c r="O167" i="1"/>
  <c r="N167" i="1"/>
  <c r="M167" i="1"/>
  <c r="L167" i="1"/>
  <c r="K167" i="1"/>
  <c r="J167" i="1"/>
  <c r="P166" i="1"/>
  <c r="O166" i="1"/>
  <c r="N166" i="1"/>
  <c r="M166" i="1"/>
  <c r="L166" i="1"/>
  <c r="K166" i="1"/>
  <c r="J166" i="1"/>
  <c r="P165" i="1"/>
  <c r="O165" i="1"/>
  <c r="N165" i="1"/>
  <c r="M165" i="1"/>
  <c r="L165" i="1"/>
  <c r="K165" i="1"/>
  <c r="J165" i="1"/>
  <c r="P164" i="1"/>
  <c r="O164" i="1"/>
  <c r="N164" i="1"/>
  <c r="M164" i="1"/>
  <c r="L164" i="1"/>
  <c r="K164" i="1"/>
  <c r="J164" i="1"/>
  <c r="P163" i="1"/>
  <c r="O163" i="1"/>
  <c r="N163" i="1"/>
  <c r="M163" i="1"/>
  <c r="L163" i="1"/>
  <c r="K163" i="1"/>
  <c r="J163" i="1"/>
  <c r="P162" i="1"/>
  <c r="O162" i="1"/>
  <c r="N162" i="1"/>
  <c r="M162" i="1"/>
  <c r="L162" i="1"/>
  <c r="K162" i="1"/>
  <c r="J162" i="1"/>
  <c r="P161" i="1"/>
  <c r="O161" i="1"/>
  <c r="N161" i="1"/>
  <c r="M161" i="1"/>
  <c r="L161" i="1"/>
  <c r="K161" i="1"/>
  <c r="J161" i="1"/>
  <c r="P160" i="1"/>
  <c r="O160" i="1"/>
  <c r="N160" i="1"/>
  <c r="M160" i="1"/>
  <c r="L160" i="1"/>
  <c r="K160" i="1"/>
  <c r="J160" i="1"/>
  <c r="P159" i="1"/>
  <c r="O159" i="1"/>
  <c r="N159" i="1"/>
  <c r="M159" i="1"/>
  <c r="L159" i="1"/>
  <c r="K159" i="1"/>
  <c r="J159" i="1"/>
  <c r="P158" i="1"/>
  <c r="O158" i="1"/>
  <c r="N158" i="1"/>
  <c r="M158" i="1"/>
  <c r="L158" i="1"/>
  <c r="K158" i="1"/>
  <c r="J158" i="1"/>
  <c r="P157" i="1"/>
  <c r="O157" i="1"/>
  <c r="N157" i="1"/>
  <c r="M157" i="1"/>
  <c r="L157" i="1"/>
  <c r="K157" i="1"/>
  <c r="J157" i="1"/>
  <c r="P156" i="1"/>
  <c r="O156" i="1"/>
  <c r="N156" i="1"/>
  <c r="M156" i="1"/>
  <c r="L156" i="1"/>
  <c r="K156" i="1"/>
  <c r="J156" i="1"/>
  <c r="P155" i="1"/>
  <c r="O155" i="1"/>
  <c r="N155" i="1"/>
  <c r="M155" i="1"/>
  <c r="L155" i="1"/>
  <c r="K155" i="1"/>
  <c r="J155" i="1"/>
  <c r="P154" i="1"/>
  <c r="O154" i="1"/>
  <c r="N154" i="1"/>
  <c r="M154" i="1"/>
  <c r="L154" i="1"/>
  <c r="K154" i="1"/>
  <c r="J154" i="1"/>
  <c r="P153" i="1"/>
  <c r="O153" i="1"/>
  <c r="N153" i="1"/>
  <c r="M153" i="1"/>
  <c r="L153" i="1"/>
  <c r="K153" i="1"/>
  <c r="J153" i="1"/>
  <c r="P152" i="1"/>
  <c r="O152" i="1"/>
  <c r="N152" i="1"/>
  <c r="M152" i="1"/>
  <c r="L152" i="1"/>
  <c r="K152" i="1"/>
  <c r="J152" i="1"/>
  <c r="P151" i="1"/>
  <c r="O151" i="1"/>
  <c r="N151" i="1"/>
  <c r="M151" i="1"/>
  <c r="L151" i="1"/>
  <c r="K151" i="1"/>
  <c r="J151" i="1"/>
  <c r="P150" i="1"/>
  <c r="O150" i="1"/>
  <c r="N150" i="1"/>
  <c r="M150" i="1"/>
  <c r="L150" i="1"/>
  <c r="K150" i="1"/>
  <c r="J150" i="1"/>
  <c r="P149" i="1"/>
  <c r="O149" i="1"/>
  <c r="N149" i="1"/>
  <c r="M149" i="1"/>
  <c r="L149" i="1"/>
  <c r="K149" i="1"/>
  <c r="J149" i="1"/>
  <c r="P148" i="1"/>
  <c r="O148" i="1"/>
  <c r="N148" i="1"/>
  <c r="M148" i="1"/>
  <c r="L148" i="1"/>
  <c r="K148" i="1"/>
  <c r="J148" i="1"/>
  <c r="P147" i="1"/>
  <c r="O147" i="1"/>
  <c r="N147" i="1"/>
  <c r="M147" i="1"/>
  <c r="L147" i="1"/>
  <c r="K147" i="1"/>
  <c r="J147" i="1"/>
  <c r="P146" i="1"/>
  <c r="O146" i="1"/>
  <c r="N146" i="1"/>
  <c r="M146" i="1"/>
  <c r="L146" i="1"/>
  <c r="K146" i="1"/>
  <c r="J146" i="1"/>
  <c r="P145" i="1"/>
  <c r="O145" i="1"/>
  <c r="N145" i="1"/>
  <c r="M145" i="1"/>
  <c r="L145" i="1"/>
  <c r="K145" i="1"/>
  <c r="J145" i="1"/>
  <c r="P144" i="1"/>
  <c r="O144" i="1"/>
  <c r="N144" i="1"/>
  <c r="M144" i="1"/>
  <c r="L144" i="1"/>
  <c r="K144" i="1"/>
  <c r="J144" i="1"/>
  <c r="P143" i="1"/>
  <c r="O143" i="1"/>
  <c r="N143" i="1"/>
  <c r="M143" i="1"/>
  <c r="L143" i="1"/>
  <c r="K143" i="1"/>
  <c r="J143" i="1"/>
  <c r="P142" i="1"/>
  <c r="O142" i="1"/>
  <c r="N142" i="1"/>
  <c r="M142" i="1"/>
  <c r="L142" i="1"/>
  <c r="K142" i="1"/>
  <c r="J142" i="1"/>
  <c r="P141" i="1"/>
  <c r="O141" i="1"/>
  <c r="N141" i="1"/>
  <c r="M141" i="1"/>
  <c r="L141" i="1"/>
  <c r="K141" i="1"/>
  <c r="J141" i="1"/>
  <c r="P140" i="1"/>
  <c r="O140" i="1"/>
  <c r="N140" i="1"/>
  <c r="M140" i="1"/>
  <c r="L140" i="1"/>
  <c r="K140" i="1"/>
  <c r="J140" i="1"/>
  <c r="P139" i="1"/>
  <c r="O139" i="1"/>
  <c r="N139" i="1"/>
  <c r="M139" i="1"/>
  <c r="L139" i="1"/>
  <c r="K139" i="1"/>
  <c r="J139" i="1"/>
  <c r="P138" i="1"/>
  <c r="O138" i="1"/>
  <c r="N138" i="1"/>
  <c r="M138" i="1"/>
  <c r="L138" i="1"/>
  <c r="K138" i="1"/>
  <c r="J138" i="1"/>
  <c r="P137" i="1"/>
  <c r="O137" i="1"/>
  <c r="N137" i="1"/>
  <c r="M137" i="1"/>
  <c r="L137" i="1"/>
  <c r="K137" i="1"/>
  <c r="J137" i="1"/>
  <c r="P136" i="1"/>
  <c r="O136" i="1"/>
  <c r="N136" i="1"/>
  <c r="M136" i="1"/>
  <c r="L136" i="1"/>
  <c r="K136" i="1"/>
  <c r="J136" i="1"/>
  <c r="P135" i="1"/>
  <c r="O135" i="1"/>
  <c r="N135" i="1"/>
  <c r="M135" i="1"/>
  <c r="L135" i="1"/>
  <c r="K135" i="1"/>
  <c r="J135" i="1"/>
  <c r="P134" i="1"/>
  <c r="O134" i="1"/>
  <c r="N134" i="1"/>
  <c r="M134" i="1"/>
  <c r="L134" i="1"/>
  <c r="K134" i="1"/>
  <c r="J134" i="1"/>
  <c r="P133" i="1"/>
  <c r="O133" i="1"/>
  <c r="N133" i="1"/>
  <c r="M133" i="1"/>
  <c r="L133" i="1"/>
  <c r="K133" i="1"/>
  <c r="J133" i="1"/>
  <c r="P132" i="1"/>
  <c r="O132" i="1"/>
  <c r="N132" i="1"/>
  <c r="M132" i="1"/>
  <c r="L132" i="1"/>
  <c r="K132" i="1"/>
  <c r="J132" i="1"/>
  <c r="P131" i="1"/>
  <c r="O131" i="1"/>
  <c r="N131" i="1"/>
  <c r="M131" i="1"/>
  <c r="L131" i="1"/>
  <c r="K131" i="1"/>
  <c r="J131" i="1"/>
  <c r="P130" i="1"/>
  <c r="O130" i="1"/>
  <c r="N130" i="1"/>
  <c r="M130" i="1"/>
  <c r="L130" i="1"/>
  <c r="K130" i="1"/>
  <c r="J130" i="1"/>
  <c r="P129" i="1"/>
  <c r="O129" i="1"/>
  <c r="N129" i="1"/>
  <c r="M129" i="1"/>
  <c r="L129" i="1"/>
  <c r="K129" i="1"/>
  <c r="J129" i="1"/>
  <c r="P128" i="1"/>
  <c r="O128" i="1"/>
  <c r="N128" i="1"/>
  <c r="M128" i="1"/>
  <c r="L128" i="1"/>
  <c r="K128" i="1"/>
  <c r="J128" i="1"/>
  <c r="P127" i="1"/>
  <c r="O127" i="1"/>
  <c r="N127" i="1"/>
  <c r="M127" i="1"/>
  <c r="L127" i="1"/>
  <c r="K127" i="1"/>
  <c r="J127" i="1"/>
  <c r="P126" i="1"/>
  <c r="O126" i="1"/>
  <c r="N126" i="1"/>
  <c r="M126" i="1"/>
  <c r="L126" i="1"/>
  <c r="K126" i="1"/>
  <c r="J126" i="1"/>
  <c r="P125" i="1"/>
  <c r="O125" i="1"/>
  <c r="N125" i="1"/>
  <c r="M125" i="1"/>
  <c r="L125" i="1"/>
  <c r="K125" i="1"/>
  <c r="J125" i="1"/>
  <c r="P124" i="1"/>
  <c r="O124" i="1"/>
  <c r="N124" i="1"/>
  <c r="M124" i="1"/>
  <c r="L124" i="1"/>
  <c r="K124" i="1"/>
  <c r="J124" i="1"/>
  <c r="P123" i="1"/>
  <c r="O123" i="1"/>
  <c r="N123" i="1"/>
  <c r="M123" i="1"/>
  <c r="L123" i="1"/>
  <c r="K123" i="1"/>
  <c r="J123" i="1"/>
  <c r="I120" i="1"/>
  <c r="K120" i="1" s="1"/>
  <c r="H120" i="1"/>
  <c r="G120" i="1"/>
  <c r="F120" i="1"/>
  <c r="O120" i="1" s="1"/>
  <c r="E120" i="1"/>
  <c r="D120" i="1"/>
  <c r="L120" i="1" s="1"/>
  <c r="P119" i="1"/>
  <c r="O119" i="1"/>
  <c r="N119" i="1"/>
  <c r="M119" i="1"/>
  <c r="L119" i="1"/>
  <c r="K119" i="1"/>
  <c r="J119" i="1"/>
  <c r="P118" i="1"/>
  <c r="O118" i="1"/>
  <c r="N118" i="1"/>
  <c r="M118" i="1"/>
  <c r="L118" i="1"/>
  <c r="K118" i="1"/>
  <c r="J118" i="1"/>
  <c r="P117" i="1"/>
  <c r="O117" i="1"/>
  <c r="N117" i="1"/>
  <c r="M117" i="1"/>
  <c r="L117" i="1"/>
  <c r="K117" i="1"/>
  <c r="J117" i="1"/>
  <c r="P116" i="1"/>
  <c r="O116" i="1"/>
  <c r="N116" i="1"/>
  <c r="M116" i="1"/>
  <c r="L116" i="1"/>
  <c r="K116" i="1"/>
  <c r="J116" i="1"/>
  <c r="P115" i="1"/>
  <c r="O115" i="1"/>
  <c r="N115" i="1"/>
  <c r="M115" i="1"/>
  <c r="L115" i="1"/>
  <c r="K115" i="1"/>
  <c r="J115" i="1"/>
  <c r="P114" i="1"/>
  <c r="O114" i="1"/>
  <c r="N114" i="1"/>
  <c r="M114" i="1"/>
  <c r="L114" i="1"/>
  <c r="K114" i="1"/>
  <c r="J114" i="1"/>
  <c r="P113" i="1"/>
  <c r="O113" i="1"/>
  <c r="N113" i="1"/>
  <c r="M113" i="1"/>
  <c r="L113" i="1"/>
  <c r="K113" i="1"/>
  <c r="J113" i="1"/>
  <c r="P112" i="1"/>
  <c r="O112" i="1"/>
  <c r="N112" i="1"/>
  <c r="M112" i="1"/>
  <c r="L112" i="1"/>
  <c r="K112" i="1"/>
  <c r="J112" i="1"/>
  <c r="P111" i="1"/>
  <c r="O111" i="1"/>
  <c r="N111" i="1"/>
  <c r="M111" i="1"/>
  <c r="L111" i="1"/>
  <c r="K111" i="1"/>
  <c r="J111" i="1"/>
  <c r="P110" i="1"/>
  <c r="O110" i="1"/>
  <c r="N110" i="1"/>
  <c r="M110" i="1"/>
  <c r="L110" i="1"/>
  <c r="K110" i="1"/>
  <c r="J110" i="1"/>
  <c r="P109" i="1"/>
  <c r="O109" i="1"/>
  <c r="N109" i="1"/>
  <c r="M109" i="1"/>
  <c r="L109" i="1"/>
  <c r="K109" i="1"/>
  <c r="J109" i="1"/>
  <c r="P108" i="1"/>
  <c r="O108" i="1"/>
  <c r="N108" i="1"/>
  <c r="M108" i="1"/>
  <c r="L108" i="1"/>
  <c r="K108" i="1"/>
  <c r="J108" i="1"/>
  <c r="P107" i="1"/>
  <c r="O107" i="1"/>
  <c r="N107" i="1"/>
  <c r="M107" i="1"/>
  <c r="L107" i="1"/>
  <c r="K107" i="1"/>
  <c r="J107" i="1"/>
  <c r="P106" i="1"/>
  <c r="O106" i="1"/>
  <c r="N106" i="1"/>
  <c r="M106" i="1"/>
  <c r="L106" i="1"/>
  <c r="K106" i="1"/>
  <c r="J106" i="1"/>
  <c r="P105" i="1"/>
  <c r="O105" i="1"/>
  <c r="N105" i="1"/>
  <c r="M105" i="1"/>
  <c r="L105" i="1"/>
  <c r="K105" i="1"/>
  <c r="J105" i="1"/>
  <c r="P104" i="1"/>
  <c r="O104" i="1"/>
  <c r="N104" i="1"/>
  <c r="M104" i="1"/>
  <c r="L104" i="1"/>
  <c r="K104" i="1"/>
  <c r="J104" i="1"/>
  <c r="P103" i="1"/>
  <c r="O103" i="1"/>
  <c r="N103" i="1"/>
  <c r="M103" i="1"/>
  <c r="L103" i="1"/>
  <c r="K103" i="1"/>
  <c r="J103" i="1"/>
  <c r="P102" i="1"/>
  <c r="O102" i="1"/>
  <c r="N102" i="1"/>
  <c r="M102" i="1"/>
  <c r="L102" i="1"/>
  <c r="K102" i="1"/>
  <c r="J102" i="1"/>
  <c r="P101" i="1"/>
  <c r="O101" i="1"/>
  <c r="N101" i="1"/>
  <c r="M101" i="1"/>
  <c r="L101" i="1"/>
  <c r="K101" i="1"/>
  <c r="J101" i="1"/>
  <c r="P100" i="1"/>
  <c r="O100" i="1"/>
  <c r="N100" i="1"/>
  <c r="M100" i="1"/>
  <c r="L100" i="1"/>
  <c r="K100" i="1"/>
  <c r="J100" i="1"/>
  <c r="P99" i="1"/>
  <c r="O99" i="1"/>
  <c r="N99" i="1"/>
  <c r="M99" i="1"/>
  <c r="L99" i="1"/>
  <c r="K99" i="1"/>
  <c r="J99" i="1"/>
  <c r="P98" i="1"/>
  <c r="O98" i="1"/>
  <c r="N98" i="1"/>
  <c r="M98" i="1"/>
  <c r="L98" i="1"/>
  <c r="K98" i="1"/>
  <c r="J98" i="1"/>
  <c r="P97" i="1"/>
  <c r="O97" i="1"/>
  <c r="N97" i="1"/>
  <c r="M97" i="1"/>
  <c r="L97" i="1"/>
  <c r="K97" i="1"/>
  <c r="J97" i="1"/>
  <c r="P96" i="1"/>
  <c r="O96" i="1"/>
  <c r="N96" i="1"/>
  <c r="M96" i="1"/>
  <c r="L96" i="1"/>
  <c r="K96" i="1"/>
  <c r="J96" i="1"/>
  <c r="P95" i="1"/>
  <c r="O95" i="1"/>
  <c r="N95" i="1"/>
  <c r="M95" i="1"/>
  <c r="L95" i="1"/>
  <c r="K95" i="1"/>
  <c r="J95" i="1"/>
  <c r="P94" i="1"/>
  <c r="O94" i="1"/>
  <c r="N94" i="1"/>
  <c r="M94" i="1"/>
  <c r="L94" i="1"/>
  <c r="K94" i="1"/>
  <c r="J94" i="1"/>
  <c r="P93" i="1"/>
  <c r="O93" i="1"/>
  <c r="N93" i="1"/>
  <c r="M93" i="1"/>
  <c r="L93" i="1"/>
  <c r="K93" i="1"/>
  <c r="J93" i="1"/>
  <c r="P92" i="1"/>
  <c r="O92" i="1"/>
  <c r="N92" i="1"/>
  <c r="M92" i="1"/>
  <c r="L92" i="1"/>
  <c r="K92" i="1"/>
  <c r="J92" i="1"/>
  <c r="P91" i="1"/>
  <c r="O91" i="1"/>
  <c r="N91" i="1"/>
  <c r="M91" i="1"/>
  <c r="L91" i="1"/>
  <c r="K91" i="1"/>
  <c r="J91" i="1"/>
  <c r="P90" i="1"/>
  <c r="O90" i="1"/>
  <c r="N90" i="1"/>
  <c r="M90" i="1"/>
  <c r="L90" i="1"/>
  <c r="K90" i="1"/>
  <c r="J90" i="1"/>
  <c r="P89" i="1"/>
  <c r="O89" i="1"/>
  <c r="N89" i="1"/>
  <c r="M89" i="1"/>
  <c r="L89" i="1"/>
  <c r="K89" i="1"/>
  <c r="J89" i="1"/>
  <c r="P88" i="1"/>
  <c r="O88" i="1"/>
  <c r="N88" i="1"/>
  <c r="M88" i="1"/>
  <c r="L88" i="1"/>
  <c r="K88" i="1"/>
  <c r="J88" i="1"/>
  <c r="P87" i="1"/>
  <c r="O87" i="1"/>
  <c r="N87" i="1"/>
  <c r="M87" i="1"/>
  <c r="L87" i="1"/>
  <c r="K87" i="1"/>
  <c r="J87" i="1"/>
  <c r="P86" i="1"/>
  <c r="O86" i="1"/>
  <c r="N86" i="1"/>
  <c r="M86" i="1"/>
  <c r="L86" i="1"/>
  <c r="K86" i="1"/>
  <c r="J86" i="1"/>
  <c r="P85" i="1"/>
  <c r="O85" i="1"/>
  <c r="N85" i="1"/>
  <c r="M85" i="1"/>
  <c r="L85" i="1"/>
  <c r="K85" i="1"/>
  <c r="J85" i="1"/>
  <c r="P84" i="1"/>
  <c r="O84" i="1"/>
  <c r="N84" i="1"/>
  <c r="M84" i="1"/>
  <c r="L84" i="1"/>
  <c r="K84" i="1"/>
  <c r="J84" i="1"/>
  <c r="P83" i="1"/>
  <c r="O83" i="1"/>
  <c r="N83" i="1"/>
  <c r="M83" i="1"/>
  <c r="L83" i="1"/>
  <c r="K83" i="1"/>
  <c r="J83" i="1"/>
  <c r="P82" i="1"/>
  <c r="O82" i="1"/>
  <c r="N82" i="1"/>
  <c r="M82" i="1"/>
  <c r="L82" i="1"/>
  <c r="K82" i="1"/>
  <c r="J82" i="1"/>
  <c r="P81" i="1"/>
  <c r="O81" i="1"/>
  <c r="N81" i="1"/>
  <c r="M81" i="1"/>
  <c r="L81" i="1"/>
  <c r="K81" i="1"/>
  <c r="J81" i="1"/>
  <c r="P80" i="1"/>
  <c r="O80" i="1"/>
  <c r="N80" i="1"/>
  <c r="M80" i="1"/>
  <c r="L80" i="1"/>
  <c r="K80" i="1"/>
  <c r="J80" i="1"/>
  <c r="P79" i="1"/>
  <c r="O79" i="1"/>
  <c r="N79" i="1"/>
  <c r="M79" i="1"/>
  <c r="L79" i="1"/>
  <c r="K79" i="1"/>
  <c r="J79" i="1"/>
  <c r="P78" i="1"/>
  <c r="O78" i="1"/>
  <c r="N78" i="1"/>
  <c r="M78" i="1"/>
  <c r="L78" i="1"/>
  <c r="K78" i="1"/>
  <c r="J78" i="1"/>
  <c r="P77" i="1"/>
  <c r="O77" i="1"/>
  <c r="N77" i="1"/>
  <c r="M77" i="1"/>
  <c r="L77" i="1"/>
  <c r="K77" i="1"/>
  <c r="J77" i="1"/>
  <c r="P76" i="1"/>
  <c r="O76" i="1"/>
  <c r="N76" i="1"/>
  <c r="M76" i="1"/>
  <c r="L76" i="1"/>
  <c r="K76" i="1"/>
  <c r="J76" i="1"/>
  <c r="P75" i="1"/>
  <c r="O75" i="1"/>
  <c r="N75" i="1"/>
  <c r="M75" i="1"/>
  <c r="L75" i="1"/>
  <c r="K75" i="1"/>
  <c r="J75" i="1"/>
  <c r="P74" i="1"/>
  <c r="O74" i="1"/>
  <c r="N74" i="1"/>
  <c r="M74" i="1"/>
  <c r="L74" i="1"/>
  <c r="K74" i="1"/>
  <c r="J74" i="1"/>
  <c r="P73" i="1"/>
  <c r="O73" i="1"/>
  <c r="N73" i="1"/>
  <c r="M73" i="1"/>
  <c r="L73" i="1"/>
  <c r="K73" i="1"/>
  <c r="J73" i="1"/>
  <c r="P72" i="1"/>
  <c r="O72" i="1"/>
  <c r="N72" i="1"/>
  <c r="M72" i="1"/>
  <c r="L72" i="1"/>
  <c r="K72" i="1"/>
  <c r="J72" i="1"/>
  <c r="P71" i="1"/>
  <c r="O71" i="1"/>
  <c r="N71" i="1"/>
  <c r="M71" i="1"/>
  <c r="L71" i="1"/>
  <c r="K71" i="1"/>
  <c r="J71" i="1"/>
  <c r="P70" i="1"/>
  <c r="O70" i="1"/>
  <c r="N70" i="1"/>
  <c r="M70" i="1"/>
  <c r="L70" i="1"/>
  <c r="K70" i="1"/>
  <c r="J70" i="1"/>
  <c r="P69" i="1"/>
  <c r="O69" i="1"/>
  <c r="N69" i="1"/>
  <c r="M69" i="1"/>
  <c r="L69" i="1"/>
  <c r="K69" i="1"/>
  <c r="J69" i="1"/>
  <c r="P68" i="1"/>
  <c r="O68" i="1"/>
  <c r="N68" i="1"/>
  <c r="M68" i="1"/>
  <c r="L68" i="1"/>
  <c r="K68" i="1"/>
  <c r="J68" i="1"/>
  <c r="P67" i="1"/>
  <c r="O67" i="1"/>
  <c r="N67" i="1"/>
  <c r="M67" i="1"/>
  <c r="L67" i="1"/>
  <c r="K67" i="1"/>
  <c r="J67" i="1"/>
  <c r="P66" i="1"/>
  <c r="O66" i="1"/>
  <c r="N66" i="1"/>
  <c r="M66" i="1"/>
  <c r="L66" i="1"/>
  <c r="K66" i="1"/>
  <c r="J66" i="1"/>
  <c r="P65" i="1"/>
  <c r="O65" i="1"/>
  <c r="N65" i="1"/>
  <c r="M65" i="1"/>
  <c r="L65" i="1"/>
  <c r="K65" i="1"/>
  <c r="J65" i="1"/>
  <c r="P64" i="1"/>
  <c r="O64" i="1"/>
  <c r="N64" i="1"/>
  <c r="M64" i="1"/>
  <c r="L64" i="1"/>
  <c r="K64" i="1"/>
  <c r="O61" i="1"/>
  <c r="I61" i="1"/>
  <c r="P61" i="1" s="1"/>
  <c r="H61" i="1"/>
  <c r="G61" i="1"/>
  <c r="F61" i="1"/>
  <c r="E61" i="1"/>
  <c r="M61" i="1" s="1"/>
  <c r="D61" i="1"/>
  <c r="L61" i="1" s="1"/>
  <c r="P60" i="1"/>
  <c r="O60" i="1"/>
  <c r="N60" i="1"/>
  <c r="M60" i="1"/>
  <c r="L60" i="1"/>
  <c r="K60" i="1"/>
  <c r="J60" i="1"/>
  <c r="P59" i="1"/>
  <c r="O59" i="1"/>
  <c r="N59" i="1"/>
  <c r="M59" i="1"/>
  <c r="L59" i="1"/>
  <c r="K59" i="1"/>
  <c r="J59" i="1"/>
  <c r="P58" i="1"/>
  <c r="O58" i="1"/>
  <c r="N58" i="1"/>
  <c r="M58" i="1"/>
  <c r="L58" i="1"/>
  <c r="K58" i="1"/>
  <c r="J58" i="1"/>
  <c r="P57" i="1"/>
  <c r="O57" i="1"/>
  <c r="N57" i="1"/>
  <c r="M57" i="1"/>
  <c r="L57" i="1"/>
  <c r="K57" i="1"/>
  <c r="J57" i="1"/>
  <c r="P56" i="1"/>
  <c r="O56" i="1"/>
  <c r="N56" i="1"/>
  <c r="M56" i="1"/>
  <c r="L56" i="1"/>
  <c r="K56" i="1"/>
  <c r="J56" i="1"/>
  <c r="P55" i="1"/>
  <c r="O55" i="1"/>
  <c r="N55" i="1"/>
  <c r="M55" i="1"/>
  <c r="L55" i="1"/>
  <c r="K55" i="1"/>
  <c r="J55" i="1"/>
  <c r="P54" i="1"/>
  <c r="O54" i="1"/>
  <c r="N54" i="1"/>
  <c r="M54" i="1"/>
  <c r="L54" i="1"/>
  <c r="K54" i="1"/>
  <c r="J54" i="1"/>
  <c r="P53" i="1"/>
  <c r="O53" i="1"/>
  <c r="N53" i="1"/>
  <c r="M53" i="1"/>
  <c r="L53" i="1"/>
  <c r="K53" i="1"/>
  <c r="J53" i="1"/>
  <c r="P52" i="1"/>
  <c r="O52" i="1"/>
  <c r="N52" i="1"/>
  <c r="M52" i="1"/>
  <c r="L52" i="1"/>
  <c r="K52" i="1"/>
  <c r="J52" i="1"/>
  <c r="P51" i="1"/>
  <c r="O51" i="1"/>
  <c r="N51" i="1"/>
  <c r="M51" i="1"/>
  <c r="L51" i="1"/>
  <c r="K51" i="1"/>
  <c r="J51" i="1"/>
  <c r="P50" i="1"/>
  <c r="O50" i="1"/>
  <c r="N50" i="1"/>
  <c r="M50" i="1"/>
  <c r="L50" i="1"/>
  <c r="K50" i="1"/>
  <c r="J50" i="1"/>
  <c r="P49" i="1"/>
  <c r="O49" i="1"/>
  <c r="N49" i="1"/>
  <c r="M49" i="1"/>
  <c r="L49" i="1"/>
  <c r="K49" i="1"/>
  <c r="J49" i="1"/>
  <c r="P48" i="1"/>
  <c r="O48" i="1"/>
  <c r="N48" i="1"/>
  <c r="M48" i="1"/>
  <c r="L48" i="1"/>
  <c r="K48" i="1"/>
  <c r="J48" i="1"/>
  <c r="P47" i="1"/>
  <c r="O47" i="1"/>
  <c r="N47" i="1"/>
  <c r="M47" i="1"/>
  <c r="L47" i="1"/>
  <c r="K47" i="1"/>
  <c r="J47" i="1"/>
  <c r="P46" i="1"/>
  <c r="O46" i="1"/>
  <c r="N46" i="1"/>
  <c r="M46" i="1"/>
  <c r="L46" i="1"/>
  <c r="K46" i="1"/>
  <c r="J46" i="1"/>
  <c r="P45" i="1"/>
  <c r="O45" i="1"/>
  <c r="N45" i="1"/>
  <c r="M45" i="1"/>
  <c r="L45" i="1"/>
  <c r="K45" i="1"/>
  <c r="J45" i="1"/>
  <c r="P44" i="1"/>
  <c r="O44" i="1"/>
  <c r="N44" i="1"/>
  <c r="M44" i="1"/>
  <c r="L44" i="1"/>
  <c r="K44" i="1"/>
  <c r="J44" i="1"/>
  <c r="P43" i="1"/>
  <c r="O43" i="1"/>
  <c r="N43" i="1"/>
  <c r="M43" i="1"/>
  <c r="L43" i="1"/>
  <c r="K43" i="1"/>
  <c r="J43" i="1"/>
  <c r="P42" i="1"/>
  <c r="O42" i="1"/>
  <c r="N42" i="1"/>
  <c r="M42" i="1"/>
  <c r="L42" i="1"/>
  <c r="K42" i="1"/>
  <c r="J42" i="1"/>
  <c r="P41" i="1"/>
  <c r="O41" i="1"/>
  <c r="N41" i="1"/>
  <c r="M41" i="1"/>
  <c r="L41" i="1"/>
  <c r="K41" i="1"/>
  <c r="J41" i="1"/>
  <c r="P40" i="1"/>
  <c r="O40" i="1"/>
  <c r="N40" i="1"/>
  <c r="M40" i="1"/>
  <c r="L40" i="1"/>
  <c r="K40" i="1"/>
  <c r="J40" i="1"/>
  <c r="P39" i="1"/>
  <c r="O39" i="1"/>
  <c r="N39" i="1"/>
  <c r="M39" i="1"/>
  <c r="L39" i="1"/>
  <c r="K39" i="1"/>
  <c r="J39" i="1"/>
  <c r="P38" i="1"/>
  <c r="O38" i="1"/>
  <c r="N38" i="1"/>
  <c r="M38" i="1"/>
  <c r="L38" i="1"/>
  <c r="K38" i="1"/>
  <c r="J38" i="1"/>
  <c r="P37" i="1"/>
  <c r="O37" i="1"/>
  <c r="N37" i="1"/>
  <c r="M37" i="1"/>
  <c r="L37" i="1"/>
  <c r="K37" i="1"/>
  <c r="J37" i="1"/>
  <c r="P36" i="1"/>
  <c r="O36" i="1"/>
  <c r="N36" i="1"/>
  <c r="M36" i="1"/>
  <c r="L36" i="1"/>
  <c r="K36" i="1"/>
  <c r="J36" i="1"/>
  <c r="P35" i="1"/>
  <c r="O35" i="1"/>
  <c r="N35" i="1"/>
  <c r="M35" i="1"/>
  <c r="L35" i="1"/>
  <c r="K35" i="1"/>
  <c r="J35" i="1"/>
  <c r="P34" i="1"/>
  <c r="O34" i="1"/>
  <c r="N34" i="1"/>
  <c r="M34" i="1"/>
  <c r="L34" i="1"/>
  <c r="K34" i="1"/>
  <c r="J34" i="1"/>
  <c r="P33" i="1"/>
  <c r="O33" i="1"/>
  <c r="N33" i="1"/>
  <c r="M33" i="1"/>
  <c r="L33" i="1"/>
  <c r="K33" i="1"/>
  <c r="J33" i="1"/>
  <c r="P32" i="1"/>
  <c r="O32" i="1"/>
  <c r="N32" i="1"/>
  <c r="M32" i="1"/>
  <c r="L32" i="1"/>
  <c r="K32" i="1"/>
  <c r="J32" i="1"/>
  <c r="P31" i="1"/>
  <c r="O31" i="1"/>
  <c r="N31" i="1"/>
  <c r="M31" i="1"/>
  <c r="L31" i="1"/>
  <c r="K31" i="1"/>
  <c r="J31" i="1"/>
  <c r="P30" i="1"/>
  <c r="O30" i="1"/>
  <c r="N30" i="1"/>
  <c r="M30" i="1"/>
  <c r="L30" i="1"/>
  <c r="K30" i="1"/>
  <c r="J30" i="1"/>
  <c r="P29" i="1"/>
  <c r="O29" i="1"/>
  <c r="N29" i="1"/>
  <c r="M29" i="1"/>
  <c r="L29" i="1"/>
  <c r="K29" i="1"/>
  <c r="J29" i="1"/>
  <c r="P28" i="1"/>
  <c r="O28" i="1"/>
  <c r="N28" i="1"/>
  <c r="M28" i="1"/>
  <c r="L28" i="1"/>
  <c r="K28" i="1"/>
  <c r="J28" i="1"/>
  <c r="P27" i="1"/>
  <c r="O27" i="1"/>
  <c r="N27" i="1"/>
  <c r="M27" i="1"/>
  <c r="L27" i="1"/>
  <c r="K27" i="1"/>
  <c r="J27" i="1"/>
  <c r="P26" i="1"/>
  <c r="O26" i="1"/>
  <c r="N26" i="1"/>
  <c r="M26" i="1"/>
  <c r="L26" i="1"/>
  <c r="K26" i="1"/>
  <c r="J26" i="1"/>
  <c r="P25" i="1"/>
  <c r="O25" i="1"/>
  <c r="N25" i="1"/>
  <c r="M25" i="1"/>
  <c r="L25" i="1"/>
  <c r="K25" i="1"/>
  <c r="J25" i="1"/>
  <c r="P24" i="1"/>
  <c r="O24" i="1"/>
  <c r="N24" i="1"/>
  <c r="M24" i="1"/>
  <c r="L24" i="1"/>
  <c r="K24" i="1"/>
  <c r="J24" i="1"/>
  <c r="P23" i="1"/>
  <c r="O23" i="1"/>
  <c r="N23" i="1"/>
  <c r="M23" i="1"/>
  <c r="L23" i="1"/>
  <c r="K23" i="1"/>
  <c r="J23" i="1"/>
  <c r="P22" i="1"/>
  <c r="O22" i="1"/>
  <c r="N22" i="1"/>
  <c r="M22" i="1"/>
  <c r="L22" i="1"/>
  <c r="K22" i="1"/>
  <c r="J22" i="1"/>
  <c r="P21" i="1"/>
  <c r="O21" i="1"/>
  <c r="N21" i="1"/>
  <c r="M21" i="1"/>
  <c r="L21" i="1"/>
  <c r="K21" i="1"/>
  <c r="J21" i="1"/>
  <c r="P20" i="1"/>
  <c r="O20" i="1"/>
  <c r="N20" i="1"/>
  <c r="M20" i="1"/>
  <c r="L20" i="1"/>
  <c r="K20" i="1"/>
  <c r="J20" i="1"/>
  <c r="P19" i="1"/>
  <c r="O19" i="1"/>
  <c r="N19" i="1"/>
  <c r="M19" i="1"/>
  <c r="L19" i="1"/>
  <c r="K19" i="1"/>
  <c r="J19" i="1"/>
  <c r="P18" i="1"/>
  <c r="O18" i="1"/>
  <c r="N18" i="1"/>
  <c r="M18" i="1"/>
  <c r="L18" i="1"/>
  <c r="K18" i="1"/>
  <c r="J18" i="1"/>
  <c r="P17" i="1"/>
  <c r="O17" i="1"/>
  <c r="N17" i="1"/>
  <c r="M17" i="1"/>
  <c r="L17" i="1"/>
  <c r="K17" i="1"/>
  <c r="J17" i="1"/>
  <c r="P16" i="1"/>
  <c r="O16" i="1"/>
  <c r="N16" i="1"/>
  <c r="M16" i="1"/>
  <c r="L16" i="1"/>
  <c r="K16" i="1"/>
  <c r="J16" i="1"/>
  <c r="P15" i="1"/>
  <c r="O15" i="1"/>
  <c r="N15" i="1"/>
  <c r="M15" i="1"/>
  <c r="L15" i="1"/>
  <c r="K15" i="1"/>
  <c r="J15" i="1"/>
  <c r="P14" i="1"/>
  <c r="O14" i="1"/>
  <c r="N14" i="1"/>
  <c r="M14" i="1"/>
  <c r="L14" i="1"/>
  <c r="K14" i="1"/>
  <c r="J14" i="1"/>
  <c r="P13" i="1"/>
  <c r="O13" i="1"/>
  <c r="N13" i="1"/>
  <c r="M13" i="1"/>
  <c r="L13" i="1"/>
  <c r="K13" i="1"/>
  <c r="J13" i="1"/>
  <c r="P12" i="1"/>
  <c r="O12" i="1"/>
  <c r="N12" i="1"/>
  <c r="M12" i="1"/>
  <c r="L12" i="1"/>
  <c r="K12" i="1"/>
  <c r="J12" i="1"/>
  <c r="P11" i="1"/>
  <c r="O11" i="1"/>
  <c r="N11" i="1"/>
  <c r="M11" i="1"/>
  <c r="L11" i="1"/>
  <c r="K11" i="1"/>
  <c r="J11" i="1"/>
  <c r="P10" i="1"/>
  <c r="O10" i="1"/>
  <c r="N10" i="1"/>
  <c r="M10" i="1"/>
  <c r="L10" i="1"/>
  <c r="K10" i="1"/>
  <c r="J10" i="1"/>
  <c r="P9" i="1"/>
  <c r="O9" i="1"/>
  <c r="N9" i="1"/>
  <c r="M9" i="1"/>
  <c r="L9" i="1"/>
  <c r="K9" i="1"/>
  <c r="J9" i="1"/>
  <c r="P8" i="1"/>
  <c r="O8" i="1"/>
  <c r="N8" i="1"/>
  <c r="M8" i="1"/>
  <c r="L8" i="1"/>
  <c r="K8" i="1"/>
  <c r="J8" i="1"/>
  <c r="P7" i="1"/>
  <c r="O7" i="1"/>
  <c r="N7" i="1"/>
  <c r="M7" i="1"/>
  <c r="L7" i="1"/>
  <c r="K7" i="1"/>
  <c r="J7" i="1"/>
  <c r="P6" i="1"/>
  <c r="O6" i="1"/>
  <c r="N6" i="1"/>
  <c r="M6" i="1"/>
  <c r="L6" i="1"/>
  <c r="K6" i="1"/>
  <c r="J6" i="1"/>
  <c r="P5" i="1"/>
  <c r="O5" i="1"/>
  <c r="N5" i="1"/>
  <c r="M5" i="1"/>
  <c r="L5" i="1"/>
  <c r="K5" i="1"/>
  <c r="J5" i="1"/>
  <c r="N932" i="1" l="1"/>
  <c r="P932" i="1"/>
  <c r="M891" i="1"/>
  <c r="K891" i="1"/>
  <c r="K894" i="1"/>
  <c r="M895" i="1"/>
  <c r="K895" i="1"/>
  <c r="K898" i="1"/>
  <c r="M899" i="1"/>
  <c r="K899" i="1"/>
  <c r="K902" i="1"/>
  <c r="M903" i="1"/>
  <c r="K903" i="1"/>
  <c r="K906" i="1"/>
  <c r="M907" i="1"/>
  <c r="K907" i="1"/>
  <c r="K910" i="1"/>
  <c r="M911" i="1"/>
  <c r="K911" i="1"/>
  <c r="K914" i="1"/>
  <c r="M915" i="1"/>
  <c r="K915" i="1"/>
  <c r="K918" i="1"/>
  <c r="M919" i="1"/>
  <c r="K919" i="1"/>
  <c r="K922" i="1"/>
  <c r="M923" i="1"/>
  <c r="K923" i="1"/>
  <c r="K926" i="1"/>
  <c r="M927" i="1"/>
  <c r="K927" i="1"/>
  <c r="K930" i="1"/>
  <c r="P120" i="1"/>
  <c r="N892" i="1"/>
  <c r="P892" i="1"/>
  <c r="N894" i="1"/>
  <c r="P894" i="1"/>
  <c r="N896" i="1"/>
  <c r="P896" i="1"/>
  <c r="N898" i="1"/>
  <c r="P898" i="1"/>
  <c r="N900" i="1"/>
  <c r="P900" i="1"/>
  <c r="N902" i="1"/>
  <c r="P902" i="1"/>
  <c r="N904" i="1"/>
  <c r="P904" i="1"/>
  <c r="N906" i="1"/>
  <c r="P906" i="1"/>
  <c r="N908" i="1"/>
  <c r="P908" i="1"/>
  <c r="N910" i="1"/>
  <c r="P910" i="1"/>
  <c r="N912" i="1"/>
  <c r="P912" i="1"/>
  <c r="N914" i="1"/>
  <c r="P914" i="1"/>
  <c r="N916" i="1"/>
  <c r="P916" i="1"/>
  <c r="N918" i="1"/>
  <c r="P918" i="1"/>
  <c r="N920" i="1"/>
  <c r="P920" i="1"/>
  <c r="N922" i="1"/>
  <c r="P922" i="1"/>
  <c r="N924" i="1"/>
  <c r="P924" i="1"/>
  <c r="N926" i="1"/>
  <c r="P926" i="1"/>
  <c r="N928" i="1"/>
  <c r="P928" i="1"/>
  <c r="N930" i="1"/>
  <c r="P930" i="1"/>
  <c r="I946" i="1"/>
  <c r="P946" i="1" s="1"/>
  <c r="L946" i="1"/>
  <c r="J946" i="1"/>
  <c r="K61" i="1"/>
  <c r="J120" i="1"/>
  <c r="N120" i="1"/>
  <c r="N238" i="1"/>
  <c r="J356" i="1"/>
  <c r="K415" i="1"/>
  <c r="J474" i="1"/>
  <c r="N474" i="1"/>
  <c r="K533" i="1"/>
  <c r="J61" i="1"/>
  <c r="N61" i="1"/>
  <c r="M120" i="1"/>
  <c r="J179" i="1"/>
  <c r="N179" i="1"/>
  <c r="P179" i="1"/>
  <c r="M238" i="1"/>
  <c r="J297" i="1"/>
  <c r="N297" i="1"/>
  <c r="P297" i="1"/>
  <c r="M356" i="1"/>
  <c r="J415" i="1"/>
  <c r="N415" i="1"/>
  <c r="M474" i="1"/>
  <c r="J533" i="1"/>
  <c r="N533" i="1"/>
  <c r="M592" i="1"/>
  <c r="J651" i="1"/>
  <c r="N651" i="1"/>
  <c r="P651" i="1"/>
  <c r="M710" i="1"/>
  <c r="J769" i="1"/>
  <c r="N769" i="1"/>
  <c r="P769" i="1"/>
  <c r="M828" i="1"/>
  <c r="J887" i="1"/>
  <c r="N887" i="1"/>
  <c r="P887" i="1"/>
  <c r="K890" i="1"/>
  <c r="M890" i="1"/>
  <c r="O890" i="1"/>
  <c r="J891" i="1"/>
  <c r="N891" i="1"/>
  <c r="P891" i="1"/>
  <c r="M892" i="1"/>
  <c r="J893" i="1"/>
  <c r="N893" i="1"/>
  <c r="P893" i="1"/>
  <c r="M894" i="1"/>
  <c r="J895" i="1"/>
  <c r="N895" i="1"/>
  <c r="P895" i="1"/>
  <c r="M896" i="1"/>
  <c r="J897" i="1"/>
  <c r="N897" i="1"/>
  <c r="P897" i="1"/>
  <c r="M898" i="1"/>
  <c r="J899" i="1"/>
  <c r="N899" i="1"/>
  <c r="P899" i="1"/>
  <c r="M900" i="1"/>
  <c r="J901" i="1"/>
  <c r="N901" i="1"/>
  <c r="P901" i="1"/>
  <c r="M902" i="1"/>
  <c r="J903" i="1"/>
  <c r="N903" i="1"/>
  <c r="P903" i="1"/>
  <c r="M904" i="1"/>
  <c r="J905" i="1"/>
  <c r="N905" i="1"/>
  <c r="P905" i="1"/>
  <c r="M906" i="1"/>
  <c r="J907" i="1"/>
  <c r="N907" i="1"/>
  <c r="P907" i="1"/>
  <c r="M908" i="1"/>
  <c r="J909" i="1"/>
  <c r="N909" i="1"/>
  <c r="P909" i="1"/>
  <c r="M910" i="1"/>
  <c r="J911" i="1"/>
  <c r="N911" i="1"/>
  <c r="P911" i="1"/>
  <c r="M912" i="1"/>
  <c r="J913" i="1"/>
  <c r="N913" i="1"/>
  <c r="P913" i="1"/>
  <c r="M914" i="1"/>
  <c r="J915" i="1"/>
  <c r="N915" i="1"/>
  <c r="P915" i="1"/>
  <c r="M916" i="1"/>
  <c r="J917" i="1"/>
  <c r="N917" i="1"/>
  <c r="P917" i="1"/>
  <c r="M918" i="1"/>
  <c r="J919" i="1"/>
  <c r="N919" i="1"/>
  <c r="P919" i="1"/>
  <c r="M920" i="1"/>
  <c r="J921" i="1"/>
  <c r="N921" i="1"/>
  <c r="P921" i="1"/>
  <c r="M922" i="1"/>
  <c r="J923" i="1"/>
  <c r="N923" i="1"/>
  <c r="P923" i="1"/>
  <c r="M924" i="1"/>
  <c r="J925" i="1"/>
  <c r="N925" i="1"/>
  <c r="P925" i="1"/>
  <c r="M926" i="1"/>
  <c r="J927" i="1"/>
  <c r="N927" i="1"/>
  <c r="P927" i="1"/>
  <c r="M928" i="1"/>
  <c r="J929" i="1"/>
  <c r="N929" i="1"/>
  <c r="P929" i="1"/>
  <c r="M930" i="1"/>
  <c r="J931" i="1"/>
  <c r="N931" i="1"/>
  <c r="P931" i="1"/>
  <c r="M932" i="1"/>
  <c r="J933" i="1"/>
  <c r="N933" i="1"/>
  <c r="P933" i="1"/>
  <c r="M934" i="1"/>
  <c r="J935" i="1"/>
  <c r="N935" i="1"/>
  <c r="P935" i="1"/>
  <c r="M936" i="1"/>
  <c r="J937" i="1"/>
  <c r="N937" i="1"/>
  <c r="P937" i="1"/>
  <c r="M938" i="1"/>
  <c r="J939" i="1"/>
  <c r="N939" i="1"/>
  <c r="P939" i="1"/>
  <c r="M940" i="1"/>
  <c r="J941" i="1"/>
  <c r="N941" i="1"/>
  <c r="P941" i="1"/>
  <c r="M942" i="1"/>
  <c r="J943" i="1"/>
  <c r="N943" i="1"/>
  <c r="P943" i="1"/>
  <c r="M944" i="1"/>
  <c r="J945" i="1"/>
  <c r="N945" i="1"/>
  <c r="P945" i="1"/>
  <c r="J238" i="1"/>
  <c r="L356" i="1"/>
  <c r="J592" i="1"/>
  <c r="L592" i="1"/>
  <c r="J710" i="1"/>
  <c r="L710" i="1"/>
  <c r="J828" i="1"/>
  <c r="L828" i="1"/>
  <c r="J890" i="1"/>
  <c r="L890" i="1"/>
  <c r="N890" i="1"/>
  <c r="J892" i="1"/>
  <c r="L892" i="1"/>
  <c r="J894" i="1"/>
  <c r="L894" i="1"/>
  <c r="J896" i="1"/>
  <c r="L896" i="1"/>
  <c r="J898" i="1"/>
  <c r="L898" i="1"/>
  <c r="J900" i="1"/>
  <c r="L900" i="1"/>
  <c r="J902" i="1"/>
  <c r="L902" i="1"/>
  <c r="J904" i="1"/>
  <c r="L904" i="1"/>
  <c r="J906" i="1"/>
  <c r="L906" i="1"/>
  <c r="J908" i="1"/>
  <c r="L908" i="1"/>
  <c r="J910" i="1"/>
  <c r="L910" i="1"/>
  <c r="J912" i="1"/>
  <c r="L912" i="1"/>
  <c r="J914" i="1"/>
  <c r="L914" i="1"/>
  <c r="J916" i="1"/>
  <c r="L916" i="1"/>
  <c r="J918" i="1"/>
  <c r="L918" i="1"/>
  <c r="J920" i="1"/>
  <c r="L920" i="1"/>
  <c r="J922" i="1"/>
  <c r="L922" i="1"/>
  <c r="J924" i="1"/>
  <c r="L924" i="1"/>
  <c r="J926" i="1"/>
  <c r="L926" i="1"/>
  <c r="J928" i="1"/>
  <c r="L928" i="1"/>
  <c r="J930" i="1"/>
  <c r="L930" i="1"/>
  <c r="J932" i="1"/>
  <c r="L932" i="1"/>
  <c r="J934" i="1"/>
  <c r="L934" i="1"/>
  <c r="J936" i="1"/>
  <c r="L936" i="1"/>
  <c r="J938" i="1"/>
  <c r="L938" i="1"/>
  <c r="J940" i="1"/>
  <c r="L940" i="1"/>
  <c r="J942" i="1"/>
  <c r="L942" i="1"/>
  <c r="J944" i="1"/>
  <c r="L944" i="1"/>
  <c r="M946" i="1" l="1"/>
  <c r="N946" i="1"/>
  <c r="K946" i="1"/>
</calcChain>
</file>

<file path=xl/sharedStrings.xml><?xml version="1.0" encoding="utf-8"?>
<sst xmlns="http://schemas.openxmlformats.org/spreadsheetml/2006/main" count="968" uniqueCount="69">
  <si>
    <t xml:space="preserve"> STOCK &amp; SALES STATEMENT </t>
  </si>
  <si>
    <t xml:space="preserve">HQ- </t>
  </si>
  <si>
    <t>MONTH</t>
  </si>
  <si>
    <t>STOCKIST NAME</t>
  </si>
  <si>
    <t>Validation Errors</t>
  </si>
  <si>
    <t>Sno</t>
  </si>
  <si>
    <t>Product Name</t>
  </si>
  <si>
    <t>PRICE</t>
  </si>
  <si>
    <t>Opening Stock</t>
  </si>
  <si>
    <t>Purchase Stock Qty</t>
  </si>
  <si>
    <t>Sales Qty</t>
  </si>
  <si>
    <t>Purchase Return</t>
  </si>
  <si>
    <t>Sales Return</t>
  </si>
  <si>
    <t>Closing Stock</t>
  </si>
  <si>
    <t>System Calculated</t>
  </si>
  <si>
    <t>Error 1</t>
  </si>
  <si>
    <t>Error 2</t>
  </si>
  <si>
    <t>Error 3</t>
  </si>
  <si>
    <t>Error 4</t>
  </si>
  <si>
    <t>Error 5</t>
  </si>
  <si>
    <t>Error 6</t>
  </si>
  <si>
    <t xml:space="preserve">ACOTOP ER </t>
  </si>
  <si>
    <t>AD 10 SACHETS</t>
  </si>
  <si>
    <t xml:space="preserve">AD 100 MG </t>
  </si>
  <si>
    <t xml:space="preserve">BILASET 20MG </t>
  </si>
  <si>
    <t>BILASET M</t>
  </si>
  <si>
    <t xml:space="preserve">BILASET SYRUP </t>
  </si>
  <si>
    <t>GENXVAST 10</t>
  </si>
  <si>
    <t>GENXVAST 20</t>
  </si>
  <si>
    <t xml:space="preserve">GENXVAST F </t>
  </si>
  <si>
    <t xml:space="preserve">GOCAN </t>
  </si>
  <si>
    <t>HEADRIX</t>
  </si>
  <si>
    <t xml:space="preserve">ITBOR 100MG </t>
  </si>
  <si>
    <t>ITBOR 200 MG</t>
  </si>
  <si>
    <t>LAZ 250 TAB</t>
  </si>
  <si>
    <t>LAZ 500 IP 6’s</t>
  </si>
  <si>
    <t xml:space="preserve">LAZINE M </t>
  </si>
  <si>
    <t xml:space="preserve">LAZINE </t>
  </si>
  <si>
    <t>LULIBOR CREAM(15GM)</t>
  </si>
  <si>
    <t>LULIBOR CREAM(30GM)</t>
  </si>
  <si>
    <t xml:space="preserve">LULIBOR LOTION ADVANCED </t>
  </si>
  <si>
    <t>MOISTE CREAM(50 GM)</t>
  </si>
  <si>
    <t>OPOX 100 DT</t>
  </si>
  <si>
    <t>OPOX 100 MG D.S</t>
  </si>
  <si>
    <t xml:space="preserve">OPOX 200 </t>
  </si>
  <si>
    <t>OPOX 50 D.S</t>
  </si>
  <si>
    <t xml:space="preserve">OPOX 50 DT </t>
  </si>
  <si>
    <t>OPOX CV 100 D.S</t>
  </si>
  <si>
    <t xml:space="preserve">OPOX CV 100 DT </t>
  </si>
  <si>
    <t xml:space="preserve">OPOX CV 200 </t>
  </si>
  <si>
    <t>OPOX CV 50 D.S</t>
  </si>
  <si>
    <t xml:space="preserve">OPOX DROPS </t>
  </si>
  <si>
    <t>PANTIN 40 MG</t>
  </si>
  <si>
    <t>PANTIN 80</t>
  </si>
  <si>
    <t xml:space="preserve">PANTIN D </t>
  </si>
  <si>
    <t xml:space="preserve">PANTIN IV </t>
  </si>
  <si>
    <t xml:space="preserve">PANTIN L </t>
  </si>
  <si>
    <t xml:space="preserve">PANTIN RD </t>
  </si>
  <si>
    <t xml:space="preserve">VERTIGEN </t>
  </si>
  <si>
    <t>BIXIVA</t>
  </si>
  <si>
    <t>LASMIG 100MG 4'S GENX</t>
  </si>
  <si>
    <t>LASMIG 50MG 4'S GENX</t>
  </si>
  <si>
    <t>TOTAL VALUE</t>
  </si>
  <si>
    <t>COMPILLED</t>
  </si>
  <si>
    <t xml:space="preserve">GOPALGANJ </t>
  </si>
  <si>
    <t xml:space="preserve">SHREE PHARMA </t>
  </si>
  <si>
    <t xml:space="preserve">RAJ DRUG AGENCY </t>
  </si>
  <si>
    <t>MAY'26</t>
  </si>
  <si>
    <t>SUNNY 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</si>
</sst>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yy"/>
    <numFmt numFmtId="165" formatCode="d/m/yyyy"/>
  </numFmts>
  <fonts count="11">
    <font>
      <sz val="11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b/>
      <u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ADADA"/>
        <bgColor rgb="FFDADADA"/>
      </patternFill>
    </fill>
    <fill>
      <patternFill patternType="solid">
        <fgColor rgb="FFFFFFFF"/>
        <bgColor rgb="FFFFFFFF"/>
      </patternFill>
    </fill>
    <fill>
      <patternFill patternType="solid">
        <fgColor rgb="FFADB9CA"/>
        <bgColor rgb="FFADB9CA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3" fillId="0" borderId="3" xfId="0" applyFont="1" applyBorder="1" applyAlignment="1"/>
    <xf numFmtId="49" fontId="2" fillId="0" borderId="4" xfId="0" applyNumberFormat="1" applyFont="1" applyBorder="1">
      <alignment vertical="center"/>
    </xf>
    <xf numFmtId="0" fontId="3" fillId="0" borderId="5" xfId="0" applyFont="1" applyBorder="1" applyAlignment="1"/>
    <xf numFmtId="0" fontId="2" fillId="0" borderId="4" xfId="0" applyFont="1" applyBorder="1">
      <alignment vertical="center"/>
    </xf>
    <xf numFmtId="0" fontId="3" fillId="0" borderId="6" xfId="0" applyFont="1" applyBorder="1" applyAlignment="1"/>
    <xf numFmtId="0" fontId="5" fillId="3" borderId="7" xfId="0" applyFont="1" applyFill="1" applyBorder="1">
      <alignment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/>
    </xf>
    <xf numFmtId="164" fontId="2" fillId="3" borderId="8" xfId="0" applyNumberFormat="1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2" fontId="9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2" fontId="8" fillId="0" borderId="1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5" fillId="5" borderId="7" xfId="0" applyFont="1" applyFill="1" applyBorder="1">
      <alignment vertical="center"/>
    </xf>
    <xf numFmtId="0" fontId="10" fillId="5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/>
    </xf>
    <xf numFmtId="0" fontId="3" fillId="5" borderId="11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 vertical="center"/>
    </xf>
    <xf numFmtId="164" fontId="2" fillId="5" borderId="8" xfId="0" applyNumberFormat="1" applyFont="1" applyFill="1" applyBorder="1" applyAlignment="1">
      <alignment horizontal="center" vertical="center"/>
    </xf>
    <xf numFmtId="165" fontId="2" fillId="5" borderId="7" xfId="0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165" fontId="2" fillId="3" borderId="7" xfId="0" applyNumberFormat="1" applyFont="1" applyFill="1" applyBorder="1" applyAlignment="1">
      <alignment horizontal="center" vertical="center"/>
    </xf>
    <xf numFmtId="0" fontId="6" fillId="0" borderId="9" xfId="0" applyFont="1" applyBorder="1" applyAlignment="1"/>
    <xf numFmtId="0" fontId="2" fillId="3" borderId="10" xfId="0" applyFont="1" applyFill="1" applyBorder="1" applyAlignment="1">
      <alignment horizontal="center" vertical="center" wrapText="1"/>
    </xf>
    <xf numFmtId="0" fontId="6" fillId="0" borderId="0" xfId="0" applyFont="1" applyBorder="1" applyAlignment="1"/>
    <xf numFmtId="0" fontId="6" fillId="0" borderId="11" xfId="0" applyFont="1" applyBorder="1" applyAlignment="1"/>
    <xf numFmtId="165" fontId="2" fillId="5" borderId="7" xfId="0" applyNumberFormat="1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vertical="center"/>
    </xf>
    <xf numFmtId="0" fontId="2" fillId="0" borderId="1" xfId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848"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0"/>
  <sheetViews>
    <sheetView tabSelected="1" topLeftCell="A923" workbookViewId="0">
      <selection activeCell="F933" sqref="F933"/>
    </sheetView>
  </sheetViews>
  <sheetFormatPr defaultColWidth="10.7109375" defaultRowHeight="22.5" customHeight="1"/>
  <cols>
    <col min="1" max="1" width="6.7109375" customWidth="1"/>
    <col min="2" max="2" width="20.5703125" customWidth="1"/>
  </cols>
  <sheetData>
    <row r="1" spans="1:16" s="53" customFormat="1" ht="22.5" customHeight="1">
      <c r="A1" s="53" t="s">
        <v>0</v>
      </c>
    </row>
    <row r="2" spans="1:16" ht="22.5" customHeight="1">
      <c r="A2" s="1"/>
      <c r="B2" s="1" t="s">
        <v>1</v>
      </c>
      <c r="C2" s="2" t="s">
        <v>64</v>
      </c>
      <c r="D2" s="3"/>
      <c r="E2" s="1" t="s">
        <v>2</v>
      </c>
      <c r="F2" s="4" t="s">
        <v>67</v>
      </c>
      <c r="G2" s="5"/>
      <c r="H2" s="6"/>
      <c r="I2" s="7"/>
      <c r="J2" s="7"/>
      <c r="K2" s="7"/>
      <c r="L2" s="7"/>
      <c r="M2" s="7"/>
      <c r="N2" s="7"/>
      <c r="O2" s="7"/>
      <c r="P2" s="5"/>
    </row>
    <row r="3" spans="1:16" ht="22.5" customHeight="1">
      <c r="A3" s="8"/>
      <c r="B3" s="9" t="s">
        <v>3</v>
      </c>
      <c r="C3" s="10" t="s">
        <v>65</v>
      </c>
      <c r="D3" s="11"/>
      <c r="E3" s="9"/>
      <c r="F3" s="12"/>
      <c r="G3" s="46"/>
      <c r="H3" s="47"/>
      <c r="I3" s="12"/>
      <c r="J3" s="13"/>
      <c r="K3" s="48" t="s">
        <v>4</v>
      </c>
      <c r="L3" s="49"/>
      <c r="M3" s="49"/>
      <c r="N3" s="49"/>
      <c r="O3" s="49"/>
      <c r="P3" s="50"/>
    </row>
    <row r="4" spans="1:16" ht="22.5" customHeight="1">
      <c r="A4" s="14" t="s">
        <v>5</v>
      </c>
      <c r="B4" s="15" t="s">
        <v>6</v>
      </c>
      <c r="C4" s="16" t="s">
        <v>7</v>
      </c>
      <c r="D4" s="17" t="s">
        <v>8</v>
      </c>
      <c r="E4" s="18" t="s">
        <v>9</v>
      </c>
      <c r="F4" s="18" t="s">
        <v>10</v>
      </c>
      <c r="G4" s="18" t="s">
        <v>11</v>
      </c>
      <c r="H4" s="18" t="s">
        <v>12</v>
      </c>
      <c r="I4" s="18" t="s">
        <v>13</v>
      </c>
      <c r="J4" s="18" t="s">
        <v>14</v>
      </c>
      <c r="K4" s="19" t="s">
        <v>15</v>
      </c>
      <c r="L4" s="19" t="s">
        <v>16</v>
      </c>
      <c r="M4" s="19" t="s">
        <v>17</v>
      </c>
      <c r="N4" s="19" t="s">
        <v>18</v>
      </c>
      <c r="O4" s="19" t="s">
        <v>19</v>
      </c>
      <c r="P4" s="19" t="s">
        <v>20</v>
      </c>
    </row>
    <row r="5" spans="1:16" ht="22.5" customHeight="1">
      <c r="A5" s="20">
        <v>1</v>
      </c>
      <c r="B5" s="21" t="s">
        <v>21</v>
      </c>
      <c r="C5" s="22">
        <v>192.17</v>
      </c>
      <c r="D5" s="23">
        <v>60</v>
      </c>
      <c r="E5" s="24"/>
      <c r="F5" s="1"/>
      <c r="G5" s="1"/>
      <c r="H5" s="1"/>
      <c r="I5" s="1">
        <v>60</v>
      </c>
      <c r="J5" s="1">
        <f t="shared" ref="J5:J61" si="0">D5+E5-F5-G5+H5</f>
        <v>60</v>
      </c>
      <c r="K5" s="19" t="str">
        <f t="shared" ref="K5:K61" si="1">IF(I5&lt;&gt;(D5+E5-F5-G5+H5),"Closing stock Not Correct-Problem"," No Issue")</f>
        <v xml:space="preserve"> No Issue</v>
      </c>
      <c r="L5" s="1" t="str">
        <f t="shared" ref="L5:L61" si="2">IF((D5+E5)&lt;F5,"High Sale and Less Stock-Problem","No Issue")</f>
        <v>No Issue</v>
      </c>
      <c r="M5" s="1" t="str">
        <f t="shared" ref="M5:M61" si="3">IF(AND((D5+E5+I5)=0,F5&gt;0),"No Stock Sale Present Problem","No Issue")</f>
        <v>No Issue</v>
      </c>
      <c r="N5" s="1" t="str">
        <f t="shared" ref="N5:N61" si="4">IF(AND(SUM(D5:H5)=0,I5&gt;0),"Only Closing Entered Other Parameters No Entired Problem","No Issue")</f>
        <v>No Issue</v>
      </c>
      <c r="O5" s="1" t="str">
        <f t="shared" ref="O5:O61" si="5">IF(F5&gt;5000,"Check Once Sales quantity or Value Problem","No Issue")</f>
        <v>No Issue</v>
      </c>
      <c r="P5" s="1" t="str">
        <f t="shared" ref="P5:P61" si="6">IF(I5&gt;5000,"Check Once Closing quantity or Value Problem","NoIssue")</f>
        <v>NoIssue</v>
      </c>
    </row>
    <row r="6" spans="1:16" ht="22.5" customHeight="1">
      <c r="A6" s="20">
        <v>2</v>
      </c>
      <c r="B6" s="21" t="s">
        <v>22</v>
      </c>
      <c r="C6" s="22">
        <v>9.26</v>
      </c>
      <c r="D6" s="1"/>
      <c r="E6" s="24"/>
      <c r="F6" s="1"/>
      <c r="G6" s="1"/>
      <c r="H6" s="1"/>
      <c r="I6" s="1">
        <v>0</v>
      </c>
      <c r="J6" s="1">
        <f t="shared" si="0"/>
        <v>0</v>
      </c>
      <c r="K6" s="19" t="str">
        <f t="shared" si="1"/>
        <v xml:space="preserve"> No Issue</v>
      </c>
      <c r="L6" s="1" t="str">
        <f t="shared" si="2"/>
        <v>No Issue</v>
      </c>
      <c r="M6" s="1" t="str">
        <f t="shared" si="3"/>
        <v>No Issue</v>
      </c>
      <c r="N6" s="1" t="str">
        <f t="shared" si="4"/>
        <v>No Issue</v>
      </c>
      <c r="O6" s="1" t="str">
        <f t="shared" si="5"/>
        <v>No Issue</v>
      </c>
      <c r="P6" s="1" t="str">
        <f t="shared" si="6"/>
        <v>NoIssue</v>
      </c>
    </row>
    <row r="7" spans="1:16" ht="22.5" customHeight="1">
      <c r="A7" s="20">
        <v>3</v>
      </c>
      <c r="B7" s="21" t="s">
        <v>23</v>
      </c>
      <c r="C7" s="22">
        <v>87.79</v>
      </c>
      <c r="D7" s="1"/>
      <c r="E7" s="24"/>
      <c r="F7" s="1"/>
      <c r="G7" s="1"/>
      <c r="H7" s="1"/>
      <c r="I7" s="1">
        <v>0</v>
      </c>
      <c r="J7" s="1">
        <f t="shared" si="0"/>
        <v>0</v>
      </c>
      <c r="K7" s="19" t="str">
        <f t="shared" si="1"/>
        <v xml:space="preserve"> No Issue</v>
      </c>
      <c r="L7" s="1" t="str">
        <f t="shared" si="2"/>
        <v>No Issue</v>
      </c>
      <c r="M7" s="1" t="str">
        <f t="shared" si="3"/>
        <v>No Issue</v>
      </c>
      <c r="N7" s="1" t="str">
        <f t="shared" si="4"/>
        <v>No Issue</v>
      </c>
      <c r="O7" s="1" t="str">
        <f t="shared" si="5"/>
        <v>No Issue</v>
      </c>
      <c r="P7" s="1" t="str">
        <f t="shared" si="6"/>
        <v>NoIssue</v>
      </c>
    </row>
    <row r="8" spans="1:16" ht="22.5" customHeight="1">
      <c r="A8" s="20">
        <v>4</v>
      </c>
      <c r="B8" s="21" t="s">
        <v>24</v>
      </c>
      <c r="C8" s="22">
        <v>55.55</v>
      </c>
      <c r="D8" s="1"/>
      <c r="E8" s="24"/>
      <c r="F8" s="1"/>
      <c r="G8" s="1"/>
      <c r="H8" s="1"/>
      <c r="I8" s="1">
        <v>0</v>
      </c>
      <c r="J8" s="1">
        <f t="shared" si="0"/>
        <v>0</v>
      </c>
      <c r="K8" s="19" t="str">
        <f t="shared" si="1"/>
        <v xml:space="preserve"> No Issue</v>
      </c>
      <c r="L8" s="1" t="str">
        <f t="shared" si="2"/>
        <v>No Issue</v>
      </c>
      <c r="M8" s="1" t="str">
        <f t="shared" si="3"/>
        <v>No Issue</v>
      </c>
      <c r="N8" s="1" t="str">
        <f t="shared" si="4"/>
        <v>No Issue</v>
      </c>
      <c r="O8" s="1" t="str">
        <f t="shared" si="5"/>
        <v>No Issue</v>
      </c>
      <c r="P8" s="1" t="str">
        <f t="shared" si="6"/>
        <v>NoIssue</v>
      </c>
    </row>
    <row r="9" spans="1:16" ht="22.5" customHeight="1">
      <c r="A9" s="20">
        <v>5</v>
      </c>
      <c r="B9" s="21" t="s">
        <v>25</v>
      </c>
      <c r="C9" s="22">
        <v>70.010000000000005</v>
      </c>
      <c r="D9" s="23">
        <v>177</v>
      </c>
      <c r="E9" s="24"/>
      <c r="F9" s="23">
        <v>26</v>
      </c>
      <c r="G9" s="1"/>
      <c r="H9" s="1"/>
      <c r="I9" s="1">
        <v>151</v>
      </c>
      <c r="J9" s="1">
        <f t="shared" si="0"/>
        <v>151</v>
      </c>
      <c r="K9" s="19" t="str">
        <f t="shared" si="1"/>
        <v xml:space="preserve"> No Issue</v>
      </c>
      <c r="L9" s="1" t="str">
        <f t="shared" si="2"/>
        <v>No Issue</v>
      </c>
      <c r="M9" s="1" t="str">
        <f t="shared" si="3"/>
        <v>No Issue</v>
      </c>
      <c r="N9" s="1" t="str">
        <f t="shared" si="4"/>
        <v>No Issue</v>
      </c>
      <c r="O9" s="1" t="str">
        <f t="shared" si="5"/>
        <v>No Issue</v>
      </c>
      <c r="P9" s="1" t="str">
        <f t="shared" si="6"/>
        <v>NoIssue</v>
      </c>
    </row>
    <row r="10" spans="1:16" ht="22.5" customHeight="1">
      <c r="A10" s="20">
        <v>6</v>
      </c>
      <c r="B10" s="25" t="s">
        <v>26</v>
      </c>
      <c r="C10" s="22">
        <v>73.929999999999993</v>
      </c>
      <c r="D10" s="23">
        <v>5</v>
      </c>
      <c r="E10" s="24"/>
      <c r="F10" s="23">
        <v>5</v>
      </c>
      <c r="G10" s="1"/>
      <c r="H10" s="1"/>
      <c r="I10" s="1">
        <v>0</v>
      </c>
      <c r="J10" s="1">
        <f t="shared" si="0"/>
        <v>0</v>
      </c>
      <c r="K10" s="19" t="str">
        <f t="shared" si="1"/>
        <v xml:space="preserve"> No Issue</v>
      </c>
      <c r="L10" s="1" t="str">
        <f t="shared" si="2"/>
        <v>No Issue</v>
      </c>
      <c r="M10" s="1" t="str">
        <f t="shared" si="3"/>
        <v>No Issue</v>
      </c>
      <c r="N10" s="1" t="str">
        <f t="shared" si="4"/>
        <v>No Issue</v>
      </c>
      <c r="O10" s="1" t="str">
        <f t="shared" si="5"/>
        <v>No Issue</v>
      </c>
      <c r="P10" s="1" t="str">
        <f t="shared" si="6"/>
        <v>NoIssue</v>
      </c>
    </row>
    <row r="11" spans="1:16" ht="22.5" customHeight="1">
      <c r="A11" s="20">
        <v>7</v>
      </c>
      <c r="B11" s="21" t="s">
        <v>27</v>
      </c>
      <c r="C11" s="26">
        <v>13.91</v>
      </c>
      <c r="D11" s="1"/>
      <c r="E11" s="24"/>
      <c r="F11" s="1"/>
      <c r="G11" s="1"/>
      <c r="H11" s="1"/>
      <c r="I11" s="1">
        <v>0</v>
      </c>
      <c r="J11" s="1">
        <f t="shared" si="0"/>
        <v>0</v>
      </c>
      <c r="K11" s="19" t="str">
        <f t="shared" si="1"/>
        <v xml:space="preserve"> No Issue</v>
      </c>
      <c r="L11" s="1" t="str">
        <f t="shared" si="2"/>
        <v>No Issue</v>
      </c>
      <c r="M11" s="1" t="str">
        <f t="shared" si="3"/>
        <v>No Issue</v>
      </c>
      <c r="N11" s="1" t="str">
        <f t="shared" si="4"/>
        <v>No Issue</v>
      </c>
      <c r="O11" s="1" t="str">
        <f t="shared" si="5"/>
        <v>No Issue</v>
      </c>
      <c r="P11" s="1" t="str">
        <f t="shared" si="6"/>
        <v>NoIssue</v>
      </c>
    </row>
    <row r="12" spans="1:16" ht="22.5" customHeight="1">
      <c r="A12" s="20">
        <v>8</v>
      </c>
      <c r="B12" s="21" t="s">
        <v>28</v>
      </c>
      <c r="C12" s="26">
        <v>19.5</v>
      </c>
      <c r="D12" s="1"/>
      <c r="E12" s="24"/>
      <c r="F12" s="1"/>
      <c r="G12" s="1"/>
      <c r="H12" s="1"/>
      <c r="I12" s="1">
        <v>0</v>
      </c>
      <c r="J12" s="1">
        <f t="shared" si="0"/>
        <v>0</v>
      </c>
      <c r="K12" s="19" t="str">
        <f t="shared" si="1"/>
        <v xml:space="preserve"> No Issue</v>
      </c>
      <c r="L12" s="1" t="str">
        <f t="shared" si="2"/>
        <v>No Issue</v>
      </c>
      <c r="M12" s="1" t="str">
        <f t="shared" si="3"/>
        <v>No Issue</v>
      </c>
      <c r="N12" s="1" t="str">
        <f t="shared" si="4"/>
        <v>No Issue</v>
      </c>
      <c r="O12" s="1" t="str">
        <f t="shared" si="5"/>
        <v>No Issue</v>
      </c>
      <c r="P12" s="1" t="str">
        <f t="shared" si="6"/>
        <v>NoIssue</v>
      </c>
    </row>
    <row r="13" spans="1:16" ht="22.5" customHeight="1">
      <c r="A13" s="20">
        <v>9</v>
      </c>
      <c r="B13" s="21" t="s">
        <v>29</v>
      </c>
      <c r="C13" s="26">
        <v>28.83</v>
      </c>
      <c r="D13" s="1"/>
      <c r="E13" s="24"/>
      <c r="F13" s="1"/>
      <c r="G13" s="1"/>
      <c r="H13" s="1"/>
      <c r="I13" s="1">
        <v>0</v>
      </c>
      <c r="J13" s="1">
        <f t="shared" si="0"/>
        <v>0</v>
      </c>
      <c r="K13" s="19" t="str">
        <f t="shared" si="1"/>
        <v xml:space="preserve"> No Issue</v>
      </c>
      <c r="L13" s="1" t="str">
        <f t="shared" si="2"/>
        <v>No Issue</v>
      </c>
      <c r="M13" s="1" t="str">
        <f t="shared" si="3"/>
        <v>No Issue</v>
      </c>
      <c r="N13" s="1" t="str">
        <f t="shared" si="4"/>
        <v>No Issue</v>
      </c>
      <c r="O13" s="1" t="str">
        <f t="shared" si="5"/>
        <v>No Issue</v>
      </c>
      <c r="P13" s="1" t="str">
        <f t="shared" si="6"/>
        <v>NoIssue</v>
      </c>
    </row>
    <row r="14" spans="1:16" ht="22.5" customHeight="1">
      <c r="A14" s="20">
        <v>10</v>
      </c>
      <c r="B14" s="21" t="s">
        <v>30</v>
      </c>
      <c r="C14" s="26">
        <v>8.51</v>
      </c>
      <c r="D14" s="23">
        <v>450</v>
      </c>
      <c r="E14" s="24"/>
      <c r="F14" s="23">
        <v>180</v>
      </c>
      <c r="G14" s="1"/>
      <c r="H14" s="1"/>
      <c r="I14" s="1">
        <v>270</v>
      </c>
      <c r="J14" s="1">
        <f t="shared" si="0"/>
        <v>270</v>
      </c>
      <c r="K14" s="19" t="str">
        <f t="shared" si="1"/>
        <v xml:space="preserve"> No Issue</v>
      </c>
      <c r="L14" s="1" t="str">
        <f t="shared" si="2"/>
        <v>No Issue</v>
      </c>
      <c r="M14" s="1" t="str">
        <f t="shared" si="3"/>
        <v>No Issue</v>
      </c>
      <c r="N14" s="1" t="str">
        <f t="shared" si="4"/>
        <v>No Issue</v>
      </c>
      <c r="O14" s="1" t="str">
        <f t="shared" si="5"/>
        <v>No Issue</v>
      </c>
      <c r="P14" s="1" t="str">
        <f t="shared" si="6"/>
        <v>NoIssue</v>
      </c>
    </row>
    <row r="15" spans="1:16" ht="22.5" customHeight="1">
      <c r="A15" s="20">
        <v>11</v>
      </c>
      <c r="B15" s="21" t="s">
        <v>31</v>
      </c>
      <c r="C15" s="26">
        <v>102.17</v>
      </c>
      <c r="D15" s="23">
        <v>20</v>
      </c>
      <c r="E15" s="24"/>
      <c r="F15" s="1"/>
      <c r="G15" s="1"/>
      <c r="H15" s="1"/>
      <c r="I15" s="1">
        <v>20</v>
      </c>
      <c r="J15" s="1">
        <f t="shared" si="0"/>
        <v>20</v>
      </c>
      <c r="K15" s="19" t="str">
        <f t="shared" si="1"/>
        <v xml:space="preserve"> No Issue</v>
      </c>
      <c r="L15" s="1" t="str">
        <f t="shared" si="2"/>
        <v>No Issue</v>
      </c>
      <c r="M15" s="1" t="str">
        <f t="shared" si="3"/>
        <v>No Issue</v>
      </c>
      <c r="N15" s="1" t="str">
        <f t="shared" si="4"/>
        <v>No Issue</v>
      </c>
      <c r="O15" s="1" t="str">
        <f t="shared" si="5"/>
        <v>No Issue</v>
      </c>
      <c r="P15" s="1" t="str">
        <f t="shared" si="6"/>
        <v>NoIssue</v>
      </c>
    </row>
    <row r="16" spans="1:16" ht="22.5" customHeight="1">
      <c r="A16" s="20">
        <v>12</v>
      </c>
      <c r="B16" s="21" t="s">
        <v>32</v>
      </c>
      <c r="C16" s="26">
        <v>59.93</v>
      </c>
      <c r="D16" s="23">
        <v>36</v>
      </c>
      <c r="E16" s="24"/>
      <c r="F16" s="23">
        <v>20</v>
      </c>
      <c r="G16" s="1"/>
      <c r="H16" s="1"/>
      <c r="I16" s="1">
        <v>16</v>
      </c>
      <c r="J16" s="1">
        <f t="shared" si="0"/>
        <v>16</v>
      </c>
      <c r="K16" s="19" t="str">
        <f t="shared" si="1"/>
        <v xml:space="preserve"> No Issue</v>
      </c>
      <c r="L16" s="1" t="str">
        <f t="shared" si="2"/>
        <v>No Issue</v>
      </c>
      <c r="M16" s="1" t="str">
        <f t="shared" si="3"/>
        <v>No Issue</v>
      </c>
      <c r="N16" s="1" t="str">
        <f t="shared" si="4"/>
        <v>No Issue</v>
      </c>
      <c r="O16" s="1" t="str">
        <f t="shared" si="5"/>
        <v>No Issue</v>
      </c>
      <c r="P16" s="1" t="str">
        <f t="shared" si="6"/>
        <v>NoIssue</v>
      </c>
    </row>
    <row r="17" spans="1:16" ht="22.5" customHeight="1">
      <c r="A17" s="20">
        <v>13</v>
      </c>
      <c r="B17" s="21" t="s">
        <v>33</v>
      </c>
      <c r="C17" s="26">
        <v>118</v>
      </c>
      <c r="D17" s="23">
        <v>70</v>
      </c>
      <c r="E17" s="24"/>
      <c r="F17" s="23">
        <v>10</v>
      </c>
      <c r="G17" s="1"/>
      <c r="H17" s="1"/>
      <c r="I17" s="1">
        <v>60</v>
      </c>
      <c r="J17" s="1">
        <f t="shared" si="0"/>
        <v>60</v>
      </c>
      <c r="K17" s="19" t="str">
        <f t="shared" si="1"/>
        <v xml:space="preserve"> No Issue</v>
      </c>
      <c r="L17" s="1" t="str">
        <f t="shared" si="2"/>
        <v>No Issue</v>
      </c>
      <c r="M17" s="1" t="str">
        <f t="shared" si="3"/>
        <v>No Issue</v>
      </c>
      <c r="N17" s="1" t="str">
        <f t="shared" si="4"/>
        <v>No Issue</v>
      </c>
      <c r="O17" s="1" t="str">
        <f t="shared" si="5"/>
        <v>No Issue</v>
      </c>
      <c r="P17" s="1" t="str">
        <f t="shared" si="6"/>
        <v>NoIssue</v>
      </c>
    </row>
    <row r="18" spans="1:16" ht="22.5" customHeight="1">
      <c r="A18" s="20">
        <v>14</v>
      </c>
      <c r="B18" s="21" t="s">
        <v>34</v>
      </c>
      <c r="C18" s="26">
        <v>52.83</v>
      </c>
      <c r="D18" s="23">
        <v>60</v>
      </c>
      <c r="E18" s="24"/>
      <c r="F18" s="1"/>
      <c r="G18" s="1"/>
      <c r="H18" s="1"/>
      <c r="I18" s="1">
        <v>60</v>
      </c>
      <c r="J18" s="1">
        <f t="shared" si="0"/>
        <v>60</v>
      </c>
      <c r="K18" s="19" t="str">
        <f t="shared" si="1"/>
        <v xml:space="preserve"> No Issue</v>
      </c>
      <c r="L18" s="1" t="str">
        <f t="shared" si="2"/>
        <v>No Issue</v>
      </c>
      <c r="M18" s="1" t="str">
        <f t="shared" si="3"/>
        <v>No Issue</v>
      </c>
      <c r="N18" s="1" t="str">
        <f t="shared" si="4"/>
        <v>No Issue</v>
      </c>
      <c r="O18" s="1" t="str">
        <f t="shared" si="5"/>
        <v>No Issue</v>
      </c>
      <c r="P18" s="1" t="str">
        <f t="shared" si="6"/>
        <v>NoIssue</v>
      </c>
    </row>
    <row r="19" spans="1:16" ht="22.5" customHeight="1">
      <c r="A19" s="20">
        <v>15</v>
      </c>
      <c r="B19" s="21" t="s">
        <v>35</v>
      </c>
      <c r="C19" s="26">
        <v>93.2</v>
      </c>
      <c r="D19" s="23">
        <v>60</v>
      </c>
      <c r="E19" s="24"/>
      <c r="F19" s="1"/>
      <c r="G19" s="1"/>
      <c r="H19" s="1"/>
      <c r="I19" s="1">
        <v>60</v>
      </c>
      <c r="J19" s="1">
        <f t="shared" si="0"/>
        <v>60</v>
      </c>
      <c r="K19" s="19" t="str">
        <f t="shared" si="1"/>
        <v xml:space="preserve"> No Issue</v>
      </c>
      <c r="L19" s="1" t="str">
        <f t="shared" si="2"/>
        <v>No Issue</v>
      </c>
      <c r="M19" s="1" t="str">
        <f t="shared" si="3"/>
        <v>No Issue</v>
      </c>
      <c r="N19" s="1" t="str">
        <f t="shared" si="4"/>
        <v>No Issue</v>
      </c>
      <c r="O19" s="1" t="str">
        <f t="shared" si="5"/>
        <v>No Issue</v>
      </c>
      <c r="P19" s="1" t="str">
        <f t="shared" si="6"/>
        <v>NoIssue</v>
      </c>
    </row>
    <row r="20" spans="1:16" ht="22.5" customHeight="1">
      <c r="A20" s="20">
        <v>16</v>
      </c>
      <c r="B20" s="21" t="s">
        <v>36</v>
      </c>
      <c r="C20" s="26">
        <v>61.02</v>
      </c>
      <c r="D20" s="23">
        <v>65</v>
      </c>
      <c r="E20" s="24"/>
      <c r="F20" s="1"/>
      <c r="G20" s="1"/>
      <c r="H20" s="1"/>
      <c r="I20" s="1">
        <v>65</v>
      </c>
      <c r="J20" s="1">
        <f t="shared" si="0"/>
        <v>65</v>
      </c>
      <c r="K20" s="19" t="str">
        <f t="shared" si="1"/>
        <v xml:space="preserve"> No Issue</v>
      </c>
      <c r="L20" s="1" t="str">
        <f t="shared" si="2"/>
        <v>No Issue</v>
      </c>
      <c r="M20" s="1" t="str">
        <f t="shared" si="3"/>
        <v>No Issue</v>
      </c>
      <c r="N20" s="1" t="str">
        <f t="shared" si="4"/>
        <v>No Issue</v>
      </c>
      <c r="O20" s="1" t="str">
        <f t="shared" si="5"/>
        <v>No Issue</v>
      </c>
      <c r="P20" s="1" t="str">
        <f t="shared" si="6"/>
        <v>NoIssue</v>
      </c>
    </row>
    <row r="21" spans="1:16" ht="22.5" customHeight="1">
      <c r="A21" s="20">
        <v>17</v>
      </c>
      <c r="B21" s="21" t="s">
        <v>37</v>
      </c>
      <c r="C21" s="26">
        <v>36.619999999999997</v>
      </c>
      <c r="D21" s="1"/>
      <c r="E21" s="24"/>
      <c r="F21" s="1"/>
      <c r="G21" s="1"/>
      <c r="H21" s="1"/>
      <c r="I21" s="1">
        <v>0</v>
      </c>
      <c r="J21" s="1">
        <f t="shared" si="0"/>
        <v>0</v>
      </c>
      <c r="K21" s="19" t="str">
        <f t="shared" si="1"/>
        <v xml:space="preserve"> No Issue</v>
      </c>
      <c r="L21" s="1" t="str">
        <f t="shared" si="2"/>
        <v>No Issue</v>
      </c>
      <c r="M21" s="1" t="str">
        <f t="shared" si="3"/>
        <v>No Issue</v>
      </c>
      <c r="N21" s="1" t="str">
        <f t="shared" si="4"/>
        <v>No Issue</v>
      </c>
      <c r="O21" s="1" t="str">
        <f t="shared" si="5"/>
        <v>No Issue</v>
      </c>
      <c r="P21" s="1" t="str">
        <f t="shared" si="6"/>
        <v>NoIssue</v>
      </c>
    </row>
    <row r="22" spans="1:16" ht="22.5" customHeight="1">
      <c r="A22" s="20">
        <v>18</v>
      </c>
      <c r="B22" s="21" t="s">
        <v>38</v>
      </c>
      <c r="C22" s="26">
        <v>80.36</v>
      </c>
      <c r="D22" s="23">
        <v>56</v>
      </c>
      <c r="E22" s="24"/>
      <c r="F22" s="23">
        <v>14</v>
      </c>
      <c r="G22" s="1"/>
      <c r="H22" s="1"/>
      <c r="I22" s="1">
        <v>42</v>
      </c>
      <c r="J22" s="1">
        <f t="shared" si="0"/>
        <v>42</v>
      </c>
      <c r="K22" s="19" t="str">
        <f t="shared" si="1"/>
        <v xml:space="preserve"> No Issue</v>
      </c>
      <c r="L22" s="1" t="str">
        <f t="shared" si="2"/>
        <v>No Issue</v>
      </c>
      <c r="M22" s="1" t="str">
        <f t="shared" si="3"/>
        <v>No Issue</v>
      </c>
      <c r="N22" s="1" t="str">
        <f t="shared" si="4"/>
        <v>No Issue</v>
      </c>
      <c r="O22" s="1" t="str">
        <f t="shared" si="5"/>
        <v>No Issue</v>
      </c>
      <c r="P22" s="1" t="str">
        <f t="shared" si="6"/>
        <v>NoIssue</v>
      </c>
    </row>
    <row r="23" spans="1:16" ht="22.5" customHeight="1">
      <c r="A23" s="20">
        <v>19</v>
      </c>
      <c r="B23" s="21" t="s">
        <v>39</v>
      </c>
      <c r="C23" s="26">
        <v>160.56</v>
      </c>
      <c r="D23" s="23"/>
      <c r="E23" s="24"/>
      <c r="F23" s="1"/>
      <c r="G23" s="1"/>
      <c r="H23" s="1"/>
      <c r="I23" s="1">
        <v>0</v>
      </c>
      <c r="J23" s="1">
        <f t="shared" si="0"/>
        <v>0</v>
      </c>
      <c r="K23" s="19" t="str">
        <f t="shared" si="1"/>
        <v xml:space="preserve"> No Issue</v>
      </c>
      <c r="L23" s="1" t="str">
        <f t="shared" si="2"/>
        <v>No Issue</v>
      </c>
      <c r="M23" s="1" t="str">
        <f t="shared" si="3"/>
        <v>No Issue</v>
      </c>
      <c r="N23" s="1" t="str">
        <f t="shared" si="4"/>
        <v>No Issue</v>
      </c>
      <c r="O23" s="1" t="str">
        <f t="shared" si="5"/>
        <v>No Issue</v>
      </c>
      <c r="P23" s="1" t="str">
        <f t="shared" si="6"/>
        <v>NoIssue</v>
      </c>
    </row>
    <row r="24" spans="1:16" ht="22.5" customHeight="1">
      <c r="A24" s="20">
        <v>20</v>
      </c>
      <c r="B24" s="21" t="s">
        <v>40</v>
      </c>
      <c r="C24" s="26">
        <v>186.44</v>
      </c>
      <c r="D24" s="23">
        <v>40</v>
      </c>
      <c r="E24" s="24"/>
      <c r="F24" s="23">
        <v>8</v>
      </c>
      <c r="G24" s="1"/>
      <c r="H24" s="1"/>
      <c r="I24" s="1">
        <v>32</v>
      </c>
      <c r="J24" s="1">
        <f t="shared" si="0"/>
        <v>32</v>
      </c>
      <c r="K24" s="19" t="str">
        <f t="shared" si="1"/>
        <v xml:space="preserve"> No Issue</v>
      </c>
      <c r="L24" s="1" t="str">
        <f t="shared" si="2"/>
        <v>No Issue</v>
      </c>
      <c r="M24" s="1" t="str">
        <f t="shared" si="3"/>
        <v>No Issue</v>
      </c>
      <c r="N24" s="1" t="str">
        <f t="shared" si="4"/>
        <v>No Issue</v>
      </c>
      <c r="O24" s="1" t="str">
        <f t="shared" si="5"/>
        <v>No Issue</v>
      </c>
      <c r="P24" s="1" t="str">
        <f t="shared" si="6"/>
        <v>NoIssue</v>
      </c>
    </row>
    <row r="25" spans="1:16" ht="22.5" customHeight="1">
      <c r="A25" s="20">
        <v>21</v>
      </c>
      <c r="B25" s="21" t="s">
        <v>41</v>
      </c>
      <c r="C25" s="26">
        <v>92.59</v>
      </c>
      <c r="D25" s="1"/>
      <c r="E25" s="24"/>
      <c r="F25" s="1"/>
      <c r="G25" s="1"/>
      <c r="H25" s="1"/>
      <c r="I25" s="1">
        <v>0</v>
      </c>
      <c r="J25" s="1">
        <f t="shared" si="0"/>
        <v>0</v>
      </c>
      <c r="K25" s="19" t="str">
        <f t="shared" si="1"/>
        <v xml:space="preserve"> No Issue</v>
      </c>
      <c r="L25" s="1" t="str">
        <f t="shared" si="2"/>
        <v>No Issue</v>
      </c>
      <c r="M25" s="1" t="str">
        <f t="shared" si="3"/>
        <v>No Issue</v>
      </c>
      <c r="N25" s="1" t="str">
        <f t="shared" si="4"/>
        <v>No Issue</v>
      </c>
      <c r="O25" s="1" t="str">
        <f t="shared" si="5"/>
        <v>No Issue</v>
      </c>
      <c r="P25" s="1" t="str">
        <f t="shared" si="6"/>
        <v>NoIssue</v>
      </c>
    </row>
    <row r="26" spans="1:16" ht="22.5" customHeight="1">
      <c r="A26" s="20">
        <v>22</v>
      </c>
      <c r="B26" s="21" t="s">
        <v>42</v>
      </c>
      <c r="C26" s="26">
        <v>95.17</v>
      </c>
      <c r="D26" s="1"/>
      <c r="E26" s="24"/>
      <c r="F26" s="1"/>
      <c r="G26" s="1"/>
      <c r="H26" s="1"/>
      <c r="I26" s="1">
        <v>0</v>
      </c>
      <c r="J26" s="1">
        <f t="shared" si="0"/>
        <v>0</v>
      </c>
      <c r="K26" s="19" t="str">
        <f t="shared" si="1"/>
        <v xml:space="preserve"> No Issue</v>
      </c>
      <c r="L26" s="1" t="str">
        <f t="shared" si="2"/>
        <v>No Issue</v>
      </c>
      <c r="M26" s="1" t="str">
        <f t="shared" si="3"/>
        <v>No Issue</v>
      </c>
      <c r="N26" s="1" t="str">
        <f t="shared" si="4"/>
        <v>No Issue</v>
      </c>
      <c r="O26" s="1" t="str">
        <f t="shared" si="5"/>
        <v>No Issue</v>
      </c>
      <c r="P26" s="1" t="str">
        <f t="shared" si="6"/>
        <v>NoIssue</v>
      </c>
    </row>
    <row r="27" spans="1:16" ht="22.5" customHeight="1">
      <c r="A27" s="20">
        <v>23</v>
      </c>
      <c r="B27" s="21" t="s">
        <v>43</v>
      </c>
      <c r="C27" s="26">
        <v>92.94</v>
      </c>
      <c r="D27" s="23">
        <v>65</v>
      </c>
      <c r="E27" s="24"/>
      <c r="F27" s="23">
        <v>30</v>
      </c>
      <c r="G27" s="1"/>
      <c r="H27" s="1"/>
      <c r="I27" s="1">
        <v>35</v>
      </c>
      <c r="J27" s="1">
        <f t="shared" si="0"/>
        <v>35</v>
      </c>
      <c r="K27" s="19" t="str">
        <f t="shared" si="1"/>
        <v xml:space="preserve"> No Issue</v>
      </c>
      <c r="L27" s="1" t="str">
        <f t="shared" si="2"/>
        <v>No Issue</v>
      </c>
      <c r="M27" s="1" t="str">
        <f t="shared" si="3"/>
        <v>No Issue</v>
      </c>
      <c r="N27" s="1" t="str">
        <f t="shared" si="4"/>
        <v>No Issue</v>
      </c>
      <c r="O27" s="1" t="str">
        <f t="shared" si="5"/>
        <v>No Issue</v>
      </c>
      <c r="P27" s="1" t="str">
        <f t="shared" si="6"/>
        <v>NoIssue</v>
      </c>
    </row>
    <row r="28" spans="1:16" ht="22.5" customHeight="1">
      <c r="A28" s="20">
        <v>24</v>
      </c>
      <c r="B28" s="21" t="s">
        <v>44</v>
      </c>
      <c r="C28" s="26">
        <v>101.82</v>
      </c>
      <c r="D28" s="1"/>
      <c r="E28" s="24"/>
      <c r="F28" s="1"/>
      <c r="G28" s="1"/>
      <c r="H28" s="1"/>
      <c r="I28" s="1">
        <v>0</v>
      </c>
      <c r="J28" s="1">
        <f t="shared" si="0"/>
        <v>0</v>
      </c>
      <c r="K28" s="19" t="str">
        <f t="shared" si="1"/>
        <v xml:space="preserve"> No Issue</v>
      </c>
      <c r="L28" s="1" t="str">
        <f t="shared" si="2"/>
        <v>No Issue</v>
      </c>
      <c r="M28" s="1" t="str">
        <f t="shared" si="3"/>
        <v>No Issue</v>
      </c>
      <c r="N28" s="1" t="str">
        <f t="shared" si="4"/>
        <v>No Issue</v>
      </c>
      <c r="O28" s="1" t="str">
        <f t="shared" si="5"/>
        <v>No Issue</v>
      </c>
      <c r="P28" s="1" t="str">
        <f t="shared" si="6"/>
        <v>NoIssue</v>
      </c>
    </row>
    <row r="29" spans="1:16" ht="22.5" customHeight="1">
      <c r="A29" s="20">
        <v>25</v>
      </c>
      <c r="B29" s="21" t="s">
        <v>45</v>
      </c>
      <c r="C29" s="26">
        <v>53.49</v>
      </c>
      <c r="D29" s="23">
        <v>130</v>
      </c>
      <c r="E29" s="24"/>
      <c r="F29" s="23">
        <v>30</v>
      </c>
      <c r="G29" s="1"/>
      <c r="H29" s="1"/>
      <c r="I29" s="1">
        <v>100</v>
      </c>
      <c r="J29" s="1">
        <f t="shared" si="0"/>
        <v>100</v>
      </c>
      <c r="K29" s="19" t="str">
        <f t="shared" si="1"/>
        <v xml:space="preserve"> No Issue</v>
      </c>
      <c r="L29" s="1" t="str">
        <f t="shared" si="2"/>
        <v>No Issue</v>
      </c>
      <c r="M29" s="1" t="str">
        <f t="shared" si="3"/>
        <v>No Issue</v>
      </c>
      <c r="N29" s="1" t="str">
        <f t="shared" si="4"/>
        <v>No Issue</v>
      </c>
      <c r="O29" s="1" t="str">
        <f t="shared" si="5"/>
        <v>No Issue</v>
      </c>
      <c r="P29" s="1" t="str">
        <f t="shared" si="6"/>
        <v>NoIssue</v>
      </c>
    </row>
    <row r="30" spans="1:16" ht="22.5" customHeight="1">
      <c r="A30" s="20">
        <v>26</v>
      </c>
      <c r="B30" s="21" t="s">
        <v>46</v>
      </c>
      <c r="C30" s="26">
        <v>32.92</v>
      </c>
      <c r="D30" s="1"/>
      <c r="E30" s="24"/>
      <c r="F30" s="1"/>
      <c r="G30" s="1"/>
      <c r="H30" s="1"/>
      <c r="I30" s="1">
        <v>0</v>
      </c>
      <c r="J30" s="1">
        <f t="shared" si="0"/>
        <v>0</v>
      </c>
      <c r="K30" s="19" t="str">
        <f t="shared" si="1"/>
        <v xml:space="preserve"> No Issue</v>
      </c>
      <c r="L30" s="1" t="str">
        <f t="shared" si="2"/>
        <v>No Issue</v>
      </c>
      <c r="M30" s="1" t="str">
        <f t="shared" si="3"/>
        <v>No Issue</v>
      </c>
      <c r="N30" s="1" t="str">
        <f t="shared" si="4"/>
        <v>No Issue</v>
      </c>
      <c r="O30" s="1" t="str">
        <f t="shared" si="5"/>
        <v>No Issue</v>
      </c>
      <c r="P30" s="1" t="str">
        <f t="shared" si="6"/>
        <v>NoIssue</v>
      </c>
    </row>
    <row r="31" spans="1:16" ht="22.5" customHeight="1">
      <c r="A31" s="20">
        <v>27</v>
      </c>
      <c r="B31" s="21" t="s">
        <v>47</v>
      </c>
      <c r="C31" s="26">
        <v>116.68</v>
      </c>
      <c r="D31" s="23">
        <v>65</v>
      </c>
      <c r="E31" s="24"/>
      <c r="F31" s="23">
        <v>19</v>
      </c>
      <c r="G31" s="1"/>
      <c r="H31" s="1"/>
      <c r="I31" s="1">
        <v>46</v>
      </c>
      <c r="J31" s="1">
        <f t="shared" si="0"/>
        <v>46</v>
      </c>
      <c r="K31" s="19" t="str">
        <f t="shared" si="1"/>
        <v xml:space="preserve"> No Issue</v>
      </c>
      <c r="L31" s="1" t="str">
        <f t="shared" si="2"/>
        <v>No Issue</v>
      </c>
      <c r="M31" s="1" t="str">
        <f t="shared" si="3"/>
        <v>No Issue</v>
      </c>
      <c r="N31" s="1" t="str">
        <f t="shared" si="4"/>
        <v>No Issue</v>
      </c>
      <c r="O31" s="1" t="str">
        <f t="shared" si="5"/>
        <v>No Issue</v>
      </c>
      <c r="P31" s="1" t="str">
        <f t="shared" si="6"/>
        <v>NoIssue</v>
      </c>
    </row>
    <row r="32" spans="1:16" ht="22.5" customHeight="1">
      <c r="A32" s="20">
        <v>28</v>
      </c>
      <c r="B32" s="21" t="s">
        <v>48</v>
      </c>
      <c r="C32" s="26">
        <v>107.96</v>
      </c>
      <c r="D32" s="1"/>
      <c r="E32" s="27">
        <v>33</v>
      </c>
      <c r="F32" s="23">
        <v>24</v>
      </c>
      <c r="G32" s="1"/>
      <c r="H32" s="1"/>
      <c r="I32" s="1">
        <v>9</v>
      </c>
      <c r="J32" s="1">
        <f t="shared" si="0"/>
        <v>9</v>
      </c>
      <c r="K32" s="19" t="str">
        <f t="shared" si="1"/>
        <v xml:space="preserve"> No Issue</v>
      </c>
      <c r="L32" s="1" t="str">
        <f t="shared" si="2"/>
        <v>No Issue</v>
      </c>
      <c r="M32" s="1" t="str">
        <f t="shared" si="3"/>
        <v>No Issue</v>
      </c>
      <c r="N32" s="1" t="str">
        <f t="shared" si="4"/>
        <v>No Issue</v>
      </c>
      <c r="O32" s="1" t="str">
        <f t="shared" si="5"/>
        <v>No Issue</v>
      </c>
      <c r="P32" s="1" t="str">
        <f t="shared" si="6"/>
        <v>NoIssue</v>
      </c>
    </row>
    <row r="33" spans="1:16" ht="22.5" customHeight="1">
      <c r="A33" s="20">
        <v>29</v>
      </c>
      <c r="B33" s="21" t="s">
        <v>49</v>
      </c>
      <c r="C33" s="26">
        <v>248.89</v>
      </c>
      <c r="D33" s="1"/>
      <c r="E33" s="24"/>
      <c r="F33" s="1"/>
      <c r="G33" s="1"/>
      <c r="H33" s="1"/>
      <c r="I33" s="1">
        <v>0</v>
      </c>
      <c r="J33" s="1">
        <f t="shared" si="0"/>
        <v>0</v>
      </c>
      <c r="K33" s="19" t="str">
        <f t="shared" si="1"/>
        <v xml:space="preserve"> No Issue</v>
      </c>
      <c r="L33" s="1" t="str">
        <f t="shared" si="2"/>
        <v>No Issue</v>
      </c>
      <c r="M33" s="1" t="str">
        <f t="shared" si="3"/>
        <v>No Issue</v>
      </c>
      <c r="N33" s="1" t="str">
        <f t="shared" si="4"/>
        <v>No Issue</v>
      </c>
      <c r="O33" s="1" t="str">
        <f t="shared" si="5"/>
        <v>No Issue</v>
      </c>
      <c r="P33" s="1" t="str">
        <f t="shared" si="6"/>
        <v>NoIssue</v>
      </c>
    </row>
    <row r="34" spans="1:16" ht="22.5" customHeight="1">
      <c r="A34" s="20">
        <v>30</v>
      </c>
      <c r="B34" s="21" t="s">
        <v>50</v>
      </c>
      <c r="C34" s="26">
        <v>80.36</v>
      </c>
      <c r="D34" s="23">
        <v>117</v>
      </c>
      <c r="E34" s="24"/>
      <c r="F34" s="23">
        <v>55</v>
      </c>
      <c r="G34" s="1"/>
      <c r="H34" s="1"/>
      <c r="I34" s="1">
        <v>62</v>
      </c>
      <c r="J34" s="1">
        <f t="shared" si="0"/>
        <v>62</v>
      </c>
      <c r="K34" s="19" t="str">
        <f t="shared" si="1"/>
        <v xml:space="preserve"> No Issue</v>
      </c>
      <c r="L34" s="1" t="str">
        <f t="shared" si="2"/>
        <v>No Issue</v>
      </c>
      <c r="M34" s="1" t="str">
        <f t="shared" si="3"/>
        <v>No Issue</v>
      </c>
      <c r="N34" s="1" t="str">
        <f t="shared" si="4"/>
        <v>No Issue</v>
      </c>
      <c r="O34" s="1" t="str">
        <f t="shared" si="5"/>
        <v>No Issue</v>
      </c>
      <c r="P34" s="1" t="str">
        <f t="shared" si="6"/>
        <v>NoIssue</v>
      </c>
    </row>
    <row r="35" spans="1:16" ht="22.5" customHeight="1">
      <c r="A35" s="20">
        <v>31</v>
      </c>
      <c r="B35" s="21" t="s">
        <v>51</v>
      </c>
      <c r="C35" s="26">
        <v>52.46</v>
      </c>
      <c r="D35" s="23">
        <v>33</v>
      </c>
      <c r="E35" s="24"/>
      <c r="F35" s="28">
        <v>22</v>
      </c>
      <c r="G35" s="19"/>
      <c r="H35" s="19"/>
      <c r="I35" s="1">
        <v>11</v>
      </c>
      <c r="J35" s="1">
        <f t="shared" si="0"/>
        <v>11</v>
      </c>
      <c r="K35" s="19" t="str">
        <f t="shared" si="1"/>
        <v xml:space="preserve"> No Issue</v>
      </c>
      <c r="L35" s="1" t="str">
        <f t="shared" si="2"/>
        <v>No Issue</v>
      </c>
      <c r="M35" s="1" t="str">
        <f t="shared" si="3"/>
        <v>No Issue</v>
      </c>
      <c r="N35" s="1" t="str">
        <f t="shared" si="4"/>
        <v>No Issue</v>
      </c>
      <c r="O35" s="1" t="str">
        <f t="shared" si="5"/>
        <v>No Issue</v>
      </c>
      <c r="P35" s="1" t="str">
        <f t="shared" si="6"/>
        <v>NoIssue</v>
      </c>
    </row>
    <row r="36" spans="1:16" ht="22.5" customHeight="1">
      <c r="A36" s="20">
        <v>32</v>
      </c>
      <c r="B36" s="21" t="s">
        <v>52</v>
      </c>
      <c r="C36" s="26">
        <v>71.209999999999994</v>
      </c>
      <c r="D36" s="23">
        <v>75</v>
      </c>
      <c r="E36" s="24"/>
      <c r="F36" s="28">
        <v>40</v>
      </c>
      <c r="G36" s="19"/>
      <c r="H36" s="19"/>
      <c r="I36" s="1">
        <v>35</v>
      </c>
      <c r="J36" s="1">
        <f t="shared" si="0"/>
        <v>35</v>
      </c>
      <c r="K36" s="19" t="str">
        <f t="shared" si="1"/>
        <v xml:space="preserve"> No Issue</v>
      </c>
      <c r="L36" s="1" t="str">
        <f t="shared" si="2"/>
        <v>No Issue</v>
      </c>
      <c r="M36" s="1" t="str">
        <f t="shared" si="3"/>
        <v>No Issue</v>
      </c>
      <c r="N36" s="1" t="str">
        <f t="shared" si="4"/>
        <v>No Issue</v>
      </c>
      <c r="O36" s="1" t="str">
        <f t="shared" si="5"/>
        <v>No Issue</v>
      </c>
      <c r="P36" s="1" t="str">
        <f t="shared" si="6"/>
        <v>NoIssue</v>
      </c>
    </row>
    <row r="37" spans="1:16" ht="22.5" customHeight="1">
      <c r="A37" s="20">
        <v>33</v>
      </c>
      <c r="B37" s="21" t="s">
        <v>53</v>
      </c>
      <c r="C37" s="26">
        <v>80.349999999999994</v>
      </c>
      <c r="D37" s="1"/>
      <c r="E37" s="24"/>
      <c r="F37" s="19"/>
      <c r="G37" s="19"/>
      <c r="H37" s="19"/>
      <c r="I37" s="1">
        <v>0</v>
      </c>
      <c r="J37" s="1">
        <f t="shared" si="0"/>
        <v>0</v>
      </c>
      <c r="K37" s="19" t="str">
        <f t="shared" si="1"/>
        <v xml:space="preserve"> No Issue</v>
      </c>
      <c r="L37" s="1" t="str">
        <f t="shared" si="2"/>
        <v>No Issue</v>
      </c>
      <c r="M37" s="1" t="str">
        <f t="shared" si="3"/>
        <v>No Issue</v>
      </c>
      <c r="N37" s="1" t="str">
        <f t="shared" si="4"/>
        <v>No Issue</v>
      </c>
      <c r="O37" s="1" t="str">
        <f t="shared" si="5"/>
        <v>No Issue</v>
      </c>
      <c r="P37" s="1" t="str">
        <f t="shared" si="6"/>
        <v>NoIssue</v>
      </c>
    </row>
    <row r="38" spans="1:16" ht="22.5" customHeight="1">
      <c r="A38" s="20">
        <v>34</v>
      </c>
      <c r="B38" s="21" t="s">
        <v>54</v>
      </c>
      <c r="C38" s="26">
        <v>64.180000000000007</v>
      </c>
      <c r="D38" s="23">
        <v>215</v>
      </c>
      <c r="E38" s="27">
        <v>300</v>
      </c>
      <c r="F38" s="28">
        <v>140</v>
      </c>
      <c r="G38" s="19"/>
      <c r="H38" s="19"/>
      <c r="I38" s="1">
        <v>375</v>
      </c>
      <c r="J38" s="1">
        <f t="shared" si="0"/>
        <v>375</v>
      </c>
      <c r="K38" s="19" t="str">
        <f t="shared" si="1"/>
        <v xml:space="preserve"> No Issue</v>
      </c>
      <c r="L38" s="1" t="str">
        <f t="shared" si="2"/>
        <v>No Issue</v>
      </c>
      <c r="M38" s="1" t="str">
        <f t="shared" si="3"/>
        <v>No Issue</v>
      </c>
      <c r="N38" s="1" t="str">
        <f t="shared" si="4"/>
        <v>No Issue</v>
      </c>
      <c r="O38" s="1" t="str">
        <f t="shared" si="5"/>
        <v>No Issue</v>
      </c>
      <c r="P38" s="1" t="str">
        <f t="shared" si="6"/>
        <v>NoIssue</v>
      </c>
    </row>
    <row r="39" spans="1:16" ht="22.5" customHeight="1">
      <c r="A39" s="20">
        <v>35</v>
      </c>
      <c r="B39" s="21" t="s">
        <v>55</v>
      </c>
      <c r="C39" s="26">
        <v>36.9</v>
      </c>
      <c r="D39" s="23">
        <v>95</v>
      </c>
      <c r="E39" s="24"/>
      <c r="F39" s="19"/>
      <c r="G39" s="19"/>
      <c r="H39" s="19"/>
      <c r="I39" s="1">
        <v>95</v>
      </c>
      <c r="J39" s="1">
        <f t="shared" si="0"/>
        <v>95</v>
      </c>
      <c r="K39" s="19" t="str">
        <f t="shared" si="1"/>
        <v xml:space="preserve"> No Issue</v>
      </c>
      <c r="L39" s="1" t="str">
        <f t="shared" si="2"/>
        <v>No Issue</v>
      </c>
      <c r="M39" s="1" t="str">
        <f t="shared" si="3"/>
        <v>No Issue</v>
      </c>
      <c r="N39" s="1" t="str">
        <f t="shared" si="4"/>
        <v>No Issue</v>
      </c>
      <c r="O39" s="1" t="str">
        <f t="shared" si="5"/>
        <v>No Issue</v>
      </c>
      <c r="P39" s="1" t="str">
        <f t="shared" si="6"/>
        <v>NoIssue</v>
      </c>
    </row>
    <row r="40" spans="1:16" ht="22.5" customHeight="1">
      <c r="A40" s="20">
        <v>36</v>
      </c>
      <c r="B40" s="21" t="s">
        <v>56</v>
      </c>
      <c r="C40" s="26">
        <v>101.54</v>
      </c>
      <c r="D40" s="23">
        <v>74</v>
      </c>
      <c r="E40" s="24"/>
      <c r="F40" s="28">
        <v>25</v>
      </c>
      <c r="G40" s="19"/>
      <c r="H40" s="19"/>
      <c r="I40" s="1">
        <v>49</v>
      </c>
      <c r="J40" s="1">
        <f t="shared" si="0"/>
        <v>49</v>
      </c>
      <c r="K40" s="19" t="str">
        <f t="shared" si="1"/>
        <v xml:space="preserve"> No Issue</v>
      </c>
      <c r="L40" s="1" t="str">
        <f t="shared" si="2"/>
        <v>No Issue</v>
      </c>
      <c r="M40" s="1" t="str">
        <f t="shared" si="3"/>
        <v>No Issue</v>
      </c>
      <c r="N40" s="1" t="str">
        <f t="shared" si="4"/>
        <v>No Issue</v>
      </c>
      <c r="O40" s="1" t="str">
        <f t="shared" si="5"/>
        <v>No Issue</v>
      </c>
      <c r="P40" s="1" t="str">
        <f t="shared" si="6"/>
        <v>NoIssue</v>
      </c>
    </row>
    <row r="41" spans="1:16" ht="22.5" customHeight="1">
      <c r="A41" s="20">
        <v>37</v>
      </c>
      <c r="B41" s="21" t="s">
        <v>57</v>
      </c>
      <c r="C41" s="26">
        <v>40.5</v>
      </c>
      <c r="D41" s="1"/>
      <c r="E41" s="24"/>
      <c r="F41" s="19"/>
      <c r="G41" s="19"/>
      <c r="H41" s="19"/>
      <c r="I41" s="1">
        <v>0</v>
      </c>
      <c r="J41" s="1">
        <f t="shared" si="0"/>
        <v>0</v>
      </c>
      <c r="K41" s="19" t="str">
        <f t="shared" si="1"/>
        <v xml:space="preserve"> No Issue</v>
      </c>
      <c r="L41" s="1" t="str">
        <f t="shared" si="2"/>
        <v>No Issue</v>
      </c>
      <c r="M41" s="1" t="str">
        <f t="shared" si="3"/>
        <v>No Issue</v>
      </c>
      <c r="N41" s="1" t="str">
        <f t="shared" si="4"/>
        <v>No Issue</v>
      </c>
      <c r="O41" s="1" t="str">
        <f t="shared" si="5"/>
        <v>No Issue</v>
      </c>
      <c r="P41" s="1" t="str">
        <f t="shared" si="6"/>
        <v>NoIssue</v>
      </c>
    </row>
    <row r="42" spans="1:16" ht="22.5" customHeight="1">
      <c r="A42" s="20">
        <v>38</v>
      </c>
      <c r="B42" s="21" t="s">
        <v>58</v>
      </c>
      <c r="C42" s="26">
        <v>66.69</v>
      </c>
      <c r="D42" s="23">
        <v>44</v>
      </c>
      <c r="E42" s="27">
        <v>110</v>
      </c>
      <c r="F42" s="28">
        <v>110</v>
      </c>
      <c r="G42" s="19"/>
      <c r="H42" s="19"/>
      <c r="I42" s="1">
        <v>44</v>
      </c>
      <c r="J42" s="1">
        <f t="shared" si="0"/>
        <v>44</v>
      </c>
      <c r="K42" s="19" t="str">
        <f t="shared" si="1"/>
        <v xml:space="preserve"> No Issue</v>
      </c>
      <c r="L42" s="1" t="str">
        <f t="shared" si="2"/>
        <v>No Issue</v>
      </c>
      <c r="M42" s="1" t="str">
        <f t="shared" si="3"/>
        <v>No Issue</v>
      </c>
      <c r="N42" s="1" t="str">
        <f t="shared" si="4"/>
        <v>No Issue</v>
      </c>
      <c r="O42" s="1" t="str">
        <f t="shared" si="5"/>
        <v>No Issue</v>
      </c>
      <c r="P42" s="1" t="str">
        <f t="shared" si="6"/>
        <v>NoIssue</v>
      </c>
    </row>
    <row r="43" spans="1:16" ht="22.5" customHeight="1">
      <c r="A43" s="20">
        <v>39</v>
      </c>
      <c r="B43" s="21" t="s">
        <v>59</v>
      </c>
      <c r="C43" s="21">
        <v>150.85999999999999</v>
      </c>
      <c r="D43" s="23">
        <v>10</v>
      </c>
      <c r="E43" s="27">
        <v>160</v>
      </c>
      <c r="F43" s="28">
        <v>110</v>
      </c>
      <c r="G43" s="19"/>
      <c r="H43" s="19"/>
      <c r="I43" s="1">
        <v>60</v>
      </c>
      <c r="J43" s="1">
        <f t="shared" si="0"/>
        <v>60</v>
      </c>
      <c r="K43" s="19" t="str">
        <f t="shared" si="1"/>
        <v xml:space="preserve"> No Issue</v>
      </c>
      <c r="L43" s="1" t="str">
        <f t="shared" si="2"/>
        <v>No Issue</v>
      </c>
      <c r="M43" s="1" t="str">
        <f t="shared" si="3"/>
        <v>No Issue</v>
      </c>
      <c r="N43" s="1" t="str">
        <f t="shared" si="4"/>
        <v>No Issue</v>
      </c>
      <c r="O43" s="1" t="str">
        <f t="shared" si="5"/>
        <v>No Issue</v>
      </c>
      <c r="P43" s="1" t="str">
        <f t="shared" si="6"/>
        <v>NoIssue</v>
      </c>
    </row>
    <row r="44" spans="1:16" ht="22.5" customHeight="1">
      <c r="A44" s="20">
        <v>40</v>
      </c>
      <c r="B44" s="29" t="s">
        <v>60</v>
      </c>
      <c r="C44" s="26">
        <v>180</v>
      </c>
      <c r="D44" s="23">
        <v>10</v>
      </c>
      <c r="E44" s="24"/>
      <c r="F44" s="19"/>
      <c r="G44" s="19"/>
      <c r="H44" s="19"/>
      <c r="I44" s="1">
        <v>10</v>
      </c>
      <c r="J44" s="1">
        <f t="shared" si="0"/>
        <v>10</v>
      </c>
      <c r="K44" s="19" t="str">
        <f t="shared" si="1"/>
        <v xml:space="preserve"> No Issue</v>
      </c>
      <c r="L44" s="1" t="str">
        <f t="shared" si="2"/>
        <v>No Issue</v>
      </c>
      <c r="M44" s="1" t="str">
        <f t="shared" si="3"/>
        <v>No Issue</v>
      </c>
      <c r="N44" s="1" t="str">
        <f t="shared" si="4"/>
        <v>No Issue</v>
      </c>
      <c r="O44" s="1" t="str">
        <f t="shared" si="5"/>
        <v>No Issue</v>
      </c>
      <c r="P44" s="1" t="str">
        <f t="shared" si="6"/>
        <v>NoIssue</v>
      </c>
    </row>
    <row r="45" spans="1:16" ht="22.5" customHeight="1">
      <c r="A45" s="20">
        <v>41</v>
      </c>
      <c r="B45" s="29" t="s">
        <v>61</v>
      </c>
      <c r="C45" s="21">
        <v>128.57</v>
      </c>
      <c r="D45" s="23">
        <v>10</v>
      </c>
      <c r="E45" s="24"/>
      <c r="F45" s="19"/>
      <c r="G45" s="19"/>
      <c r="H45" s="19"/>
      <c r="I45" s="1">
        <v>10</v>
      </c>
      <c r="J45" s="1">
        <f t="shared" si="0"/>
        <v>10</v>
      </c>
      <c r="K45" s="19" t="str">
        <f t="shared" si="1"/>
        <v xml:space="preserve"> No Issue</v>
      </c>
      <c r="L45" s="1" t="str">
        <f t="shared" si="2"/>
        <v>No Issue</v>
      </c>
      <c r="M45" s="1" t="str">
        <f t="shared" si="3"/>
        <v>No Issue</v>
      </c>
      <c r="N45" s="1" t="str">
        <f t="shared" si="4"/>
        <v>No Issue</v>
      </c>
      <c r="O45" s="1" t="str">
        <f t="shared" si="5"/>
        <v>No Issue</v>
      </c>
      <c r="P45" s="1" t="str">
        <f t="shared" si="6"/>
        <v>NoIssue</v>
      </c>
    </row>
    <row r="46" spans="1:16" ht="22.5" customHeight="1">
      <c r="A46" s="20">
        <v>42</v>
      </c>
      <c r="B46" s="21"/>
      <c r="C46" s="21"/>
      <c r="D46" s="1"/>
      <c r="E46" s="24"/>
      <c r="F46" s="19"/>
      <c r="G46" s="19"/>
      <c r="H46" s="19"/>
      <c r="I46" s="1"/>
      <c r="J46" s="1">
        <f t="shared" si="0"/>
        <v>0</v>
      </c>
      <c r="K46" s="19" t="str">
        <f t="shared" si="1"/>
        <v xml:space="preserve"> No Issue</v>
      </c>
      <c r="L46" s="1" t="str">
        <f t="shared" si="2"/>
        <v>No Issue</v>
      </c>
      <c r="M46" s="1" t="str">
        <f t="shared" si="3"/>
        <v>No Issue</v>
      </c>
      <c r="N46" s="1" t="str">
        <f t="shared" si="4"/>
        <v>No Issue</v>
      </c>
      <c r="O46" s="1" t="str">
        <f t="shared" si="5"/>
        <v>No Issue</v>
      </c>
      <c r="P46" s="1" t="str">
        <f t="shared" si="6"/>
        <v>NoIssue</v>
      </c>
    </row>
    <row r="47" spans="1:16" ht="22.5" customHeight="1">
      <c r="A47" s="20">
        <v>43</v>
      </c>
      <c r="B47" s="30"/>
      <c r="C47" s="30"/>
      <c r="D47" s="1"/>
      <c r="E47" s="24"/>
      <c r="F47" s="19"/>
      <c r="G47" s="19"/>
      <c r="H47" s="19"/>
      <c r="I47" s="1"/>
      <c r="J47" s="1">
        <f t="shared" si="0"/>
        <v>0</v>
      </c>
      <c r="K47" s="19" t="str">
        <f t="shared" si="1"/>
        <v xml:space="preserve"> No Issue</v>
      </c>
      <c r="L47" s="1" t="str">
        <f t="shared" si="2"/>
        <v>No Issue</v>
      </c>
      <c r="M47" s="1" t="str">
        <f t="shared" si="3"/>
        <v>No Issue</v>
      </c>
      <c r="N47" s="1" t="str">
        <f t="shared" si="4"/>
        <v>No Issue</v>
      </c>
      <c r="O47" s="1" t="str">
        <f t="shared" si="5"/>
        <v>No Issue</v>
      </c>
      <c r="P47" s="1" t="str">
        <f t="shared" si="6"/>
        <v>NoIssue</v>
      </c>
    </row>
    <row r="48" spans="1:16" ht="22.5" customHeight="1">
      <c r="A48" s="20">
        <v>44</v>
      </c>
      <c r="B48" s="30"/>
      <c r="C48" s="30"/>
      <c r="D48" s="1"/>
      <c r="E48" s="24"/>
      <c r="F48" s="19"/>
      <c r="G48" s="19"/>
      <c r="H48" s="19"/>
      <c r="I48" s="1"/>
      <c r="J48" s="1">
        <f t="shared" si="0"/>
        <v>0</v>
      </c>
      <c r="K48" s="19" t="str">
        <f t="shared" si="1"/>
        <v xml:space="preserve"> No Issue</v>
      </c>
      <c r="L48" s="1" t="str">
        <f t="shared" si="2"/>
        <v>No Issue</v>
      </c>
      <c r="M48" s="1" t="str">
        <f t="shared" si="3"/>
        <v>No Issue</v>
      </c>
      <c r="N48" s="1" t="str">
        <f t="shared" si="4"/>
        <v>No Issue</v>
      </c>
      <c r="O48" s="1" t="str">
        <f t="shared" si="5"/>
        <v>No Issue</v>
      </c>
      <c r="P48" s="1" t="str">
        <f t="shared" si="6"/>
        <v>NoIssue</v>
      </c>
    </row>
    <row r="49" spans="1:16" ht="22.5" customHeight="1">
      <c r="A49" s="20">
        <v>45</v>
      </c>
      <c r="B49" s="30"/>
      <c r="C49" s="30"/>
      <c r="D49" s="1"/>
      <c r="E49" s="24"/>
      <c r="F49" s="19"/>
      <c r="G49" s="19"/>
      <c r="H49" s="19"/>
      <c r="I49" s="1"/>
      <c r="J49" s="1">
        <f t="shared" si="0"/>
        <v>0</v>
      </c>
      <c r="K49" s="19" t="str">
        <f t="shared" si="1"/>
        <v xml:space="preserve"> No Issue</v>
      </c>
      <c r="L49" s="1" t="str">
        <f t="shared" si="2"/>
        <v>No Issue</v>
      </c>
      <c r="M49" s="1" t="str">
        <f t="shared" si="3"/>
        <v>No Issue</v>
      </c>
      <c r="N49" s="1" t="str">
        <f t="shared" si="4"/>
        <v>No Issue</v>
      </c>
      <c r="O49" s="1" t="str">
        <f t="shared" si="5"/>
        <v>No Issue</v>
      </c>
      <c r="P49" s="1" t="str">
        <f t="shared" si="6"/>
        <v>NoIssue</v>
      </c>
    </row>
    <row r="50" spans="1:16" ht="22.5" customHeight="1">
      <c r="A50" s="20">
        <v>46</v>
      </c>
      <c r="B50" s="30"/>
      <c r="C50" s="30"/>
      <c r="D50" s="1"/>
      <c r="E50" s="24"/>
      <c r="F50" s="19"/>
      <c r="G50" s="19"/>
      <c r="H50" s="19"/>
      <c r="I50" s="1"/>
      <c r="J50" s="1">
        <f t="shared" si="0"/>
        <v>0</v>
      </c>
      <c r="K50" s="19" t="str">
        <f t="shared" si="1"/>
        <v xml:space="preserve"> No Issue</v>
      </c>
      <c r="L50" s="1" t="str">
        <f t="shared" si="2"/>
        <v>No Issue</v>
      </c>
      <c r="M50" s="1" t="str">
        <f t="shared" si="3"/>
        <v>No Issue</v>
      </c>
      <c r="N50" s="1" t="str">
        <f t="shared" si="4"/>
        <v>No Issue</v>
      </c>
      <c r="O50" s="1" t="str">
        <f t="shared" si="5"/>
        <v>No Issue</v>
      </c>
      <c r="P50" s="1" t="str">
        <f t="shared" si="6"/>
        <v>NoIssue</v>
      </c>
    </row>
    <row r="51" spans="1:16" ht="22.5" customHeight="1">
      <c r="A51" s="20">
        <v>47</v>
      </c>
      <c r="B51" s="31"/>
      <c r="C51" s="32"/>
      <c r="D51" s="1"/>
      <c r="E51" s="24"/>
      <c r="F51" s="19"/>
      <c r="G51" s="19"/>
      <c r="H51" s="19"/>
      <c r="I51" s="1"/>
      <c r="J51" s="1">
        <f t="shared" si="0"/>
        <v>0</v>
      </c>
      <c r="K51" s="19" t="str">
        <f t="shared" si="1"/>
        <v xml:space="preserve"> No Issue</v>
      </c>
      <c r="L51" s="1" t="str">
        <f t="shared" si="2"/>
        <v>No Issue</v>
      </c>
      <c r="M51" s="1" t="str">
        <f t="shared" si="3"/>
        <v>No Issue</v>
      </c>
      <c r="N51" s="1" t="str">
        <f t="shared" si="4"/>
        <v>No Issue</v>
      </c>
      <c r="O51" s="1" t="str">
        <f t="shared" si="5"/>
        <v>No Issue</v>
      </c>
      <c r="P51" s="1" t="str">
        <f t="shared" si="6"/>
        <v>NoIssue</v>
      </c>
    </row>
    <row r="52" spans="1:16" ht="22.5" customHeight="1">
      <c r="A52" s="20">
        <v>48</v>
      </c>
      <c r="B52" s="31"/>
      <c r="C52" s="32"/>
      <c r="D52" s="1"/>
      <c r="E52" s="24"/>
      <c r="F52" s="19"/>
      <c r="G52" s="19"/>
      <c r="H52" s="19"/>
      <c r="I52" s="1"/>
      <c r="J52" s="1">
        <f t="shared" si="0"/>
        <v>0</v>
      </c>
      <c r="K52" s="19" t="str">
        <f t="shared" si="1"/>
        <v xml:space="preserve"> No Issue</v>
      </c>
      <c r="L52" s="1" t="str">
        <f t="shared" si="2"/>
        <v>No Issue</v>
      </c>
      <c r="M52" s="1" t="str">
        <f t="shared" si="3"/>
        <v>No Issue</v>
      </c>
      <c r="N52" s="1" t="str">
        <f t="shared" si="4"/>
        <v>No Issue</v>
      </c>
      <c r="O52" s="1" t="str">
        <f t="shared" si="5"/>
        <v>No Issue</v>
      </c>
      <c r="P52" s="1" t="str">
        <f t="shared" si="6"/>
        <v>NoIssue</v>
      </c>
    </row>
    <row r="53" spans="1:16" ht="22.5" customHeight="1">
      <c r="A53" s="20">
        <v>49</v>
      </c>
      <c r="B53" s="31"/>
      <c r="C53" s="32"/>
      <c r="D53" s="1"/>
      <c r="E53" s="24"/>
      <c r="F53" s="19"/>
      <c r="G53" s="19"/>
      <c r="H53" s="19"/>
      <c r="I53" s="1"/>
      <c r="J53" s="1">
        <f t="shared" si="0"/>
        <v>0</v>
      </c>
      <c r="K53" s="19" t="str">
        <f t="shared" si="1"/>
        <v xml:space="preserve"> No Issue</v>
      </c>
      <c r="L53" s="1" t="str">
        <f t="shared" si="2"/>
        <v>No Issue</v>
      </c>
      <c r="M53" s="1" t="str">
        <f t="shared" si="3"/>
        <v>No Issue</v>
      </c>
      <c r="N53" s="1" t="str">
        <f t="shared" si="4"/>
        <v>No Issue</v>
      </c>
      <c r="O53" s="1" t="str">
        <f t="shared" si="5"/>
        <v>No Issue</v>
      </c>
      <c r="P53" s="1" t="str">
        <f t="shared" si="6"/>
        <v>NoIssue</v>
      </c>
    </row>
    <row r="54" spans="1:16" ht="22.5" customHeight="1">
      <c r="A54" s="20">
        <v>50</v>
      </c>
      <c r="B54" s="31"/>
      <c r="C54" s="32"/>
      <c r="D54" s="1"/>
      <c r="E54" s="24"/>
      <c r="F54" s="19"/>
      <c r="G54" s="19"/>
      <c r="H54" s="19"/>
      <c r="I54" s="1"/>
      <c r="J54" s="1">
        <f t="shared" si="0"/>
        <v>0</v>
      </c>
      <c r="K54" s="19" t="str">
        <f t="shared" si="1"/>
        <v xml:space="preserve"> No Issue</v>
      </c>
      <c r="L54" s="1" t="str">
        <f t="shared" si="2"/>
        <v>No Issue</v>
      </c>
      <c r="M54" s="1" t="str">
        <f t="shared" si="3"/>
        <v>No Issue</v>
      </c>
      <c r="N54" s="1" t="str">
        <f t="shared" si="4"/>
        <v>No Issue</v>
      </c>
      <c r="O54" s="1" t="str">
        <f t="shared" si="5"/>
        <v>No Issue</v>
      </c>
      <c r="P54" s="1" t="str">
        <f t="shared" si="6"/>
        <v>NoIssue</v>
      </c>
    </row>
    <row r="55" spans="1:16" ht="22.5" customHeight="1">
      <c r="A55" s="20">
        <v>51</v>
      </c>
      <c r="B55" s="31"/>
      <c r="C55" s="32"/>
      <c r="D55" s="1"/>
      <c r="E55" s="24"/>
      <c r="F55" s="19"/>
      <c r="G55" s="19"/>
      <c r="H55" s="19"/>
      <c r="I55" s="1"/>
      <c r="J55" s="1">
        <f t="shared" si="0"/>
        <v>0</v>
      </c>
      <c r="K55" s="19" t="str">
        <f t="shared" si="1"/>
        <v xml:space="preserve"> No Issue</v>
      </c>
      <c r="L55" s="1" t="str">
        <f t="shared" si="2"/>
        <v>No Issue</v>
      </c>
      <c r="M55" s="1" t="str">
        <f t="shared" si="3"/>
        <v>No Issue</v>
      </c>
      <c r="N55" s="1" t="str">
        <f t="shared" si="4"/>
        <v>No Issue</v>
      </c>
      <c r="O55" s="1" t="str">
        <f t="shared" si="5"/>
        <v>No Issue</v>
      </c>
      <c r="P55" s="1" t="str">
        <f t="shared" si="6"/>
        <v>NoIssue</v>
      </c>
    </row>
    <row r="56" spans="1:16" ht="22.5" customHeight="1">
      <c r="A56" s="20">
        <v>52</v>
      </c>
      <c r="B56" s="31"/>
      <c r="C56" s="32"/>
      <c r="D56" s="1"/>
      <c r="E56" s="24"/>
      <c r="F56" s="19"/>
      <c r="G56" s="19"/>
      <c r="H56" s="19"/>
      <c r="I56" s="1"/>
      <c r="J56" s="1">
        <f t="shared" si="0"/>
        <v>0</v>
      </c>
      <c r="K56" s="19" t="str">
        <f t="shared" si="1"/>
        <v xml:space="preserve"> No Issue</v>
      </c>
      <c r="L56" s="1" t="str">
        <f t="shared" si="2"/>
        <v>No Issue</v>
      </c>
      <c r="M56" s="1" t="str">
        <f t="shared" si="3"/>
        <v>No Issue</v>
      </c>
      <c r="N56" s="1" t="str">
        <f t="shared" si="4"/>
        <v>No Issue</v>
      </c>
      <c r="O56" s="1" t="str">
        <f t="shared" si="5"/>
        <v>No Issue</v>
      </c>
      <c r="P56" s="1" t="str">
        <f t="shared" si="6"/>
        <v>NoIssue</v>
      </c>
    </row>
    <row r="57" spans="1:16" ht="22.5" customHeight="1">
      <c r="A57" s="20">
        <v>53</v>
      </c>
      <c r="B57" s="31"/>
      <c r="C57" s="32"/>
      <c r="D57" s="1"/>
      <c r="E57" s="24"/>
      <c r="F57" s="19"/>
      <c r="G57" s="19"/>
      <c r="H57" s="19"/>
      <c r="I57" s="1"/>
      <c r="J57" s="1">
        <f t="shared" si="0"/>
        <v>0</v>
      </c>
      <c r="K57" s="19" t="str">
        <f t="shared" si="1"/>
        <v xml:space="preserve"> No Issue</v>
      </c>
      <c r="L57" s="1" t="str">
        <f t="shared" si="2"/>
        <v>No Issue</v>
      </c>
      <c r="M57" s="1" t="str">
        <f t="shared" si="3"/>
        <v>No Issue</v>
      </c>
      <c r="N57" s="1" t="str">
        <f t="shared" si="4"/>
        <v>No Issue</v>
      </c>
      <c r="O57" s="1" t="str">
        <f t="shared" si="5"/>
        <v>No Issue</v>
      </c>
      <c r="P57" s="1" t="str">
        <f t="shared" si="6"/>
        <v>NoIssue</v>
      </c>
    </row>
    <row r="58" spans="1:16" ht="22.5" customHeight="1">
      <c r="A58" s="20">
        <v>54</v>
      </c>
      <c r="B58" s="30"/>
      <c r="C58" s="30"/>
      <c r="D58" s="1"/>
      <c r="E58" s="24"/>
      <c r="F58" s="19"/>
      <c r="G58" s="19"/>
      <c r="H58" s="19"/>
      <c r="I58" s="1"/>
      <c r="J58" s="1">
        <f t="shared" si="0"/>
        <v>0</v>
      </c>
      <c r="K58" s="19" t="str">
        <f t="shared" si="1"/>
        <v xml:space="preserve"> No Issue</v>
      </c>
      <c r="L58" s="1" t="str">
        <f t="shared" si="2"/>
        <v>No Issue</v>
      </c>
      <c r="M58" s="1" t="str">
        <f t="shared" si="3"/>
        <v>No Issue</v>
      </c>
      <c r="N58" s="1" t="str">
        <f t="shared" si="4"/>
        <v>No Issue</v>
      </c>
      <c r="O58" s="1" t="str">
        <f t="shared" si="5"/>
        <v>No Issue</v>
      </c>
      <c r="P58" s="1" t="str">
        <f t="shared" si="6"/>
        <v>NoIssue</v>
      </c>
    </row>
    <row r="59" spans="1:16" ht="22.5" customHeight="1">
      <c r="A59" s="20">
        <v>55</v>
      </c>
      <c r="B59" s="31"/>
      <c r="C59" s="32"/>
      <c r="D59" s="1"/>
      <c r="E59" s="24"/>
      <c r="F59" s="19"/>
      <c r="G59" s="19"/>
      <c r="H59" s="19"/>
      <c r="I59" s="1"/>
      <c r="J59" s="1">
        <f t="shared" si="0"/>
        <v>0</v>
      </c>
      <c r="K59" s="19" t="str">
        <f t="shared" si="1"/>
        <v xml:space="preserve"> No Issue</v>
      </c>
      <c r="L59" s="1" t="str">
        <f t="shared" si="2"/>
        <v>No Issue</v>
      </c>
      <c r="M59" s="1" t="str">
        <f t="shared" si="3"/>
        <v>No Issue</v>
      </c>
      <c r="N59" s="1" t="str">
        <f t="shared" si="4"/>
        <v>No Issue</v>
      </c>
      <c r="O59" s="1" t="str">
        <f t="shared" si="5"/>
        <v>No Issue</v>
      </c>
      <c r="P59" s="1" t="str">
        <f t="shared" si="6"/>
        <v>NoIssue</v>
      </c>
    </row>
    <row r="60" spans="1:16" ht="22.5" customHeight="1">
      <c r="A60" s="20">
        <v>56</v>
      </c>
      <c r="B60" s="31"/>
      <c r="C60" s="32"/>
      <c r="D60" s="1"/>
      <c r="E60" s="24"/>
      <c r="F60" s="19"/>
      <c r="G60" s="19"/>
      <c r="H60" s="19"/>
      <c r="I60" s="1"/>
      <c r="J60" s="1">
        <f t="shared" si="0"/>
        <v>0</v>
      </c>
      <c r="K60" s="19" t="str">
        <f t="shared" si="1"/>
        <v xml:space="preserve"> No Issue</v>
      </c>
      <c r="L60" s="1" t="str">
        <f t="shared" si="2"/>
        <v>No Issue</v>
      </c>
      <c r="M60" s="1" t="str">
        <f t="shared" si="3"/>
        <v>No Issue</v>
      </c>
      <c r="N60" s="1" t="str">
        <f t="shared" si="4"/>
        <v>No Issue</v>
      </c>
      <c r="O60" s="1" t="str">
        <f t="shared" si="5"/>
        <v>No Issue</v>
      </c>
      <c r="P60" s="1" t="str">
        <f t="shared" si="6"/>
        <v>NoIssue</v>
      </c>
    </row>
    <row r="61" spans="1:16" ht="22.5" customHeight="1">
      <c r="A61" s="20"/>
      <c r="B61" s="33" t="s">
        <v>62</v>
      </c>
      <c r="C61" s="34"/>
      <c r="D61" s="33">
        <f t="shared" ref="D61:I61" si="7">SUMPRODUCT(D5:D60,$C5:$C60)</f>
        <v>134667.73000000001</v>
      </c>
      <c r="E61" s="1">
        <f t="shared" si="7"/>
        <v>54290.18</v>
      </c>
      <c r="F61" s="1">
        <f t="shared" si="7"/>
        <v>61794.25</v>
      </c>
      <c r="G61" s="1">
        <f t="shared" si="7"/>
        <v>0</v>
      </c>
      <c r="H61" s="1">
        <f t="shared" si="7"/>
        <v>0</v>
      </c>
      <c r="I61" s="1">
        <f t="shared" si="7"/>
        <v>127163.66000000002</v>
      </c>
      <c r="J61" s="1">
        <f t="shared" si="0"/>
        <v>127163.66</v>
      </c>
      <c r="K61" s="19" t="str">
        <f t="shared" si="1"/>
        <v xml:space="preserve"> No Issue</v>
      </c>
      <c r="L61" s="1" t="str">
        <f t="shared" si="2"/>
        <v>No Issue</v>
      </c>
      <c r="M61" s="1" t="str">
        <f t="shared" si="3"/>
        <v>No Issue</v>
      </c>
      <c r="N61" s="1" t="str">
        <f t="shared" si="4"/>
        <v>No Issue</v>
      </c>
      <c r="O61" s="1" t="str">
        <f t="shared" si="5"/>
        <v>Check Once Sales quantity or Value Problem</v>
      </c>
      <c r="P61" s="1" t="str">
        <f t="shared" si="6"/>
        <v>Check Once Closing quantity or Value Problem</v>
      </c>
    </row>
    <row r="62" spans="1:16" ht="22.5" customHeight="1">
      <c r="A62" s="8"/>
      <c r="B62" s="9" t="s">
        <v>3</v>
      </c>
      <c r="C62" s="10" t="s">
        <v>66</v>
      </c>
      <c r="D62" s="11"/>
      <c r="E62" s="9"/>
      <c r="F62" s="12"/>
      <c r="G62" s="46"/>
      <c r="H62" s="47"/>
      <c r="I62" s="12"/>
      <c r="J62" s="13"/>
      <c r="K62" s="48" t="s">
        <v>4</v>
      </c>
      <c r="L62" s="49"/>
      <c r="M62" s="49"/>
      <c r="N62" s="49"/>
      <c r="O62" s="49"/>
      <c r="P62" s="50"/>
    </row>
    <row r="63" spans="1:16" ht="22.5" customHeight="1">
      <c r="A63" s="35" t="s">
        <v>5</v>
      </c>
      <c r="B63" s="19" t="s">
        <v>6</v>
      </c>
      <c r="C63" s="19" t="s">
        <v>7</v>
      </c>
      <c r="D63" s="18" t="s">
        <v>8</v>
      </c>
      <c r="E63" s="18" t="s">
        <v>9</v>
      </c>
      <c r="F63" s="18" t="s">
        <v>10</v>
      </c>
      <c r="G63" s="18" t="s">
        <v>11</v>
      </c>
      <c r="H63" s="18" t="s">
        <v>12</v>
      </c>
      <c r="I63" s="18" t="s">
        <v>13</v>
      </c>
      <c r="J63" s="18" t="s">
        <v>14</v>
      </c>
      <c r="K63" s="19" t="s">
        <v>15</v>
      </c>
      <c r="L63" s="19" t="s">
        <v>16</v>
      </c>
      <c r="M63" s="19" t="s">
        <v>17</v>
      </c>
      <c r="N63" s="19" t="s">
        <v>18</v>
      </c>
      <c r="O63" s="19" t="s">
        <v>19</v>
      </c>
      <c r="P63" s="19" t="s">
        <v>20</v>
      </c>
    </row>
    <row r="64" spans="1:16" ht="22.5" customHeight="1">
      <c r="A64" s="20">
        <v>1</v>
      </c>
      <c r="B64" s="21" t="s">
        <v>21</v>
      </c>
      <c r="C64" s="22">
        <v>192.17</v>
      </c>
      <c r="D64" s="23">
        <v>28</v>
      </c>
      <c r="E64" s="1"/>
      <c r="F64" s="23">
        <v>20</v>
      </c>
      <c r="G64" s="1"/>
      <c r="H64" s="1"/>
      <c r="I64" s="1">
        <v>8</v>
      </c>
      <c r="J64" s="1">
        <f>D64+E64-F64-G64+H64</f>
        <v>8</v>
      </c>
      <c r="K64" s="19" t="str">
        <f t="shared" ref="K64:K120" si="8">IF(I64&lt;&gt;(D64+E64-F64-G64+H64),"Closing stock Not Correct-Problem"," No Issue")</f>
        <v xml:space="preserve"> No Issue</v>
      </c>
      <c r="L64" s="1" t="str">
        <f t="shared" ref="L64:L120" si="9">IF((D64+E64)&lt;F64,"High Sale and Less Stock-Problem","No Issue")</f>
        <v>No Issue</v>
      </c>
      <c r="M64" s="1" t="str">
        <f t="shared" ref="M64:M120" si="10">IF(AND((D64+E64+I64)=0,F64&gt;0),"No Stock Sale Present Problem","No Issue")</f>
        <v>No Issue</v>
      </c>
      <c r="N64" s="1" t="str">
        <f t="shared" ref="N64:N120" si="11">IF(AND(SUM(D64:H64)=0,I64&gt;0),"Only Closing Entered Other Parameters No Entired Problem","No Issue")</f>
        <v>No Issue</v>
      </c>
      <c r="O64" s="1" t="str">
        <f t="shared" ref="O64:O120" si="12">IF(F64&gt;5000,"Check Once Sales quantity or Value Problem","No Issue")</f>
        <v>No Issue</v>
      </c>
      <c r="P64" s="1" t="str">
        <f t="shared" ref="P64:P120" si="13">IF(I64&gt;5000,"Check Once Closing quantity or Value Problem","NoIssue")</f>
        <v>NoIssue</v>
      </c>
    </row>
    <row r="65" spans="1:16" ht="22.5" customHeight="1">
      <c r="A65" s="20">
        <v>2</v>
      </c>
      <c r="B65" s="21" t="s">
        <v>22</v>
      </c>
      <c r="C65" s="22">
        <v>9.26</v>
      </c>
      <c r="D65" s="1"/>
      <c r="E65" s="1"/>
      <c r="F65" s="1"/>
      <c r="G65" s="1"/>
      <c r="H65" s="1"/>
      <c r="I65" s="1">
        <v>0</v>
      </c>
      <c r="J65" s="1">
        <f t="shared" ref="J64:J120" si="14">D65+E65-F65-G65+H65</f>
        <v>0</v>
      </c>
      <c r="K65" s="19" t="str">
        <f t="shared" si="8"/>
        <v xml:space="preserve"> No Issue</v>
      </c>
      <c r="L65" s="1" t="str">
        <f t="shared" si="9"/>
        <v>No Issue</v>
      </c>
      <c r="M65" s="1" t="str">
        <f t="shared" si="10"/>
        <v>No Issue</v>
      </c>
      <c r="N65" s="1" t="str">
        <f t="shared" si="11"/>
        <v>No Issue</v>
      </c>
      <c r="O65" s="1" t="str">
        <f t="shared" si="12"/>
        <v>No Issue</v>
      </c>
      <c r="P65" s="1" t="str">
        <f t="shared" si="13"/>
        <v>NoIssue</v>
      </c>
    </row>
    <row r="66" spans="1:16" ht="22.5" customHeight="1">
      <c r="A66" s="20">
        <v>3</v>
      </c>
      <c r="B66" s="21" t="s">
        <v>23</v>
      </c>
      <c r="C66" s="22">
        <v>87.79</v>
      </c>
      <c r="D66" s="1"/>
      <c r="E66" s="1"/>
      <c r="F66" s="1"/>
      <c r="G66" s="1"/>
      <c r="H66" s="1"/>
      <c r="I66" s="1">
        <v>0</v>
      </c>
      <c r="J66" s="1">
        <f t="shared" si="14"/>
        <v>0</v>
      </c>
      <c r="K66" s="19" t="str">
        <f t="shared" si="8"/>
        <v xml:space="preserve"> No Issue</v>
      </c>
      <c r="L66" s="1" t="str">
        <f t="shared" si="9"/>
        <v>No Issue</v>
      </c>
      <c r="M66" s="1" t="str">
        <f t="shared" si="10"/>
        <v>No Issue</v>
      </c>
      <c r="N66" s="1" t="str">
        <f t="shared" si="11"/>
        <v>No Issue</v>
      </c>
      <c r="O66" s="1" t="str">
        <f t="shared" si="12"/>
        <v>No Issue</v>
      </c>
      <c r="P66" s="1" t="str">
        <f t="shared" si="13"/>
        <v>NoIssue</v>
      </c>
    </row>
    <row r="67" spans="1:16" ht="22.5" customHeight="1">
      <c r="A67" s="20">
        <v>4</v>
      </c>
      <c r="B67" s="21" t="s">
        <v>24</v>
      </c>
      <c r="C67" s="22">
        <v>55.55</v>
      </c>
      <c r="D67" s="1"/>
      <c r="E67" s="1"/>
      <c r="F67" s="1"/>
      <c r="G67" s="1"/>
      <c r="H67" s="1"/>
      <c r="I67" s="1">
        <v>0</v>
      </c>
      <c r="J67" s="1">
        <f t="shared" si="14"/>
        <v>0</v>
      </c>
      <c r="K67" s="19" t="str">
        <f t="shared" si="8"/>
        <v xml:space="preserve"> No Issue</v>
      </c>
      <c r="L67" s="1" t="str">
        <f t="shared" si="9"/>
        <v>No Issue</v>
      </c>
      <c r="M67" s="1" t="str">
        <f t="shared" si="10"/>
        <v>No Issue</v>
      </c>
      <c r="N67" s="1" t="str">
        <f t="shared" si="11"/>
        <v>No Issue</v>
      </c>
      <c r="O67" s="1" t="str">
        <f t="shared" si="12"/>
        <v>No Issue</v>
      </c>
      <c r="P67" s="1" t="str">
        <f t="shared" si="13"/>
        <v>NoIssue</v>
      </c>
    </row>
    <row r="68" spans="1:16" ht="22.5" customHeight="1">
      <c r="A68" s="20">
        <v>5</v>
      </c>
      <c r="B68" s="21" t="s">
        <v>25</v>
      </c>
      <c r="C68" s="22">
        <v>70.010000000000005</v>
      </c>
      <c r="D68" s="23">
        <v>77</v>
      </c>
      <c r="E68" s="1"/>
      <c r="F68" s="23">
        <v>10</v>
      </c>
      <c r="G68" s="1"/>
      <c r="H68" s="1"/>
      <c r="I68" s="1">
        <v>67</v>
      </c>
      <c r="J68" s="1">
        <f t="shared" si="14"/>
        <v>67</v>
      </c>
      <c r="K68" s="19" t="str">
        <f t="shared" si="8"/>
        <v xml:space="preserve"> No Issue</v>
      </c>
      <c r="L68" s="1" t="str">
        <f t="shared" si="9"/>
        <v>No Issue</v>
      </c>
      <c r="M68" s="1" t="str">
        <f t="shared" si="10"/>
        <v>No Issue</v>
      </c>
      <c r="N68" s="1" t="str">
        <f t="shared" si="11"/>
        <v>No Issue</v>
      </c>
      <c r="O68" s="1" t="str">
        <f t="shared" si="12"/>
        <v>No Issue</v>
      </c>
      <c r="P68" s="1" t="str">
        <f t="shared" si="13"/>
        <v>NoIssue</v>
      </c>
    </row>
    <row r="69" spans="1:16" ht="22.5" customHeight="1">
      <c r="A69" s="20">
        <v>6</v>
      </c>
      <c r="B69" s="25" t="s">
        <v>26</v>
      </c>
      <c r="C69" s="22">
        <v>73.929999999999993</v>
      </c>
      <c r="D69" s="1"/>
      <c r="E69" s="1"/>
      <c r="F69" s="1"/>
      <c r="G69" s="1"/>
      <c r="H69" s="1"/>
      <c r="I69" s="1">
        <v>0</v>
      </c>
      <c r="J69" s="1">
        <f t="shared" si="14"/>
        <v>0</v>
      </c>
      <c r="K69" s="19" t="str">
        <f t="shared" si="8"/>
        <v xml:space="preserve"> No Issue</v>
      </c>
      <c r="L69" s="1" t="str">
        <f t="shared" si="9"/>
        <v>No Issue</v>
      </c>
      <c r="M69" s="1" t="str">
        <f t="shared" si="10"/>
        <v>No Issue</v>
      </c>
      <c r="N69" s="1" t="str">
        <f t="shared" si="11"/>
        <v>No Issue</v>
      </c>
      <c r="O69" s="1" t="str">
        <f t="shared" si="12"/>
        <v>No Issue</v>
      </c>
      <c r="P69" s="1" t="str">
        <f t="shared" si="13"/>
        <v>NoIssue</v>
      </c>
    </row>
    <row r="70" spans="1:16" ht="22.5" customHeight="1">
      <c r="A70" s="20">
        <v>7</v>
      </c>
      <c r="B70" s="21" t="s">
        <v>27</v>
      </c>
      <c r="C70" s="26">
        <v>13.91</v>
      </c>
      <c r="D70" s="1"/>
      <c r="E70" s="1"/>
      <c r="F70" s="1"/>
      <c r="G70" s="1"/>
      <c r="H70" s="1"/>
      <c r="I70" s="1">
        <v>0</v>
      </c>
      <c r="J70" s="1">
        <f t="shared" si="14"/>
        <v>0</v>
      </c>
      <c r="K70" s="19" t="str">
        <f t="shared" si="8"/>
        <v xml:space="preserve"> No Issue</v>
      </c>
      <c r="L70" s="1" t="str">
        <f t="shared" si="9"/>
        <v>No Issue</v>
      </c>
      <c r="M70" s="1" t="str">
        <f t="shared" si="10"/>
        <v>No Issue</v>
      </c>
      <c r="N70" s="1" t="str">
        <f t="shared" si="11"/>
        <v>No Issue</v>
      </c>
      <c r="O70" s="1" t="str">
        <f t="shared" si="12"/>
        <v>No Issue</v>
      </c>
      <c r="P70" s="1" t="str">
        <f t="shared" si="13"/>
        <v>NoIssue</v>
      </c>
    </row>
    <row r="71" spans="1:16" ht="22.5" customHeight="1">
      <c r="A71" s="20">
        <v>8</v>
      </c>
      <c r="B71" s="21" t="s">
        <v>28</v>
      </c>
      <c r="C71" s="26">
        <v>19.5</v>
      </c>
      <c r="D71" s="1"/>
      <c r="E71" s="1"/>
      <c r="F71" s="1"/>
      <c r="G71" s="1"/>
      <c r="H71" s="1"/>
      <c r="I71" s="1">
        <v>0</v>
      </c>
      <c r="J71" s="1">
        <f t="shared" si="14"/>
        <v>0</v>
      </c>
      <c r="K71" s="19" t="str">
        <f t="shared" si="8"/>
        <v xml:space="preserve"> No Issue</v>
      </c>
      <c r="L71" s="1" t="str">
        <f t="shared" si="9"/>
        <v>No Issue</v>
      </c>
      <c r="M71" s="1" t="str">
        <f t="shared" si="10"/>
        <v>No Issue</v>
      </c>
      <c r="N71" s="1" t="str">
        <f t="shared" si="11"/>
        <v>No Issue</v>
      </c>
      <c r="O71" s="1" t="str">
        <f t="shared" si="12"/>
        <v>No Issue</v>
      </c>
      <c r="P71" s="1" t="str">
        <f t="shared" si="13"/>
        <v>NoIssue</v>
      </c>
    </row>
    <row r="72" spans="1:16" ht="22.5" customHeight="1">
      <c r="A72" s="20">
        <v>9</v>
      </c>
      <c r="B72" s="21" t="s">
        <v>29</v>
      </c>
      <c r="C72" s="26">
        <v>28.83</v>
      </c>
      <c r="D72" s="1"/>
      <c r="E72" s="1"/>
      <c r="F72" s="1"/>
      <c r="G72" s="1"/>
      <c r="H72" s="1"/>
      <c r="I72" s="1">
        <v>0</v>
      </c>
      <c r="J72" s="1">
        <f t="shared" si="14"/>
        <v>0</v>
      </c>
      <c r="K72" s="19" t="str">
        <f t="shared" si="8"/>
        <v xml:space="preserve"> No Issue</v>
      </c>
      <c r="L72" s="1" t="str">
        <f t="shared" si="9"/>
        <v>No Issue</v>
      </c>
      <c r="M72" s="1" t="str">
        <f t="shared" si="10"/>
        <v>No Issue</v>
      </c>
      <c r="N72" s="1" t="str">
        <f t="shared" si="11"/>
        <v>No Issue</v>
      </c>
      <c r="O72" s="1" t="str">
        <f t="shared" si="12"/>
        <v>No Issue</v>
      </c>
      <c r="P72" s="1" t="str">
        <f t="shared" si="13"/>
        <v>NoIssue</v>
      </c>
    </row>
    <row r="73" spans="1:16" ht="22.5" customHeight="1">
      <c r="A73" s="20">
        <v>10</v>
      </c>
      <c r="B73" s="21" t="s">
        <v>30</v>
      </c>
      <c r="C73" s="26">
        <v>8.51</v>
      </c>
      <c r="D73" s="1"/>
      <c r="E73" s="1"/>
      <c r="F73" s="1"/>
      <c r="G73" s="1"/>
      <c r="H73" s="1"/>
      <c r="I73" s="1">
        <v>0</v>
      </c>
      <c r="J73" s="1">
        <f t="shared" si="14"/>
        <v>0</v>
      </c>
      <c r="K73" s="19" t="str">
        <f t="shared" si="8"/>
        <v xml:space="preserve"> No Issue</v>
      </c>
      <c r="L73" s="1" t="str">
        <f t="shared" si="9"/>
        <v>No Issue</v>
      </c>
      <c r="M73" s="1" t="str">
        <f t="shared" si="10"/>
        <v>No Issue</v>
      </c>
      <c r="N73" s="1" t="str">
        <f t="shared" si="11"/>
        <v>No Issue</v>
      </c>
      <c r="O73" s="1" t="str">
        <f t="shared" si="12"/>
        <v>No Issue</v>
      </c>
      <c r="P73" s="1" t="str">
        <f t="shared" si="13"/>
        <v>NoIssue</v>
      </c>
    </row>
    <row r="74" spans="1:16" ht="22.5" customHeight="1">
      <c r="A74" s="20">
        <v>11</v>
      </c>
      <c r="B74" s="21" t="s">
        <v>31</v>
      </c>
      <c r="C74" s="26">
        <v>102.17</v>
      </c>
      <c r="D74" s="23">
        <v>30</v>
      </c>
      <c r="E74" s="1"/>
      <c r="F74" s="23"/>
      <c r="G74" s="1"/>
      <c r="H74" s="1"/>
      <c r="I74" s="1">
        <v>30</v>
      </c>
      <c r="J74" s="1">
        <f t="shared" si="14"/>
        <v>30</v>
      </c>
      <c r="K74" s="19" t="str">
        <f t="shared" si="8"/>
        <v xml:space="preserve"> No Issue</v>
      </c>
      <c r="L74" s="1" t="str">
        <f t="shared" si="9"/>
        <v>No Issue</v>
      </c>
      <c r="M74" s="1" t="str">
        <f t="shared" si="10"/>
        <v>No Issue</v>
      </c>
      <c r="N74" s="1" t="str">
        <f t="shared" si="11"/>
        <v>No Issue</v>
      </c>
      <c r="O74" s="1" t="str">
        <f t="shared" si="12"/>
        <v>No Issue</v>
      </c>
      <c r="P74" s="1" t="str">
        <f t="shared" si="13"/>
        <v>NoIssue</v>
      </c>
    </row>
    <row r="75" spans="1:16" ht="22.5" customHeight="1">
      <c r="A75" s="20">
        <v>12</v>
      </c>
      <c r="B75" s="21" t="s">
        <v>32</v>
      </c>
      <c r="C75" s="26">
        <v>59.93</v>
      </c>
      <c r="D75" s="1"/>
      <c r="E75" s="1"/>
      <c r="F75" s="1"/>
      <c r="G75" s="1"/>
      <c r="H75" s="1"/>
      <c r="I75" s="1">
        <v>0</v>
      </c>
      <c r="J75" s="1">
        <f t="shared" si="14"/>
        <v>0</v>
      </c>
      <c r="K75" s="19" t="str">
        <f t="shared" si="8"/>
        <v xml:space="preserve"> No Issue</v>
      </c>
      <c r="L75" s="1" t="str">
        <f t="shared" si="9"/>
        <v>No Issue</v>
      </c>
      <c r="M75" s="1" t="str">
        <f t="shared" si="10"/>
        <v>No Issue</v>
      </c>
      <c r="N75" s="1" t="str">
        <f t="shared" si="11"/>
        <v>No Issue</v>
      </c>
      <c r="O75" s="1" t="str">
        <f t="shared" si="12"/>
        <v>No Issue</v>
      </c>
      <c r="P75" s="1" t="str">
        <f t="shared" si="13"/>
        <v>NoIssue</v>
      </c>
    </row>
    <row r="76" spans="1:16" ht="22.5" customHeight="1">
      <c r="A76" s="20">
        <v>13</v>
      </c>
      <c r="B76" s="21" t="s">
        <v>33</v>
      </c>
      <c r="C76" s="26">
        <v>118</v>
      </c>
      <c r="D76" s="1"/>
      <c r="E76" s="1"/>
      <c r="F76" s="1"/>
      <c r="G76" s="1"/>
      <c r="H76" s="1"/>
      <c r="I76" s="1">
        <v>0</v>
      </c>
      <c r="J76" s="1">
        <f t="shared" si="14"/>
        <v>0</v>
      </c>
      <c r="K76" s="19" t="str">
        <f t="shared" si="8"/>
        <v xml:space="preserve"> No Issue</v>
      </c>
      <c r="L76" s="1" t="str">
        <f t="shared" si="9"/>
        <v>No Issue</v>
      </c>
      <c r="M76" s="1" t="str">
        <f t="shared" si="10"/>
        <v>No Issue</v>
      </c>
      <c r="N76" s="1" t="str">
        <f t="shared" si="11"/>
        <v>No Issue</v>
      </c>
      <c r="O76" s="1" t="str">
        <f t="shared" si="12"/>
        <v>No Issue</v>
      </c>
      <c r="P76" s="1" t="str">
        <f t="shared" si="13"/>
        <v>NoIssue</v>
      </c>
    </row>
    <row r="77" spans="1:16" ht="22.5" customHeight="1">
      <c r="A77" s="20">
        <v>14</v>
      </c>
      <c r="B77" s="21" t="s">
        <v>34</v>
      </c>
      <c r="C77" s="26">
        <v>52.83</v>
      </c>
      <c r="D77" s="1"/>
      <c r="E77" s="1"/>
      <c r="F77" s="1"/>
      <c r="G77" s="1"/>
      <c r="H77" s="1"/>
      <c r="I77" s="1">
        <v>0</v>
      </c>
      <c r="J77" s="1">
        <f t="shared" si="14"/>
        <v>0</v>
      </c>
      <c r="K77" s="19" t="str">
        <f t="shared" si="8"/>
        <v xml:space="preserve"> No Issue</v>
      </c>
      <c r="L77" s="1" t="str">
        <f t="shared" si="9"/>
        <v>No Issue</v>
      </c>
      <c r="M77" s="1" t="str">
        <f t="shared" si="10"/>
        <v>No Issue</v>
      </c>
      <c r="N77" s="1" t="str">
        <f t="shared" si="11"/>
        <v>No Issue</v>
      </c>
      <c r="O77" s="1" t="str">
        <f t="shared" si="12"/>
        <v>No Issue</v>
      </c>
      <c r="P77" s="1" t="str">
        <f t="shared" si="13"/>
        <v>NoIssue</v>
      </c>
    </row>
    <row r="78" spans="1:16" ht="22.5" customHeight="1">
      <c r="A78" s="20">
        <v>15</v>
      </c>
      <c r="B78" s="21" t="s">
        <v>35</v>
      </c>
      <c r="C78" s="26">
        <v>93.2</v>
      </c>
      <c r="D78" s="23">
        <v>106</v>
      </c>
      <c r="E78" s="1"/>
      <c r="F78" s="23"/>
      <c r="G78" s="1"/>
      <c r="H78" s="1"/>
      <c r="I78" s="1">
        <v>106</v>
      </c>
      <c r="J78" s="1">
        <f t="shared" si="14"/>
        <v>106</v>
      </c>
      <c r="K78" s="19" t="str">
        <f t="shared" si="8"/>
        <v xml:space="preserve"> No Issue</v>
      </c>
      <c r="L78" s="1" t="str">
        <f t="shared" si="9"/>
        <v>No Issue</v>
      </c>
      <c r="M78" s="1" t="str">
        <f t="shared" si="10"/>
        <v>No Issue</v>
      </c>
      <c r="N78" s="1" t="str">
        <f t="shared" si="11"/>
        <v>No Issue</v>
      </c>
      <c r="O78" s="1" t="str">
        <f t="shared" si="12"/>
        <v>No Issue</v>
      </c>
      <c r="P78" s="1" t="str">
        <f t="shared" si="13"/>
        <v>NoIssue</v>
      </c>
    </row>
    <row r="79" spans="1:16" ht="22.5" customHeight="1">
      <c r="A79" s="20">
        <v>16</v>
      </c>
      <c r="B79" s="21" t="s">
        <v>36</v>
      </c>
      <c r="C79" s="26">
        <v>61.02</v>
      </c>
      <c r="D79" s="1"/>
      <c r="E79" s="1"/>
      <c r="F79" s="1"/>
      <c r="G79" s="1"/>
      <c r="H79" s="1"/>
      <c r="I79" s="1">
        <v>0</v>
      </c>
      <c r="J79" s="1">
        <f t="shared" si="14"/>
        <v>0</v>
      </c>
      <c r="K79" s="19" t="str">
        <f t="shared" si="8"/>
        <v xml:space="preserve"> No Issue</v>
      </c>
      <c r="L79" s="1" t="str">
        <f t="shared" si="9"/>
        <v>No Issue</v>
      </c>
      <c r="M79" s="1" t="str">
        <f t="shared" si="10"/>
        <v>No Issue</v>
      </c>
      <c r="N79" s="1" t="str">
        <f t="shared" si="11"/>
        <v>No Issue</v>
      </c>
      <c r="O79" s="1" t="str">
        <f t="shared" si="12"/>
        <v>No Issue</v>
      </c>
      <c r="P79" s="1" t="str">
        <f t="shared" si="13"/>
        <v>NoIssue</v>
      </c>
    </row>
    <row r="80" spans="1:16" ht="22.5" customHeight="1">
      <c r="A80" s="20">
        <v>17</v>
      </c>
      <c r="B80" s="21" t="s">
        <v>37</v>
      </c>
      <c r="C80" s="26">
        <v>36.619999999999997</v>
      </c>
      <c r="D80" s="1"/>
      <c r="E80" s="1"/>
      <c r="F80" s="1"/>
      <c r="G80" s="1"/>
      <c r="H80" s="1"/>
      <c r="I80" s="1">
        <v>0</v>
      </c>
      <c r="J80" s="1">
        <f t="shared" si="14"/>
        <v>0</v>
      </c>
      <c r="K80" s="19" t="str">
        <f t="shared" si="8"/>
        <v xml:space="preserve"> No Issue</v>
      </c>
      <c r="L80" s="1" t="str">
        <f t="shared" si="9"/>
        <v>No Issue</v>
      </c>
      <c r="M80" s="1" t="str">
        <f t="shared" si="10"/>
        <v>No Issue</v>
      </c>
      <c r="N80" s="1" t="str">
        <f t="shared" si="11"/>
        <v>No Issue</v>
      </c>
      <c r="O80" s="1" t="str">
        <f t="shared" si="12"/>
        <v>No Issue</v>
      </c>
      <c r="P80" s="1" t="str">
        <f t="shared" si="13"/>
        <v>NoIssue</v>
      </c>
    </row>
    <row r="81" spans="1:16" ht="22.5" customHeight="1">
      <c r="A81" s="20">
        <v>18</v>
      </c>
      <c r="B81" s="21" t="s">
        <v>38</v>
      </c>
      <c r="C81" s="26">
        <v>80.36</v>
      </c>
      <c r="D81" s="23">
        <v>41</v>
      </c>
      <c r="E81" s="1"/>
      <c r="F81" s="1"/>
      <c r="G81" s="1"/>
      <c r="H81" s="1"/>
      <c r="I81" s="1">
        <v>41</v>
      </c>
      <c r="J81" s="1">
        <f t="shared" si="14"/>
        <v>41</v>
      </c>
      <c r="K81" s="19" t="str">
        <f t="shared" si="8"/>
        <v xml:space="preserve"> No Issue</v>
      </c>
      <c r="L81" s="1" t="str">
        <f t="shared" si="9"/>
        <v>No Issue</v>
      </c>
      <c r="M81" s="1" t="str">
        <f t="shared" si="10"/>
        <v>No Issue</v>
      </c>
      <c r="N81" s="1" t="str">
        <f t="shared" si="11"/>
        <v>No Issue</v>
      </c>
      <c r="O81" s="1" t="str">
        <f t="shared" si="12"/>
        <v>No Issue</v>
      </c>
      <c r="P81" s="1" t="str">
        <f t="shared" si="13"/>
        <v>NoIssue</v>
      </c>
    </row>
    <row r="82" spans="1:16" ht="22.5" customHeight="1">
      <c r="A82" s="20">
        <v>19</v>
      </c>
      <c r="B82" s="21" t="s">
        <v>39</v>
      </c>
      <c r="C82" s="26">
        <v>160.56</v>
      </c>
      <c r="D82" s="1"/>
      <c r="E82" s="1"/>
      <c r="F82" s="1"/>
      <c r="G82" s="1"/>
      <c r="H82" s="1"/>
      <c r="I82" s="1">
        <v>0</v>
      </c>
      <c r="J82" s="1">
        <f t="shared" si="14"/>
        <v>0</v>
      </c>
      <c r="K82" s="19" t="str">
        <f t="shared" si="8"/>
        <v xml:space="preserve"> No Issue</v>
      </c>
      <c r="L82" s="1" t="str">
        <f t="shared" si="9"/>
        <v>No Issue</v>
      </c>
      <c r="M82" s="1" t="str">
        <f t="shared" si="10"/>
        <v>No Issue</v>
      </c>
      <c r="N82" s="1" t="str">
        <f t="shared" si="11"/>
        <v>No Issue</v>
      </c>
      <c r="O82" s="1" t="str">
        <f t="shared" si="12"/>
        <v>No Issue</v>
      </c>
      <c r="P82" s="1" t="str">
        <f t="shared" si="13"/>
        <v>NoIssue</v>
      </c>
    </row>
    <row r="83" spans="1:16" ht="22.5" customHeight="1">
      <c r="A83" s="20">
        <v>20</v>
      </c>
      <c r="B83" s="21" t="s">
        <v>40</v>
      </c>
      <c r="C83" s="26">
        <v>186.44</v>
      </c>
      <c r="D83" s="1"/>
      <c r="E83" s="1"/>
      <c r="F83" s="1"/>
      <c r="G83" s="1"/>
      <c r="H83" s="1"/>
      <c r="I83" s="1">
        <v>0</v>
      </c>
      <c r="J83" s="1">
        <f t="shared" si="14"/>
        <v>0</v>
      </c>
      <c r="K83" s="19" t="str">
        <f t="shared" si="8"/>
        <v xml:space="preserve"> No Issue</v>
      </c>
      <c r="L83" s="1" t="str">
        <f t="shared" si="9"/>
        <v>No Issue</v>
      </c>
      <c r="M83" s="1" t="str">
        <f t="shared" si="10"/>
        <v>No Issue</v>
      </c>
      <c r="N83" s="1" t="str">
        <f t="shared" si="11"/>
        <v>No Issue</v>
      </c>
      <c r="O83" s="1" t="str">
        <f t="shared" si="12"/>
        <v>No Issue</v>
      </c>
      <c r="P83" s="1" t="str">
        <f t="shared" si="13"/>
        <v>NoIssue</v>
      </c>
    </row>
    <row r="84" spans="1:16" ht="22.5" customHeight="1">
      <c r="A84" s="20">
        <v>21</v>
      </c>
      <c r="B84" s="21" t="s">
        <v>41</v>
      </c>
      <c r="C84" s="26">
        <v>92.59</v>
      </c>
      <c r="D84" s="23">
        <v>41</v>
      </c>
      <c r="E84" s="1"/>
      <c r="F84" s="23">
        <v>24</v>
      </c>
      <c r="G84" s="1"/>
      <c r="H84" s="1"/>
      <c r="I84" s="1">
        <v>17</v>
      </c>
      <c r="J84" s="1">
        <f t="shared" si="14"/>
        <v>17</v>
      </c>
      <c r="K84" s="19" t="str">
        <f t="shared" si="8"/>
        <v xml:space="preserve"> No Issue</v>
      </c>
      <c r="L84" s="1" t="str">
        <f t="shared" si="9"/>
        <v>No Issue</v>
      </c>
      <c r="M84" s="1" t="str">
        <f t="shared" si="10"/>
        <v>No Issue</v>
      </c>
      <c r="N84" s="1" t="str">
        <f t="shared" si="11"/>
        <v>No Issue</v>
      </c>
      <c r="O84" s="1" t="str">
        <f t="shared" si="12"/>
        <v>No Issue</v>
      </c>
      <c r="P84" s="1" t="str">
        <f t="shared" si="13"/>
        <v>NoIssue</v>
      </c>
    </row>
    <row r="85" spans="1:16" ht="22.5" customHeight="1">
      <c r="A85" s="20">
        <v>22</v>
      </c>
      <c r="B85" s="21" t="s">
        <v>42</v>
      </c>
      <c r="C85" s="26">
        <v>95.17</v>
      </c>
      <c r="D85" s="1"/>
      <c r="E85" s="1"/>
      <c r="F85" s="1"/>
      <c r="G85" s="1"/>
      <c r="H85" s="1"/>
      <c r="I85" s="1">
        <v>0</v>
      </c>
      <c r="J85" s="1">
        <f t="shared" si="14"/>
        <v>0</v>
      </c>
      <c r="K85" s="19" t="str">
        <f t="shared" si="8"/>
        <v xml:space="preserve"> No Issue</v>
      </c>
      <c r="L85" s="1" t="str">
        <f t="shared" si="9"/>
        <v>No Issue</v>
      </c>
      <c r="M85" s="1" t="str">
        <f t="shared" si="10"/>
        <v>No Issue</v>
      </c>
      <c r="N85" s="1" t="str">
        <f t="shared" si="11"/>
        <v>No Issue</v>
      </c>
      <c r="O85" s="1" t="str">
        <f t="shared" si="12"/>
        <v>No Issue</v>
      </c>
      <c r="P85" s="1" t="str">
        <f t="shared" si="13"/>
        <v>NoIssue</v>
      </c>
    </row>
    <row r="86" spans="1:16" ht="22.5" customHeight="1">
      <c r="A86" s="20">
        <v>23</v>
      </c>
      <c r="B86" s="21" t="s">
        <v>43</v>
      </c>
      <c r="C86" s="26">
        <v>92.94</v>
      </c>
      <c r="D86" s="1"/>
      <c r="E86" s="1"/>
      <c r="F86" s="1"/>
      <c r="G86" s="1"/>
      <c r="H86" s="1"/>
      <c r="I86" s="1">
        <v>0</v>
      </c>
      <c r="J86" s="1">
        <f t="shared" si="14"/>
        <v>0</v>
      </c>
      <c r="K86" s="19" t="str">
        <f t="shared" si="8"/>
        <v xml:space="preserve"> No Issue</v>
      </c>
      <c r="L86" s="1" t="str">
        <f t="shared" si="9"/>
        <v>No Issue</v>
      </c>
      <c r="M86" s="1" t="str">
        <f t="shared" si="10"/>
        <v>No Issue</v>
      </c>
      <c r="N86" s="1" t="str">
        <f t="shared" si="11"/>
        <v>No Issue</v>
      </c>
      <c r="O86" s="1" t="str">
        <f t="shared" si="12"/>
        <v>No Issue</v>
      </c>
      <c r="P86" s="1" t="str">
        <f t="shared" si="13"/>
        <v>NoIssue</v>
      </c>
    </row>
    <row r="87" spans="1:16" ht="22.5" customHeight="1">
      <c r="A87" s="20">
        <v>24</v>
      </c>
      <c r="B87" s="21" t="s">
        <v>44</v>
      </c>
      <c r="C87" s="26">
        <v>101.82</v>
      </c>
      <c r="D87" s="1"/>
      <c r="E87" s="1"/>
      <c r="F87" s="1"/>
      <c r="G87" s="1"/>
      <c r="H87" s="1"/>
      <c r="I87" s="1">
        <v>0</v>
      </c>
      <c r="J87" s="1">
        <f t="shared" si="14"/>
        <v>0</v>
      </c>
      <c r="K87" s="19" t="str">
        <f t="shared" si="8"/>
        <v xml:space="preserve"> No Issue</v>
      </c>
      <c r="L87" s="1" t="str">
        <f t="shared" si="9"/>
        <v>No Issue</v>
      </c>
      <c r="M87" s="1" t="str">
        <f t="shared" si="10"/>
        <v>No Issue</v>
      </c>
      <c r="N87" s="1" t="str">
        <f t="shared" si="11"/>
        <v>No Issue</v>
      </c>
      <c r="O87" s="1" t="str">
        <f t="shared" si="12"/>
        <v>No Issue</v>
      </c>
      <c r="P87" s="1" t="str">
        <f t="shared" si="13"/>
        <v>NoIssue</v>
      </c>
    </row>
    <row r="88" spans="1:16" ht="22.5" customHeight="1">
      <c r="A88" s="20">
        <v>25</v>
      </c>
      <c r="B88" s="21" t="s">
        <v>45</v>
      </c>
      <c r="C88" s="26">
        <v>53.49</v>
      </c>
      <c r="D88" s="1"/>
      <c r="E88" s="1"/>
      <c r="F88" s="1"/>
      <c r="G88" s="1"/>
      <c r="H88" s="1"/>
      <c r="I88" s="1">
        <v>0</v>
      </c>
      <c r="J88" s="1">
        <f t="shared" si="14"/>
        <v>0</v>
      </c>
      <c r="K88" s="19" t="str">
        <f t="shared" si="8"/>
        <v xml:space="preserve"> No Issue</v>
      </c>
      <c r="L88" s="1" t="str">
        <f t="shared" si="9"/>
        <v>No Issue</v>
      </c>
      <c r="M88" s="1" t="str">
        <f t="shared" si="10"/>
        <v>No Issue</v>
      </c>
      <c r="N88" s="1" t="str">
        <f t="shared" si="11"/>
        <v>No Issue</v>
      </c>
      <c r="O88" s="1" t="str">
        <f t="shared" si="12"/>
        <v>No Issue</v>
      </c>
      <c r="P88" s="1" t="str">
        <f t="shared" si="13"/>
        <v>NoIssue</v>
      </c>
    </row>
    <row r="89" spans="1:16" ht="22.5" customHeight="1">
      <c r="A89" s="20">
        <v>26</v>
      </c>
      <c r="B89" s="21" t="s">
        <v>46</v>
      </c>
      <c r="C89" s="26">
        <v>32.92</v>
      </c>
      <c r="D89" s="1"/>
      <c r="E89" s="1"/>
      <c r="F89" s="1"/>
      <c r="G89" s="1"/>
      <c r="H89" s="1"/>
      <c r="I89" s="1">
        <v>0</v>
      </c>
      <c r="J89" s="1">
        <f t="shared" si="14"/>
        <v>0</v>
      </c>
      <c r="K89" s="19" t="str">
        <f t="shared" si="8"/>
        <v xml:space="preserve"> No Issue</v>
      </c>
      <c r="L89" s="1" t="str">
        <f t="shared" si="9"/>
        <v>No Issue</v>
      </c>
      <c r="M89" s="1" t="str">
        <f t="shared" si="10"/>
        <v>No Issue</v>
      </c>
      <c r="N89" s="1" t="str">
        <f t="shared" si="11"/>
        <v>No Issue</v>
      </c>
      <c r="O89" s="1" t="str">
        <f t="shared" si="12"/>
        <v>No Issue</v>
      </c>
      <c r="P89" s="1" t="str">
        <f t="shared" si="13"/>
        <v>NoIssue</v>
      </c>
    </row>
    <row r="90" spans="1:16" ht="22.5" customHeight="1">
      <c r="A90" s="20">
        <v>27</v>
      </c>
      <c r="B90" s="21" t="s">
        <v>47</v>
      </c>
      <c r="C90" s="26">
        <v>116.68</v>
      </c>
      <c r="D90" s="1"/>
      <c r="E90" s="1"/>
      <c r="F90" s="1"/>
      <c r="G90" s="1"/>
      <c r="H90" s="1"/>
      <c r="I90" s="1">
        <v>0</v>
      </c>
      <c r="J90" s="1">
        <f t="shared" si="14"/>
        <v>0</v>
      </c>
      <c r="K90" s="19" t="str">
        <f t="shared" si="8"/>
        <v xml:space="preserve"> No Issue</v>
      </c>
      <c r="L90" s="1" t="str">
        <f t="shared" si="9"/>
        <v>No Issue</v>
      </c>
      <c r="M90" s="1" t="str">
        <f t="shared" si="10"/>
        <v>No Issue</v>
      </c>
      <c r="N90" s="1" t="str">
        <f t="shared" si="11"/>
        <v>No Issue</v>
      </c>
      <c r="O90" s="1" t="str">
        <f t="shared" si="12"/>
        <v>No Issue</v>
      </c>
      <c r="P90" s="1" t="str">
        <f t="shared" si="13"/>
        <v>NoIssue</v>
      </c>
    </row>
    <row r="91" spans="1:16" ht="22.5" customHeight="1">
      <c r="A91" s="20">
        <v>28</v>
      </c>
      <c r="B91" s="21" t="s">
        <v>48</v>
      </c>
      <c r="C91" s="26">
        <v>107.96</v>
      </c>
      <c r="D91" s="1"/>
      <c r="E91" s="1"/>
      <c r="F91" s="1"/>
      <c r="G91" s="1"/>
      <c r="H91" s="1"/>
      <c r="I91" s="1">
        <v>0</v>
      </c>
      <c r="J91" s="1">
        <f t="shared" si="14"/>
        <v>0</v>
      </c>
      <c r="K91" s="19" t="str">
        <f t="shared" si="8"/>
        <v xml:space="preserve"> No Issue</v>
      </c>
      <c r="L91" s="1" t="str">
        <f t="shared" si="9"/>
        <v>No Issue</v>
      </c>
      <c r="M91" s="1" t="str">
        <f t="shared" si="10"/>
        <v>No Issue</v>
      </c>
      <c r="N91" s="1" t="str">
        <f t="shared" si="11"/>
        <v>No Issue</v>
      </c>
      <c r="O91" s="1" t="str">
        <f t="shared" si="12"/>
        <v>No Issue</v>
      </c>
      <c r="P91" s="1" t="str">
        <f t="shared" si="13"/>
        <v>NoIssue</v>
      </c>
    </row>
    <row r="92" spans="1:16" ht="22.5" customHeight="1">
      <c r="A92" s="20">
        <v>29</v>
      </c>
      <c r="B92" s="21" t="s">
        <v>49</v>
      </c>
      <c r="C92" s="26">
        <v>248.89</v>
      </c>
      <c r="D92" s="1"/>
      <c r="E92" s="1"/>
      <c r="F92" s="1"/>
      <c r="G92" s="1"/>
      <c r="H92" s="1"/>
      <c r="I92" s="1">
        <v>0</v>
      </c>
      <c r="J92" s="1">
        <f t="shared" si="14"/>
        <v>0</v>
      </c>
      <c r="K92" s="19" t="str">
        <f t="shared" si="8"/>
        <v xml:space="preserve"> No Issue</v>
      </c>
      <c r="L92" s="1" t="str">
        <f t="shared" si="9"/>
        <v>No Issue</v>
      </c>
      <c r="M92" s="1" t="str">
        <f t="shared" si="10"/>
        <v>No Issue</v>
      </c>
      <c r="N92" s="1" t="str">
        <f t="shared" si="11"/>
        <v>No Issue</v>
      </c>
      <c r="O92" s="1" t="str">
        <f t="shared" si="12"/>
        <v>No Issue</v>
      </c>
      <c r="P92" s="1" t="str">
        <f t="shared" si="13"/>
        <v>NoIssue</v>
      </c>
    </row>
    <row r="93" spans="1:16" ht="22.5" customHeight="1">
      <c r="A93" s="20">
        <v>30</v>
      </c>
      <c r="B93" s="21" t="s">
        <v>50</v>
      </c>
      <c r="C93" s="26">
        <v>80.36</v>
      </c>
      <c r="D93" s="23">
        <v>39</v>
      </c>
      <c r="E93" s="1"/>
      <c r="F93" s="19"/>
      <c r="G93" s="19"/>
      <c r="H93" s="19"/>
      <c r="I93" s="1">
        <v>39</v>
      </c>
      <c r="J93" s="1">
        <f t="shared" si="14"/>
        <v>39</v>
      </c>
      <c r="K93" s="19" t="str">
        <f t="shared" si="8"/>
        <v xml:space="preserve"> No Issue</v>
      </c>
      <c r="L93" s="1" t="str">
        <f t="shared" si="9"/>
        <v>No Issue</v>
      </c>
      <c r="M93" s="1" t="str">
        <f t="shared" si="10"/>
        <v>No Issue</v>
      </c>
      <c r="N93" s="1" t="str">
        <f t="shared" si="11"/>
        <v>No Issue</v>
      </c>
      <c r="O93" s="1" t="str">
        <f t="shared" si="12"/>
        <v>No Issue</v>
      </c>
      <c r="P93" s="1" t="str">
        <f t="shared" si="13"/>
        <v>NoIssue</v>
      </c>
    </row>
    <row r="94" spans="1:16" ht="22.5" customHeight="1">
      <c r="A94" s="20">
        <v>31</v>
      </c>
      <c r="B94" s="21" t="s">
        <v>51</v>
      </c>
      <c r="C94" s="26">
        <v>52.46</v>
      </c>
      <c r="D94" s="23">
        <v>35</v>
      </c>
      <c r="E94" s="1"/>
      <c r="F94" s="19"/>
      <c r="G94" s="19"/>
      <c r="H94" s="19"/>
      <c r="I94" s="1">
        <v>35</v>
      </c>
      <c r="J94" s="1">
        <f t="shared" si="14"/>
        <v>35</v>
      </c>
      <c r="K94" s="19" t="str">
        <f t="shared" si="8"/>
        <v xml:space="preserve"> No Issue</v>
      </c>
      <c r="L94" s="1" t="str">
        <f t="shared" si="9"/>
        <v>No Issue</v>
      </c>
      <c r="M94" s="1" t="str">
        <f t="shared" si="10"/>
        <v>No Issue</v>
      </c>
      <c r="N94" s="1" t="str">
        <f t="shared" si="11"/>
        <v>No Issue</v>
      </c>
      <c r="O94" s="1" t="str">
        <f t="shared" si="12"/>
        <v>No Issue</v>
      </c>
      <c r="P94" s="1" t="str">
        <f t="shared" si="13"/>
        <v>NoIssue</v>
      </c>
    </row>
    <row r="95" spans="1:16" ht="22.5" customHeight="1">
      <c r="A95" s="20">
        <v>32</v>
      </c>
      <c r="B95" s="21" t="s">
        <v>52</v>
      </c>
      <c r="C95" s="26">
        <v>71.209999999999994</v>
      </c>
      <c r="D95" s="23">
        <v>10</v>
      </c>
      <c r="E95" s="1"/>
      <c r="F95" s="19"/>
      <c r="G95" s="19"/>
      <c r="H95" s="19"/>
      <c r="I95" s="1">
        <v>10</v>
      </c>
      <c r="J95" s="1">
        <f t="shared" si="14"/>
        <v>10</v>
      </c>
      <c r="K95" s="19" t="str">
        <f t="shared" si="8"/>
        <v xml:space="preserve"> No Issue</v>
      </c>
      <c r="L95" s="1" t="str">
        <f t="shared" si="9"/>
        <v>No Issue</v>
      </c>
      <c r="M95" s="1" t="str">
        <f t="shared" si="10"/>
        <v>No Issue</v>
      </c>
      <c r="N95" s="1" t="str">
        <f t="shared" si="11"/>
        <v>No Issue</v>
      </c>
      <c r="O95" s="1" t="str">
        <f t="shared" si="12"/>
        <v>No Issue</v>
      </c>
      <c r="P95" s="1" t="str">
        <f t="shared" si="13"/>
        <v>NoIssue</v>
      </c>
    </row>
    <row r="96" spans="1:16" ht="22.5" customHeight="1">
      <c r="A96" s="20">
        <v>33</v>
      </c>
      <c r="B96" s="21" t="s">
        <v>53</v>
      </c>
      <c r="C96" s="26">
        <v>80.349999999999994</v>
      </c>
      <c r="D96" s="1"/>
      <c r="E96" s="1"/>
      <c r="F96" s="19"/>
      <c r="G96" s="19"/>
      <c r="H96" s="19"/>
      <c r="I96" s="1">
        <v>0</v>
      </c>
      <c r="J96" s="1">
        <f t="shared" si="14"/>
        <v>0</v>
      </c>
      <c r="K96" s="19" t="str">
        <f t="shared" si="8"/>
        <v xml:space="preserve"> No Issue</v>
      </c>
      <c r="L96" s="1" t="str">
        <f t="shared" si="9"/>
        <v>No Issue</v>
      </c>
      <c r="M96" s="1" t="str">
        <f t="shared" si="10"/>
        <v>No Issue</v>
      </c>
      <c r="N96" s="1" t="str">
        <f t="shared" si="11"/>
        <v>No Issue</v>
      </c>
      <c r="O96" s="1" t="str">
        <f t="shared" si="12"/>
        <v>No Issue</v>
      </c>
      <c r="P96" s="1" t="str">
        <f t="shared" si="13"/>
        <v>NoIssue</v>
      </c>
    </row>
    <row r="97" spans="1:16" ht="22.5" customHeight="1">
      <c r="A97" s="20">
        <v>34</v>
      </c>
      <c r="B97" s="21" t="s">
        <v>54</v>
      </c>
      <c r="C97" s="26">
        <v>64.180000000000007</v>
      </c>
      <c r="D97" s="23">
        <v>167</v>
      </c>
      <c r="E97" s="1"/>
      <c r="F97" s="28">
        <v>25</v>
      </c>
      <c r="G97" s="19"/>
      <c r="H97" s="19"/>
      <c r="I97" s="1">
        <v>142</v>
      </c>
      <c r="J97" s="1">
        <f t="shared" si="14"/>
        <v>142</v>
      </c>
      <c r="K97" s="19" t="str">
        <f t="shared" si="8"/>
        <v xml:space="preserve"> No Issue</v>
      </c>
      <c r="L97" s="1" t="str">
        <f t="shared" si="9"/>
        <v>No Issue</v>
      </c>
      <c r="M97" s="1" t="str">
        <f t="shared" si="10"/>
        <v>No Issue</v>
      </c>
      <c r="N97" s="1" t="str">
        <f t="shared" si="11"/>
        <v>No Issue</v>
      </c>
      <c r="O97" s="1" t="str">
        <f t="shared" si="12"/>
        <v>No Issue</v>
      </c>
      <c r="P97" s="1" t="str">
        <f t="shared" si="13"/>
        <v>NoIssue</v>
      </c>
    </row>
    <row r="98" spans="1:16" ht="22.5" customHeight="1">
      <c r="A98" s="20">
        <v>35</v>
      </c>
      <c r="B98" s="21" t="s">
        <v>55</v>
      </c>
      <c r="C98" s="26">
        <v>36.9</v>
      </c>
      <c r="D98" s="1"/>
      <c r="E98" s="1"/>
      <c r="F98" s="19"/>
      <c r="G98" s="19"/>
      <c r="H98" s="19"/>
      <c r="I98" s="1">
        <v>0</v>
      </c>
      <c r="J98" s="1">
        <f t="shared" si="14"/>
        <v>0</v>
      </c>
      <c r="K98" s="19" t="str">
        <f t="shared" si="8"/>
        <v xml:space="preserve"> No Issue</v>
      </c>
      <c r="L98" s="1" t="str">
        <f t="shared" si="9"/>
        <v>No Issue</v>
      </c>
      <c r="M98" s="1" t="str">
        <f t="shared" si="10"/>
        <v>No Issue</v>
      </c>
      <c r="N98" s="1" t="str">
        <f t="shared" si="11"/>
        <v>No Issue</v>
      </c>
      <c r="O98" s="1" t="str">
        <f t="shared" si="12"/>
        <v>No Issue</v>
      </c>
      <c r="P98" s="1" t="str">
        <f t="shared" si="13"/>
        <v>NoIssue</v>
      </c>
    </row>
    <row r="99" spans="1:16" ht="22.5" customHeight="1">
      <c r="A99" s="20">
        <v>36</v>
      </c>
      <c r="B99" s="21" t="s">
        <v>56</v>
      </c>
      <c r="C99" s="26">
        <v>101.54</v>
      </c>
      <c r="D99" s="1"/>
      <c r="E99" s="1"/>
      <c r="F99" s="19"/>
      <c r="G99" s="19"/>
      <c r="H99" s="19"/>
      <c r="I99" s="1">
        <v>0</v>
      </c>
      <c r="J99" s="1">
        <f t="shared" si="14"/>
        <v>0</v>
      </c>
      <c r="K99" s="19" t="str">
        <f t="shared" si="8"/>
        <v xml:space="preserve"> No Issue</v>
      </c>
      <c r="L99" s="1" t="str">
        <f t="shared" si="9"/>
        <v>No Issue</v>
      </c>
      <c r="M99" s="1" t="str">
        <f t="shared" si="10"/>
        <v>No Issue</v>
      </c>
      <c r="N99" s="1" t="str">
        <f t="shared" si="11"/>
        <v>No Issue</v>
      </c>
      <c r="O99" s="1" t="str">
        <f t="shared" si="12"/>
        <v>No Issue</v>
      </c>
      <c r="P99" s="1" t="str">
        <f t="shared" si="13"/>
        <v>NoIssue</v>
      </c>
    </row>
    <row r="100" spans="1:16" ht="22.5" customHeight="1">
      <c r="A100" s="20">
        <v>37</v>
      </c>
      <c r="B100" s="21" t="s">
        <v>57</v>
      </c>
      <c r="C100" s="26">
        <v>40.5</v>
      </c>
      <c r="D100" s="1"/>
      <c r="E100" s="1"/>
      <c r="F100" s="19"/>
      <c r="G100" s="19"/>
      <c r="H100" s="19"/>
      <c r="I100" s="1">
        <v>0</v>
      </c>
      <c r="J100" s="1">
        <f t="shared" si="14"/>
        <v>0</v>
      </c>
      <c r="K100" s="19" t="str">
        <f t="shared" si="8"/>
        <v xml:space="preserve"> No Issue</v>
      </c>
      <c r="L100" s="1" t="str">
        <f t="shared" si="9"/>
        <v>No Issue</v>
      </c>
      <c r="M100" s="1" t="str">
        <f t="shared" si="10"/>
        <v>No Issue</v>
      </c>
      <c r="N100" s="1" t="str">
        <f t="shared" si="11"/>
        <v>No Issue</v>
      </c>
      <c r="O100" s="1" t="str">
        <f t="shared" si="12"/>
        <v>No Issue</v>
      </c>
      <c r="P100" s="1" t="str">
        <f t="shared" si="13"/>
        <v>NoIssue</v>
      </c>
    </row>
    <row r="101" spans="1:16" ht="22.5" customHeight="1">
      <c r="A101" s="20">
        <v>38</v>
      </c>
      <c r="B101" s="21" t="s">
        <v>58</v>
      </c>
      <c r="C101" s="26">
        <v>66.69</v>
      </c>
      <c r="D101" s="23">
        <v>55</v>
      </c>
      <c r="E101" s="1"/>
      <c r="F101" s="28">
        <v>20</v>
      </c>
      <c r="G101" s="19"/>
      <c r="H101" s="19"/>
      <c r="I101" s="1">
        <v>35</v>
      </c>
      <c r="J101" s="1">
        <f t="shared" si="14"/>
        <v>35</v>
      </c>
      <c r="K101" s="19" t="str">
        <f t="shared" si="8"/>
        <v xml:space="preserve"> No Issue</v>
      </c>
      <c r="L101" s="1" t="str">
        <f t="shared" si="9"/>
        <v>No Issue</v>
      </c>
      <c r="M101" s="1" t="str">
        <f t="shared" si="10"/>
        <v>No Issue</v>
      </c>
      <c r="N101" s="1" t="str">
        <f t="shared" si="11"/>
        <v>No Issue</v>
      </c>
      <c r="O101" s="1" t="str">
        <f t="shared" si="12"/>
        <v>No Issue</v>
      </c>
      <c r="P101" s="1" t="str">
        <f t="shared" si="13"/>
        <v>NoIssue</v>
      </c>
    </row>
    <row r="102" spans="1:16" ht="22.5" customHeight="1">
      <c r="A102" s="20">
        <v>39</v>
      </c>
      <c r="B102" s="21" t="s">
        <v>59</v>
      </c>
      <c r="C102" s="21">
        <v>150.85999999999999</v>
      </c>
      <c r="D102" s="1"/>
      <c r="E102" s="1"/>
      <c r="F102" s="19"/>
      <c r="G102" s="19"/>
      <c r="H102" s="19"/>
      <c r="I102" s="1">
        <v>0</v>
      </c>
      <c r="J102" s="1">
        <f t="shared" si="14"/>
        <v>0</v>
      </c>
      <c r="K102" s="19" t="str">
        <f t="shared" si="8"/>
        <v xml:space="preserve"> No Issue</v>
      </c>
      <c r="L102" s="1" t="str">
        <f t="shared" si="9"/>
        <v>No Issue</v>
      </c>
      <c r="M102" s="1" t="str">
        <f t="shared" si="10"/>
        <v>No Issue</v>
      </c>
      <c r="N102" s="1" t="str">
        <f t="shared" si="11"/>
        <v>No Issue</v>
      </c>
      <c r="O102" s="1" t="str">
        <f t="shared" si="12"/>
        <v>No Issue</v>
      </c>
      <c r="P102" s="1" t="str">
        <f t="shared" si="13"/>
        <v>NoIssue</v>
      </c>
    </row>
    <row r="103" spans="1:16" ht="22.5" customHeight="1">
      <c r="A103" s="20">
        <v>40</v>
      </c>
      <c r="B103" s="29" t="s">
        <v>60</v>
      </c>
      <c r="C103" s="26">
        <v>180</v>
      </c>
      <c r="D103" s="1"/>
      <c r="E103" s="1"/>
      <c r="F103" s="19"/>
      <c r="G103" s="19"/>
      <c r="H103" s="19"/>
      <c r="I103" s="1">
        <v>0</v>
      </c>
      <c r="J103" s="1">
        <f t="shared" si="14"/>
        <v>0</v>
      </c>
      <c r="K103" s="19" t="str">
        <f t="shared" si="8"/>
        <v xml:space="preserve"> No Issue</v>
      </c>
      <c r="L103" s="1" t="str">
        <f t="shared" si="9"/>
        <v>No Issue</v>
      </c>
      <c r="M103" s="1" t="str">
        <f t="shared" si="10"/>
        <v>No Issue</v>
      </c>
      <c r="N103" s="1" t="str">
        <f t="shared" si="11"/>
        <v>No Issue</v>
      </c>
      <c r="O103" s="1" t="str">
        <f t="shared" si="12"/>
        <v>No Issue</v>
      </c>
      <c r="P103" s="1" t="str">
        <f t="shared" si="13"/>
        <v>NoIssue</v>
      </c>
    </row>
    <row r="104" spans="1:16" ht="22.5" customHeight="1">
      <c r="A104" s="20">
        <v>41</v>
      </c>
      <c r="B104" s="29" t="s">
        <v>61</v>
      </c>
      <c r="C104" s="21">
        <v>128.57</v>
      </c>
      <c r="D104" s="1"/>
      <c r="E104" s="1"/>
      <c r="F104" s="19"/>
      <c r="G104" s="19"/>
      <c r="H104" s="19"/>
      <c r="I104" s="1">
        <v>0</v>
      </c>
      <c r="J104" s="1">
        <f t="shared" si="14"/>
        <v>0</v>
      </c>
      <c r="K104" s="19" t="str">
        <f t="shared" si="8"/>
        <v xml:space="preserve"> No Issue</v>
      </c>
      <c r="L104" s="1" t="str">
        <f t="shared" si="9"/>
        <v>No Issue</v>
      </c>
      <c r="M104" s="1" t="str">
        <f t="shared" si="10"/>
        <v>No Issue</v>
      </c>
      <c r="N104" s="1" t="str">
        <f t="shared" si="11"/>
        <v>No Issue</v>
      </c>
      <c r="O104" s="1" t="str">
        <f t="shared" si="12"/>
        <v>No Issue</v>
      </c>
      <c r="P104" s="1" t="str">
        <f t="shared" si="13"/>
        <v>NoIssue</v>
      </c>
    </row>
    <row r="105" spans="1:16" ht="22.5" customHeight="1">
      <c r="A105" s="20">
        <v>42</v>
      </c>
      <c r="B105" s="21"/>
      <c r="C105" s="21"/>
      <c r="D105" s="1"/>
      <c r="E105" s="1"/>
      <c r="F105" s="19"/>
      <c r="G105" s="19"/>
      <c r="H105" s="19"/>
      <c r="I105" s="1"/>
      <c r="J105" s="1">
        <f t="shared" si="14"/>
        <v>0</v>
      </c>
      <c r="K105" s="19" t="str">
        <f t="shared" si="8"/>
        <v xml:space="preserve"> No Issue</v>
      </c>
      <c r="L105" s="1" t="str">
        <f t="shared" si="9"/>
        <v>No Issue</v>
      </c>
      <c r="M105" s="1" t="str">
        <f t="shared" si="10"/>
        <v>No Issue</v>
      </c>
      <c r="N105" s="1" t="str">
        <f t="shared" si="11"/>
        <v>No Issue</v>
      </c>
      <c r="O105" s="1" t="str">
        <f t="shared" si="12"/>
        <v>No Issue</v>
      </c>
      <c r="P105" s="1" t="str">
        <f t="shared" si="13"/>
        <v>NoIssue</v>
      </c>
    </row>
    <row r="106" spans="1:16" ht="22.5" customHeight="1">
      <c r="A106" s="20">
        <v>43</v>
      </c>
      <c r="B106" s="30"/>
      <c r="C106" s="30"/>
      <c r="D106" s="1"/>
      <c r="E106" s="1"/>
      <c r="F106" s="19"/>
      <c r="G106" s="19"/>
      <c r="H106" s="19"/>
      <c r="I106" s="1"/>
      <c r="J106" s="1">
        <f t="shared" si="14"/>
        <v>0</v>
      </c>
      <c r="K106" s="19" t="str">
        <f t="shared" si="8"/>
        <v xml:space="preserve"> No Issue</v>
      </c>
      <c r="L106" s="1" t="str">
        <f t="shared" si="9"/>
        <v>No Issue</v>
      </c>
      <c r="M106" s="1" t="str">
        <f t="shared" si="10"/>
        <v>No Issue</v>
      </c>
      <c r="N106" s="1" t="str">
        <f t="shared" si="11"/>
        <v>No Issue</v>
      </c>
      <c r="O106" s="1" t="str">
        <f t="shared" si="12"/>
        <v>No Issue</v>
      </c>
      <c r="P106" s="1" t="str">
        <f t="shared" si="13"/>
        <v>NoIssue</v>
      </c>
    </row>
    <row r="107" spans="1:16" ht="22.5" customHeight="1">
      <c r="A107" s="20">
        <v>44</v>
      </c>
      <c r="B107" s="30"/>
      <c r="C107" s="30"/>
      <c r="D107" s="1"/>
      <c r="E107" s="1"/>
      <c r="F107" s="19"/>
      <c r="G107" s="19"/>
      <c r="H107" s="19"/>
      <c r="I107" s="1"/>
      <c r="J107" s="1">
        <f t="shared" si="14"/>
        <v>0</v>
      </c>
      <c r="K107" s="19" t="str">
        <f t="shared" si="8"/>
        <v xml:space="preserve"> No Issue</v>
      </c>
      <c r="L107" s="1" t="str">
        <f t="shared" si="9"/>
        <v>No Issue</v>
      </c>
      <c r="M107" s="1" t="str">
        <f t="shared" si="10"/>
        <v>No Issue</v>
      </c>
      <c r="N107" s="1" t="str">
        <f t="shared" si="11"/>
        <v>No Issue</v>
      </c>
      <c r="O107" s="1" t="str">
        <f t="shared" si="12"/>
        <v>No Issue</v>
      </c>
      <c r="P107" s="1" t="str">
        <f t="shared" si="13"/>
        <v>NoIssue</v>
      </c>
    </row>
    <row r="108" spans="1:16" ht="22.5" customHeight="1">
      <c r="A108" s="20">
        <v>45</v>
      </c>
      <c r="B108" s="30"/>
      <c r="C108" s="30"/>
      <c r="D108" s="1"/>
      <c r="E108" s="1"/>
      <c r="F108" s="19"/>
      <c r="G108" s="19"/>
      <c r="H108" s="19"/>
      <c r="I108" s="1"/>
      <c r="J108" s="1">
        <f t="shared" si="14"/>
        <v>0</v>
      </c>
      <c r="K108" s="19" t="str">
        <f t="shared" si="8"/>
        <v xml:space="preserve"> No Issue</v>
      </c>
      <c r="L108" s="1" t="str">
        <f t="shared" si="9"/>
        <v>No Issue</v>
      </c>
      <c r="M108" s="1" t="str">
        <f t="shared" si="10"/>
        <v>No Issue</v>
      </c>
      <c r="N108" s="1" t="str">
        <f t="shared" si="11"/>
        <v>No Issue</v>
      </c>
      <c r="O108" s="1" t="str">
        <f t="shared" si="12"/>
        <v>No Issue</v>
      </c>
      <c r="P108" s="1" t="str">
        <f t="shared" si="13"/>
        <v>NoIssue</v>
      </c>
    </row>
    <row r="109" spans="1:16" ht="22.5" customHeight="1">
      <c r="A109" s="20">
        <v>46</v>
      </c>
      <c r="B109" s="30"/>
      <c r="C109" s="30"/>
      <c r="D109" s="1"/>
      <c r="E109" s="1"/>
      <c r="F109" s="19"/>
      <c r="G109" s="19"/>
      <c r="H109" s="19"/>
      <c r="I109" s="1"/>
      <c r="J109" s="1">
        <f t="shared" si="14"/>
        <v>0</v>
      </c>
      <c r="K109" s="19" t="str">
        <f t="shared" si="8"/>
        <v xml:space="preserve"> No Issue</v>
      </c>
      <c r="L109" s="1" t="str">
        <f t="shared" si="9"/>
        <v>No Issue</v>
      </c>
      <c r="M109" s="1" t="str">
        <f t="shared" si="10"/>
        <v>No Issue</v>
      </c>
      <c r="N109" s="1" t="str">
        <f t="shared" si="11"/>
        <v>No Issue</v>
      </c>
      <c r="O109" s="1" t="str">
        <f t="shared" si="12"/>
        <v>No Issue</v>
      </c>
      <c r="P109" s="1" t="str">
        <f t="shared" si="13"/>
        <v>NoIssue</v>
      </c>
    </row>
    <row r="110" spans="1:16" ht="22.5" customHeight="1">
      <c r="A110" s="20">
        <v>47</v>
      </c>
      <c r="B110" s="31"/>
      <c r="C110" s="32"/>
      <c r="D110" s="1"/>
      <c r="E110" s="1"/>
      <c r="F110" s="19"/>
      <c r="G110" s="19"/>
      <c r="H110" s="19"/>
      <c r="I110" s="1"/>
      <c r="J110" s="1">
        <f t="shared" si="14"/>
        <v>0</v>
      </c>
      <c r="K110" s="19" t="str">
        <f t="shared" si="8"/>
        <v xml:space="preserve"> No Issue</v>
      </c>
      <c r="L110" s="1" t="str">
        <f t="shared" si="9"/>
        <v>No Issue</v>
      </c>
      <c r="M110" s="1" t="str">
        <f t="shared" si="10"/>
        <v>No Issue</v>
      </c>
      <c r="N110" s="1" t="str">
        <f t="shared" si="11"/>
        <v>No Issue</v>
      </c>
      <c r="O110" s="1" t="str">
        <f t="shared" si="12"/>
        <v>No Issue</v>
      </c>
      <c r="P110" s="1" t="str">
        <f t="shared" si="13"/>
        <v>NoIssue</v>
      </c>
    </row>
    <row r="111" spans="1:16" ht="22.5" customHeight="1">
      <c r="A111" s="20">
        <v>48</v>
      </c>
      <c r="B111" s="31"/>
      <c r="C111" s="32"/>
      <c r="D111" s="1"/>
      <c r="E111" s="1"/>
      <c r="F111" s="19"/>
      <c r="G111" s="19"/>
      <c r="H111" s="19"/>
      <c r="I111" s="1"/>
      <c r="J111" s="1">
        <f t="shared" si="14"/>
        <v>0</v>
      </c>
      <c r="K111" s="19" t="str">
        <f t="shared" si="8"/>
        <v xml:space="preserve"> No Issue</v>
      </c>
      <c r="L111" s="1" t="str">
        <f t="shared" si="9"/>
        <v>No Issue</v>
      </c>
      <c r="M111" s="1" t="str">
        <f t="shared" si="10"/>
        <v>No Issue</v>
      </c>
      <c r="N111" s="1" t="str">
        <f t="shared" si="11"/>
        <v>No Issue</v>
      </c>
      <c r="O111" s="1" t="str">
        <f t="shared" si="12"/>
        <v>No Issue</v>
      </c>
      <c r="P111" s="1" t="str">
        <f t="shared" si="13"/>
        <v>NoIssue</v>
      </c>
    </row>
    <row r="112" spans="1:16" ht="22.5" customHeight="1">
      <c r="A112" s="20">
        <v>49</v>
      </c>
      <c r="B112" s="31"/>
      <c r="C112" s="32"/>
      <c r="D112" s="1"/>
      <c r="E112" s="1"/>
      <c r="F112" s="19"/>
      <c r="G112" s="19"/>
      <c r="H112" s="19"/>
      <c r="I112" s="1"/>
      <c r="J112" s="1">
        <f t="shared" si="14"/>
        <v>0</v>
      </c>
      <c r="K112" s="19" t="str">
        <f t="shared" si="8"/>
        <v xml:space="preserve"> No Issue</v>
      </c>
      <c r="L112" s="1" t="str">
        <f t="shared" si="9"/>
        <v>No Issue</v>
      </c>
      <c r="M112" s="1" t="str">
        <f t="shared" si="10"/>
        <v>No Issue</v>
      </c>
      <c r="N112" s="1" t="str">
        <f t="shared" si="11"/>
        <v>No Issue</v>
      </c>
      <c r="O112" s="1" t="str">
        <f t="shared" si="12"/>
        <v>No Issue</v>
      </c>
      <c r="P112" s="1" t="str">
        <f t="shared" si="13"/>
        <v>NoIssue</v>
      </c>
    </row>
    <row r="113" spans="1:16" ht="22.5" customHeight="1">
      <c r="A113" s="20">
        <v>50</v>
      </c>
      <c r="B113" s="31"/>
      <c r="C113" s="32"/>
      <c r="D113" s="1"/>
      <c r="E113" s="1"/>
      <c r="F113" s="19"/>
      <c r="G113" s="19"/>
      <c r="H113" s="19"/>
      <c r="I113" s="1"/>
      <c r="J113" s="1">
        <f t="shared" si="14"/>
        <v>0</v>
      </c>
      <c r="K113" s="19" t="str">
        <f t="shared" si="8"/>
        <v xml:space="preserve"> No Issue</v>
      </c>
      <c r="L113" s="1" t="str">
        <f t="shared" si="9"/>
        <v>No Issue</v>
      </c>
      <c r="M113" s="1" t="str">
        <f t="shared" si="10"/>
        <v>No Issue</v>
      </c>
      <c r="N113" s="1" t="str">
        <f t="shared" si="11"/>
        <v>No Issue</v>
      </c>
      <c r="O113" s="1" t="str">
        <f t="shared" si="12"/>
        <v>No Issue</v>
      </c>
      <c r="P113" s="1" t="str">
        <f t="shared" si="13"/>
        <v>NoIssue</v>
      </c>
    </row>
    <row r="114" spans="1:16" ht="22.5" customHeight="1">
      <c r="A114" s="20">
        <v>51</v>
      </c>
      <c r="B114" s="31"/>
      <c r="C114" s="32"/>
      <c r="D114" s="1"/>
      <c r="E114" s="1"/>
      <c r="F114" s="19"/>
      <c r="G114" s="19"/>
      <c r="H114" s="19"/>
      <c r="I114" s="1"/>
      <c r="J114" s="1">
        <f t="shared" si="14"/>
        <v>0</v>
      </c>
      <c r="K114" s="19" t="str">
        <f t="shared" si="8"/>
        <v xml:space="preserve"> No Issue</v>
      </c>
      <c r="L114" s="1" t="str">
        <f t="shared" si="9"/>
        <v>No Issue</v>
      </c>
      <c r="M114" s="1" t="str">
        <f t="shared" si="10"/>
        <v>No Issue</v>
      </c>
      <c r="N114" s="1" t="str">
        <f t="shared" si="11"/>
        <v>No Issue</v>
      </c>
      <c r="O114" s="1" t="str">
        <f t="shared" si="12"/>
        <v>No Issue</v>
      </c>
      <c r="P114" s="1" t="str">
        <f t="shared" si="13"/>
        <v>NoIssue</v>
      </c>
    </row>
    <row r="115" spans="1:16" ht="22.5" customHeight="1">
      <c r="A115" s="20">
        <v>52</v>
      </c>
      <c r="B115" s="31"/>
      <c r="C115" s="32"/>
      <c r="D115" s="1"/>
      <c r="E115" s="1"/>
      <c r="F115" s="19"/>
      <c r="G115" s="19"/>
      <c r="H115" s="19"/>
      <c r="I115" s="1"/>
      <c r="J115" s="1">
        <f t="shared" si="14"/>
        <v>0</v>
      </c>
      <c r="K115" s="19" t="str">
        <f t="shared" si="8"/>
        <v xml:space="preserve"> No Issue</v>
      </c>
      <c r="L115" s="1" t="str">
        <f t="shared" si="9"/>
        <v>No Issue</v>
      </c>
      <c r="M115" s="1" t="str">
        <f t="shared" si="10"/>
        <v>No Issue</v>
      </c>
      <c r="N115" s="1" t="str">
        <f t="shared" si="11"/>
        <v>No Issue</v>
      </c>
      <c r="O115" s="1" t="str">
        <f t="shared" si="12"/>
        <v>No Issue</v>
      </c>
      <c r="P115" s="1" t="str">
        <f t="shared" si="13"/>
        <v>NoIssue</v>
      </c>
    </row>
    <row r="116" spans="1:16" ht="22.5" customHeight="1">
      <c r="A116" s="20">
        <v>53</v>
      </c>
      <c r="B116" s="31"/>
      <c r="C116" s="32"/>
      <c r="D116" s="1"/>
      <c r="E116" s="1"/>
      <c r="F116" s="19"/>
      <c r="G116" s="19"/>
      <c r="H116" s="19"/>
      <c r="I116" s="1"/>
      <c r="J116" s="1">
        <f t="shared" si="14"/>
        <v>0</v>
      </c>
      <c r="K116" s="19" t="str">
        <f t="shared" si="8"/>
        <v xml:space="preserve"> No Issue</v>
      </c>
      <c r="L116" s="1" t="str">
        <f t="shared" si="9"/>
        <v>No Issue</v>
      </c>
      <c r="M116" s="1" t="str">
        <f t="shared" si="10"/>
        <v>No Issue</v>
      </c>
      <c r="N116" s="1" t="str">
        <f t="shared" si="11"/>
        <v>No Issue</v>
      </c>
      <c r="O116" s="1" t="str">
        <f t="shared" si="12"/>
        <v>No Issue</v>
      </c>
      <c r="P116" s="1" t="str">
        <f t="shared" si="13"/>
        <v>NoIssue</v>
      </c>
    </row>
    <row r="117" spans="1:16" ht="22.5" customHeight="1">
      <c r="A117" s="20">
        <v>54</v>
      </c>
      <c r="B117" s="30"/>
      <c r="C117" s="30"/>
      <c r="D117" s="1"/>
      <c r="E117" s="1"/>
      <c r="F117" s="19"/>
      <c r="G117" s="19"/>
      <c r="H117" s="19"/>
      <c r="I117" s="1"/>
      <c r="J117" s="1">
        <f t="shared" si="14"/>
        <v>0</v>
      </c>
      <c r="K117" s="19" t="str">
        <f t="shared" si="8"/>
        <v xml:space="preserve"> No Issue</v>
      </c>
      <c r="L117" s="1" t="str">
        <f t="shared" si="9"/>
        <v>No Issue</v>
      </c>
      <c r="M117" s="1" t="str">
        <f t="shared" si="10"/>
        <v>No Issue</v>
      </c>
      <c r="N117" s="1" t="str">
        <f t="shared" si="11"/>
        <v>No Issue</v>
      </c>
      <c r="O117" s="1" t="str">
        <f t="shared" si="12"/>
        <v>No Issue</v>
      </c>
      <c r="P117" s="1" t="str">
        <f t="shared" si="13"/>
        <v>NoIssue</v>
      </c>
    </row>
    <row r="118" spans="1:16" ht="22.5" customHeight="1">
      <c r="A118" s="20">
        <v>55</v>
      </c>
      <c r="B118" s="31"/>
      <c r="C118" s="32"/>
      <c r="D118" s="1"/>
      <c r="E118" s="1"/>
      <c r="F118" s="19"/>
      <c r="G118" s="19"/>
      <c r="H118" s="19"/>
      <c r="I118" s="1"/>
      <c r="J118" s="1">
        <f t="shared" si="14"/>
        <v>0</v>
      </c>
      <c r="K118" s="19" t="str">
        <f t="shared" si="8"/>
        <v xml:space="preserve"> No Issue</v>
      </c>
      <c r="L118" s="1" t="str">
        <f t="shared" si="9"/>
        <v>No Issue</v>
      </c>
      <c r="M118" s="1" t="str">
        <f t="shared" si="10"/>
        <v>No Issue</v>
      </c>
      <c r="N118" s="1" t="str">
        <f t="shared" si="11"/>
        <v>No Issue</v>
      </c>
      <c r="O118" s="1" t="str">
        <f t="shared" si="12"/>
        <v>No Issue</v>
      </c>
      <c r="P118" s="1" t="str">
        <f t="shared" si="13"/>
        <v>NoIssue</v>
      </c>
    </row>
    <row r="119" spans="1:16" ht="22.5" customHeight="1">
      <c r="A119" s="20">
        <v>56</v>
      </c>
      <c r="B119" s="31"/>
      <c r="C119" s="32"/>
      <c r="D119" s="1"/>
      <c r="E119" s="1"/>
      <c r="F119" s="19"/>
      <c r="G119" s="19"/>
      <c r="H119" s="19"/>
      <c r="I119" s="1"/>
      <c r="J119" s="1">
        <f t="shared" si="14"/>
        <v>0</v>
      </c>
      <c r="K119" s="19" t="str">
        <f t="shared" si="8"/>
        <v xml:space="preserve"> No Issue</v>
      </c>
      <c r="L119" s="1" t="str">
        <f t="shared" si="9"/>
        <v>No Issue</v>
      </c>
      <c r="M119" s="1" t="str">
        <f t="shared" si="10"/>
        <v>No Issue</v>
      </c>
      <c r="N119" s="1" t="str">
        <f t="shared" si="11"/>
        <v>No Issue</v>
      </c>
      <c r="O119" s="1" t="str">
        <f t="shared" si="12"/>
        <v>No Issue</v>
      </c>
      <c r="P119" s="1" t="str">
        <f t="shared" si="13"/>
        <v>NoIssue</v>
      </c>
    </row>
    <row r="120" spans="1:16" ht="22.5" customHeight="1">
      <c r="A120" s="20"/>
      <c r="B120" s="1" t="s">
        <v>62</v>
      </c>
      <c r="C120" s="31"/>
      <c r="D120" s="1">
        <f t="shared" ref="D120:I120" si="15">SUMPRODUCT(D64:D119,$C64:$C119)</f>
        <v>50875.03</v>
      </c>
      <c r="E120" s="1">
        <f t="shared" si="15"/>
        <v>0</v>
      </c>
      <c r="F120" s="1">
        <f t="shared" si="15"/>
        <v>9703.9599999999991</v>
      </c>
      <c r="G120" s="1">
        <f t="shared" si="15"/>
        <v>0</v>
      </c>
      <c r="H120" s="1">
        <f t="shared" si="15"/>
        <v>0</v>
      </c>
      <c r="I120" s="1">
        <f t="shared" si="15"/>
        <v>41171.07</v>
      </c>
      <c r="J120" s="1">
        <f t="shared" si="14"/>
        <v>41171.07</v>
      </c>
      <c r="K120" s="19" t="str">
        <f t="shared" si="8"/>
        <v xml:space="preserve"> No Issue</v>
      </c>
      <c r="L120" s="1" t="str">
        <f t="shared" si="9"/>
        <v>No Issue</v>
      </c>
      <c r="M120" s="1" t="str">
        <f t="shared" si="10"/>
        <v>No Issue</v>
      </c>
      <c r="N120" s="1" t="str">
        <f t="shared" si="11"/>
        <v>No Issue</v>
      </c>
      <c r="O120" s="1" t="str">
        <f t="shared" si="12"/>
        <v>Check Once Sales quantity or Value Problem</v>
      </c>
      <c r="P120" s="1" t="str">
        <f t="shared" si="13"/>
        <v>Check Once Closing quantity or Value Problem</v>
      </c>
    </row>
    <row r="121" spans="1:16" ht="22.5" customHeight="1">
      <c r="A121" s="8"/>
      <c r="B121" s="9" t="s">
        <v>3</v>
      </c>
      <c r="C121" s="10" t="s">
        <v>68</v>
      </c>
      <c r="D121" s="11"/>
      <c r="E121" s="9"/>
      <c r="F121" s="12"/>
      <c r="G121" s="46"/>
      <c r="H121" s="47"/>
      <c r="I121" s="12"/>
      <c r="J121" s="13"/>
      <c r="K121" s="48" t="s">
        <v>4</v>
      </c>
      <c r="L121" s="49"/>
      <c r="M121" s="49"/>
      <c r="N121" s="49"/>
      <c r="O121" s="49"/>
      <c r="P121" s="50"/>
    </row>
    <row r="122" spans="1:16" ht="22.5" customHeight="1">
      <c r="A122" s="35" t="s">
        <v>5</v>
      </c>
      <c r="B122" s="19" t="s">
        <v>6</v>
      </c>
      <c r="C122" s="19" t="s">
        <v>7</v>
      </c>
      <c r="D122" s="18" t="s">
        <v>8</v>
      </c>
      <c r="E122" s="18" t="s">
        <v>9</v>
      </c>
      <c r="F122" s="18" t="s">
        <v>10</v>
      </c>
      <c r="G122" s="18" t="s">
        <v>11</v>
      </c>
      <c r="H122" s="18" t="s">
        <v>12</v>
      </c>
      <c r="I122" s="18" t="s">
        <v>13</v>
      </c>
      <c r="J122" s="18" t="s">
        <v>14</v>
      </c>
      <c r="K122" s="19" t="s">
        <v>15</v>
      </c>
      <c r="L122" s="19" t="s">
        <v>16</v>
      </c>
      <c r="M122" s="19" t="s">
        <v>17</v>
      </c>
      <c r="N122" s="19" t="s">
        <v>18</v>
      </c>
      <c r="O122" s="19" t="s">
        <v>19</v>
      </c>
      <c r="P122" s="19" t="s">
        <v>20</v>
      </c>
    </row>
    <row r="123" spans="1:16" ht="22.5" customHeight="1">
      <c r="A123" s="20">
        <v>1</v>
      </c>
      <c r="B123" s="21" t="s">
        <v>21</v>
      </c>
      <c r="C123" s="22">
        <v>192.17</v>
      </c>
      <c r="D123" s="54">
        <v>0</v>
      </c>
      <c r="E123" s="1"/>
      <c r="F123" s="1"/>
      <c r="G123" s="1"/>
      <c r="H123" s="1"/>
      <c r="I123" s="1">
        <v>0</v>
      </c>
      <c r="J123" s="1">
        <f t="shared" ref="J123:J179" si="16">D123+E123-F123-G123+H123</f>
        <v>0</v>
      </c>
      <c r="K123" s="19" t="str">
        <f t="shared" ref="K123:K179" si="17">IF(I123&lt;&gt;(D123+E123-F123-G123+H123),"Closing stock Not Correct-Problem"," No Issue")</f>
        <v xml:space="preserve"> No Issue</v>
      </c>
      <c r="L123" s="1" t="str">
        <f t="shared" ref="L123:L179" si="18">IF((D123+E123)&lt;F123,"High Sale and Less Stock-Problem","No Issue")</f>
        <v>No Issue</v>
      </c>
      <c r="M123" s="1" t="str">
        <f t="shared" ref="M123:M179" si="19">IF(AND((D123+E123+I123)=0,F123&gt;0),"No Stock Sale Present Problem","No Issue")</f>
        <v>No Issue</v>
      </c>
      <c r="N123" s="1" t="str">
        <f t="shared" ref="N123:N179" si="20">IF(AND(SUM(D123:H123)=0,I123&gt;0),"Only Closing Entered Other Parameters No Entired Problem","No Issue")</f>
        <v>No Issue</v>
      </c>
      <c r="O123" s="1" t="str">
        <f t="shared" ref="O123:O179" si="21">IF(F123&gt;5000,"Check Once Sales quantity or Value Problem","No Issue")</f>
        <v>No Issue</v>
      </c>
      <c r="P123" s="1" t="str">
        <f t="shared" ref="P123:P179" si="22">IF(I123&gt;5000,"Check Once Closing quantity or Value Problem","NoIssue")</f>
        <v>NoIssue</v>
      </c>
    </row>
    <row r="124" spans="1:16" ht="22.5" customHeight="1">
      <c r="A124" s="20">
        <v>2</v>
      </c>
      <c r="B124" s="21" t="s">
        <v>22</v>
      </c>
      <c r="C124" s="22">
        <v>9.26</v>
      </c>
      <c r="D124" s="54">
        <v>0</v>
      </c>
      <c r="E124" s="1"/>
      <c r="F124" s="1"/>
      <c r="G124" s="1"/>
      <c r="H124" s="1"/>
      <c r="I124" s="1">
        <v>0</v>
      </c>
      <c r="J124" s="1">
        <f t="shared" si="16"/>
        <v>0</v>
      </c>
      <c r="K124" s="19" t="str">
        <f t="shared" si="17"/>
        <v xml:space="preserve"> No Issue</v>
      </c>
      <c r="L124" s="1" t="str">
        <f t="shared" si="18"/>
        <v>No Issue</v>
      </c>
      <c r="M124" s="1" t="str">
        <f t="shared" si="19"/>
        <v>No Issue</v>
      </c>
      <c r="N124" s="1" t="str">
        <f t="shared" si="20"/>
        <v>No Issue</v>
      </c>
      <c r="O124" s="1" t="str">
        <f t="shared" si="21"/>
        <v>No Issue</v>
      </c>
      <c r="P124" s="1" t="str">
        <f t="shared" si="22"/>
        <v>NoIssue</v>
      </c>
    </row>
    <row r="125" spans="1:16" ht="22.5" customHeight="1">
      <c r="A125" s="20">
        <v>3</v>
      </c>
      <c r="B125" s="21" t="s">
        <v>23</v>
      </c>
      <c r="C125" s="22">
        <v>87.79</v>
      </c>
      <c r="D125" s="54">
        <v>0</v>
      </c>
      <c r="E125" s="1"/>
      <c r="F125" s="1"/>
      <c r="G125" s="1"/>
      <c r="H125" s="1"/>
      <c r="I125" s="1">
        <v>0</v>
      </c>
      <c r="J125" s="1">
        <f t="shared" si="16"/>
        <v>0</v>
      </c>
      <c r="K125" s="19" t="str">
        <f t="shared" si="17"/>
        <v xml:space="preserve"> No Issue</v>
      </c>
      <c r="L125" s="1" t="str">
        <f t="shared" si="18"/>
        <v>No Issue</v>
      </c>
      <c r="M125" s="1" t="str">
        <f t="shared" si="19"/>
        <v>No Issue</v>
      </c>
      <c r="N125" s="1" t="str">
        <f t="shared" si="20"/>
        <v>No Issue</v>
      </c>
      <c r="O125" s="1" t="str">
        <f t="shared" si="21"/>
        <v>No Issue</v>
      </c>
      <c r="P125" s="1" t="str">
        <f t="shared" si="22"/>
        <v>NoIssue</v>
      </c>
    </row>
    <row r="126" spans="1:16" ht="22.5" customHeight="1">
      <c r="A126" s="20">
        <v>4</v>
      </c>
      <c r="B126" s="21" t="s">
        <v>24</v>
      </c>
      <c r="C126" s="22">
        <v>55.55</v>
      </c>
      <c r="D126" s="54">
        <v>0</v>
      </c>
      <c r="E126" s="1"/>
      <c r="F126" s="1"/>
      <c r="G126" s="1"/>
      <c r="H126" s="1"/>
      <c r="I126" s="1">
        <v>0</v>
      </c>
      <c r="J126" s="1">
        <f t="shared" si="16"/>
        <v>0</v>
      </c>
      <c r="K126" s="19" t="str">
        <f t="shared" si="17"/>
        <v xml:space="preserve"> No Issue</v>
      </c>
      <c r="L126" s="1" t="str">
        <f t="shared" si="18"/>
        <v>No Issue</v>
      </c>
      <c r="M126" s="1" t="str">
        <f t="shared" si="19"/>
        <v>No Issue</v>
      </c>
      <c r="N126" s="1" t="str">
        <f t="shared" si="20"/>
        <v>No Issue</v>
      </c>
      <c r="O126" s="1" t="str">
        <f t="shared" si="21"/>
        <v>No Issue</v>
      </c>
      <c r="P126" s="1" t="str">
        <f t="shared" si="22"/>
        <v>NoIssue</v>
      </c>
    </row>
    <row r="127" spans="1:16" ht="22.5" customHeight="1">
      <c r="A127" s="20">
        <v>5</v>
      </c>
      <c r="B127" s="21" t="s">
        <v>25</v>
      </c>
      <c r="C127" s="22">
        <v>70.010000000000005</v>
      </c>
      <c r="D127" s="54">
        <v>10</v>
      </c>
      <c r="E127" s="1"/>
      <c r="F127" s="1"/>
      <c r="G127" s="1"/>
      <c r="H127" s="1"/>
      <c r="I127" s="1">
        <v>10</v>
      </c>
      <c r="J127" s="1">
        <f t="shared" si="16"/>
        <v>10</v>
      </c>
      <c r="K127" s="19" t="str">
        <f t="shared" si="17"/>
        <v xml:space="preserve"> No Issue</v>
      </c>
      <c r="L127" s="1" t="str">
        <f t="shared" si="18"/>
        <v>No Issue</v>
      </c>
      <c r="M127" s="1" t="str">
        <f t="shared" si="19"/>
        <v>No Issue</v>
      </c>
      <c r="N127" s="1" t="str">
        <f t="shared" si="20"/>
        <v>No Issue</v>
      </c>
      <c r="O127" s="1" t="str">
        <f t="shared" si="21"/>
        <v>No Issue</v>
      </c>
      <c r="P127" s="1" t="str">
        <f t="shared" si="22"/>
        <v>NoIssue</v>
      </c>
    </row>
    <row r="128" spans="1:16" ht="22.5" customHeight="1">
      <c r="A128" s="20">
        <v>6</v>
      </c>
      <c r="B128" s="25" t="s">
        <v>26</v>
      </c>
      <c r="C128" s="22">
        <v>73.929999999999993</v>
      </c>
      <c r="D128" s="54">
        <v>10</v>
      </c>
      <c r="E128" s="1"/>
      <c r="F128" s="1"/>
      <c r="G128" s="1"/>
      <c r="H128" s="1"/>
      <c r="I128" s="1">
        <v>10</v>
      </c>
      <c r="J128" s="1">
        <f t="shared" si="16"/>
        <v>10</v>
      </c>
      <c r="K128" s="19" t="str">
        <f t="shared" si="17"/>
        <v xml:space="preserve"> No Issue</v>
      </c>
      <c r="L128" s="1" t="str">
        <f t="shared" si="18"/>
        <v>No Issue</v>
      </c>
      <c r="M128" s="1" t="str">
        <f t="shared" si="19"/>
        <v>No Issue</v>
      </c>
      <c r="N128" s="1" t="str">
        <f t="shared" si="20"/>
        <v>No Issue</v>
      </c>
      <c r="O128" s="1" t="str">
        <f t="shared" si="21"/>
        <v>No Issue</v>
      </c>
      <c r="P128" s="1" t="str">
        <f t="shared" si="22"/>
        <v>NoIssue</v>
      </c>
    </row>
    <row r="129" spans="1:16" ht="22.5" customHeight="1">
      <c r="A129" s="20">
        <v>7</v>
      </c>
      <c r="B129" s="21" t="s">
        <v>27</v>
      </c>
      <c r="C129" s="26">
        <v>13.91</v>
      </c>
      <c r="D129" s="54">
        <v>0</v>
      </c>
      <c r="E129" s="1"/>
      <c r="F129" s="1"/>
      <c r="G129" s="1"/>
      <c r="H129" s="1"/>
      <c r="I129" s="1">
        <v>0</v>
      </c>
      <c r="J129" s="1">
        <f t="shared" si="16"/>
        <v>0</v>
      </c>
      <c r="K129" s="19" t="str">
        <f t="shared" si="17"/>
        <v xml:space="preserve"> No Issue</v>
      </c>
      <c r="L129" s="1" t="str">
        <f t="shared" si="18"/>
        <v>No Issue</v>
      </c>
      <c r="M129" s="1" t="str">
        <f t="shared" si="19"/>
        <v>No Issue</v>
      </c>
      <c r="N129" s="1" t="str">
        <f t="shared" si="20"/>
        <v>No Issue</v>
      </c>
      <c r="O129" s="1" t="str">
        <f t="shared" si="21"/>
        <v>No Issue</v>
      </c>
      <c r="P129" s="1" t="str">
        <f t="shared" si="22"/>
        <v>NoIssue</v>
      </c>
    </row>
    <row r="130" spans="1:16" ht="22.5" customHeight="1">
      <c r="A130" s="20">
        <v>8</v>
      </c>
      <c r="B130" s="21" t="s">
        <v>28</v>
      </c>
      <c r="C130" s="26">
        <v>19.5</v>
      </c>
      <c r="D130" s="54">
        <v>0</v>
      </c>
      <c r="E130" s="1"/>
      <c r="F130" s="1"/>
      <c r="G130" s="1"/>
      <c r="H130" s="1"/>
      <c r="I130" s="1">
        <v>0</v>
      </c>
      <c r="J130" s="1">
        <f t="shared" si="16"/>
        <v>0</v>
      </c>
      <c r="K130" s="19" t="str">
        <f t="shared" si="17"/>
        <v xml:space="preserve"> No Issue</v>
      </c>
      <c r="L130" s="1" t="str">
        <f t="shared" si="18"/>
        <v>No Issue</v>
      </c>
      <c r="M130" s="1" t="str">
        <f t="shared" si="19"/>
        <v>No Issue</v>
      </c>
      <c r="N130" s="1" t="str">
        <f t="shared" si="20"/>
        <v>No Issue</v>
      </c>
      <c r="O130" s="1" t="str">
        <f t="shared" si="21"/>
        <v>No Issue</v>
      </c>
      <c r="P130" s="1" t="str">
        <f t="shared" si="22"/>
        <v>NoIssue</v>
      </c>
    </row>
    <row r="131" spans="1:16" ht="22.5" customHeight="1">
      <c r="A131" s="20">
        <v>9</v>
      </c>
      <c r="B131" s="21" t="s">
        <v>29</v>
      </c>
      <c r="C131" s="26">
        <v>28.83</v>
      </c>
      <c r="D131" s="54">
        <v>0</v>
      </c>
      <c r="E131" s="1"/>
      <c r="F131" s="1"/>
      <c r="G131" s="1"/>
      <c r="H131" s="1"/>
      <c r="I131" s="1">
        <v>0</v>
      </c>
      <c r="J131" s="1">
        <f t="shared" si="16"/>
        <v>0</v>
      </c>
      <c r="K131" s="19" t="str">
        <f t="shared" si="17"/>
        <v xml:space="preserve"> No Issue</v>
      </c>
      <c r="L131" s="1" t="str">
        <f t="shared" si="18"/>
        <v>No Issue</v>
      </c>
      <c r="M131" s="1" t="str">
        <f t="shared" si="19"/>
        <v>No Issue</v>
      </c>
      <c r="N131" s="1" t="str">
        <f t="shared" si="20"/>
        <v>No Issue</v>
      </c>
      <c r="O131" s="1" t="str">
        <f t="shared" si="21"/>
        <v>No Issue</v>
      </c>
      <c r="P131" s="1" t="str">
        <f t="shared" si="22"/>
        <v>NoIssue</v>
      </c>
    </row>
    <row r="132" spans="1:16" ht="22.5" customHeight="1">
      <c r="A132" s="20">
        <v>10</v>
      </c>
      <c r="B132" s="21" t="s">
        <v>30</v>
      </c>
      <c r="C132" s="26">
        <v>8.51</v>
      </c>
      <c r="D132" s="54">
        <v>0</v>
      </c>
      <c r="E132" s="1"/>
      <c r="F132" s="1"/>
      <c r="G132" s="1"/>
      <c r="H132" s="1"/>
      <c r="I132" s="1">
        <v>0</v>
      </c>
      <c r="J132" s="1">
        <f t="shared" si="16"/>
        <v>0</v>
      </c>
      <c r="K132" s="19" t="str">
        <f t="shared" si="17"/>
        <v xml:space="preserve"> No Issue</v>
      </c>
      <c r="L132" s="1" t="str">
        <f t="shared" si="18"/>
        <v>No Issue</v>
      </c>
      <c r="M132" s="1" t="str">
        <f t="shared" si="19"/>
        <v>No Issue</v>
      </c>
      <c r="N132" s="1" t="str">
        <f t="shared" si="20"/>
        <v>No Issue</v>
      </c>
      <c r="O132" s="1" t="str">
        <f t="shared" si="21"/>
        <v>No Issue</v>
      </c>
      <c r="P132" s="1" t="str">
        <f t="shared" si="22"/>
        <v>NoIssue</v>
      </c>
    </row>
    <row r="133" spans="1:16" ht="22.5" customHeight="1">
      <c r="A133" s="20">
        <v>11</v>
      </c>
      <c r="B133" s="21" t="s">
        <v>31</v>
      </c>
      <c r="C133" s="26">
        <v>102.17</v>
      </c>
      <c r="D133" s="54">
        <v>0</v>
      </c>
      <c r="E133" s="1"/>
      <c r="F133" s="1"/>
      <c r="G133" s="1"/>
      <c r="H133" s="1"/>
      <c r="I133" s="1">
        <v>0</v>
      </c>
      <c r="J133" s="1">
        <f t="shared" si="16"/>
        <v>0</v>
      </c>
      <c r="K133" s="19" t="str">
        <f t="shared" si="17"/>
        <v xml:space="preserve"> No Issue</v>
      </c>
      <c r="L133" s="1" t="str">
        <f t="shared" si="18"/>
        <v>No Issue</v>
      </c>
      <c r="M133" s="1" t="str">
        <f t="shared" si="19"/>
        <v>No Issue</v>
      </c>
      <c r="N133" s="1" t="str">
        <f t="shared" si="20"/>
        <v>No Issue</v>
      </c>
      <c r="O133" s="1" t="str">
        <f t="shared" si="21"/>
        <v>No Issue</v>
      </c>
      <c r="P133" s="1" t="str">
        <f t="shared" si="22"/>
        <v>NoIssue</v>
      </c>
    </row>
    <row r="134" spans="1:16" ht="22.5" customHeight="1">
      <c r="A134" s="20">
        <v>12</v>
      </c>
      <c r="B134" s="21" t="s">
        <v>32</v>
      </c>
      <c r="C134" s="26">
        <v>59.93</v>
      </c>
      <c r="D134" s="54">
        <v>10</v>
      </c>
      <c r="E134" s="1"/>
      <c r="F134" s="1"/>
      <c r="G134" s="1"/>
      <c r="H134" s="1"/>
      <c r="I134" s="1">
        <v>10</v>
      </c>
      <c r="J134" s="1">
        <f t="shared" si="16"/>
        <v>10</v>
      </c>
      <c r="K134" s="19" t="str">
        <f t="shared" si="17"/>
        <v xml:space="preserve"> No Issue</v>
      </c>
      <c r="L134" s="1" t="str">
        <f t="shared" si="18"/>
        <v>No Issue</v>
      </c>
      <c r="M134" s="1" t="str">
        <f t="shared" si="19"/>
        <v>No Issue</v>
      </c>
      <c r="N134" s="1" t="str">
        <f t="shared" si="20"/>
        <v>No Issue</v>
      </c>
      <c r="O134" s="1" t="str">
        <f t="shared" si="21"/>
        <v>No Issue</v>
      </c>
      <c r="P134" s="1" t="str">
        <f t="shared" si="22"/>
        <v>NoIssue</v>
      </c>
    </row>
    <row r="135" spans="1:16" ht="22.5" customHeight="1">
      <c r="A135" s="20">
        <v>13</v>
      </c>
      <c r="B135" s="21" t="s">
        <v>33</v>
      </c>
      <c r="C135" s="26">
        <v>118</v>
      </c>
      <c r="D135" s="54">
        <v>10</v>
      </c>
      <c r="E135" s="1"/>
      <c r="F135" s="1"/>
      <c r="G135" s="1"/>
      <c r="H135" s="1"/>
      <c r="I135" s="1">
        <v>10</v>
      </c>
      <c r="J135" s="1">
        <f t="shared" si="16"/>
        <v>10</v>
      </c>
      <c r="K135" s="19" t="str">
        <f t="shared" si="17"/>
        <v xml:space="preserve"> No Issue</v>
      </c>
      <c r="L135" s="1" t="str">
        <f t="shared" si="18"/>
        <v>No Issue</v>
      </c>
      <c r="M135" s="1" t="str">
        <f t="shared" si="19"/>
        <v>No Issue</v>
      </c>
      <c r="N135" s="1" t="str">
        <f t="shared" si="20"/>
        <v>No Issue</v>
      </c>
      <c r="O135" s="1" t="str">
        <f t="shared" si="21"/>
        <v>No Issue</v>
      </c>
      <c r="P135" s="1" t="str">
        <f t="shared" si="22"/>
        <v>NoIssue</v>
      </c>
    </row>
    <row r="136" spans="1:16" ht="22.5" customHeight="1">
      <c r="A136" s="20">
        <v>14</v>
      </c>
      <c r="B136" s="21" t="s">
        <v>34</v>
      </c>
      <c r="C136" s="26">
        <v>52.83</v>
      </c>
      <c r="D136" s="54">
        <v>10</v>
      </c>
      <c r="E136" s="1"/>
      <c r="F136" s="1"/>
      <c r="G136" s="1"/>
      <c r="H136" s="1"/>
      <c r="I136" s="1">
        <v>10</v>
      </c>
      <c r="J136" s="1">
        <f t="shared" si="16"/>
        <v>10</v>
      </c>
      <c r="K136" s="19" t="str">
        <f t="shared" si="17"/>
        <v xml:space="preserve"> No Issue</v>
      </c>
      <c r="L136" s="1" t="str">
        <f t="shared" si="18"/>
        <v>No Issue</v>
      </c>
      <c r="M136" s="1" t="str">
        <f t="shared" si="19"/>
        <v>No Issue</v>
      </c>
      <c r="N136" s="1" t="str">
        <f t="shared" si="20"/>
        <v>No Issue</v>
      </c>
      <c r="O136" s="1" t="str">
        <f t="shared" si="21"/>
        <v>No Issue</v>
      </c>
      <c r="P136" s="1" t="str">
        <f t="shared" si="22"/>
        <v>NoIssue</v>
      </c>
    </row>
    <row r="137" spans="1:16" ht="22.5" customHeight="1">
      <c r="A137" s="20">
        <v>15</v>
      </c>
      <c r="B137" s="21" t="s">
        <v>35</v>
      </c>
      <c r="C137" s="26">
        <v>93.2</v>
      </c>
      <c r="D137" s="54">
        <v>0</v>
      </c>
      <c r="E137" s="1"/>
      <c r="F137" s="1"/>
      <c r="G137" s="1"/>
      <c r="H137" s="1"/>
      <c r="I137" s="1">
        <v>0</v>
      </c>
      <c r="J137" s="1">
        <f t="shared" si="16"/>
        <v>0</v>
      </c>
      <c r="K137" s="19" t="str">
        <f t="shared" si="17"/>
        <v xml:space="preserve"> No Issue</v>
      </c>
      <c r="L137" s="1" t="str">
        <f t="shared" si="18"/>
        <v>No Issue</v>
      </c>
      <c r="M137" s="1" t="str">
        <f t="shared" si="19"/>
        <v>No Issue</v>
      </c>
      <c r="N137" s="1" t="str">
        <f t="shared" si="20"/>
        <v>No Issue</v>
      </c>
      <c r="O137" s="1" t="str">
        <f t="shared" si="21"/>
        <v>No Issue</v>
      </c>
      <c r="P137" s="1" t="str">
        <f t="shared" si="22"/>
        <v>NoIssue</v>
      </c>
    </row>
    <row r="138" spans="1:16" ht="22.5" customHeight="1">
      <c r="A138" s="20">
        <v>16</v>
      </c>
      <c r="B138" s="21" t="s">
        <v>36</v>
      </c>
      <c r="C138" s="26">
        <v>61.02</v>
      </c>
      <c r="D138" s="54">
        <v>10</v>
      </c>
      <c r="E138" s="1"/>
      <c r="F138" s="1"/>
      <c r="G138" s="1"/>
      <c r="H138" s="1"/>
      <c r="I138" s="1">
        <v>10</v>
      </c>
      <c r="J138" s="1">
        <f t="shared" si="16"/>
        <v>10</v>
      </c>
      <c r="K138" s="19" t="str">
        <f t="shared" si="17"/>
        <v xml:space="preserve"> No Issue</v>
      </c>
      <c r="L138" s="1" t="str">
        <f t="shared" si="18"/>
        <v>No Issue</v>
      </c>
      <c r="M138" s="1" t="str">
        <f t="shared" si="19"/>
        <v>No Issue</v>
      </c>
      <c r="N138" s="1" t="str">
        <f t="shared" si="20"/>
        <v>No Issue</v>
      </c>
      <c r="O138" s="1" t="str">
        <f t="shared" si="21"/>
        <v>No Issue</v>
      </c>
      <c r="P138" s="1" t="str">
        <f t="shared" si="22"/>
        <v>NoIssue</v>
      </c>
    </row>
    <row r="139" spans="1:16" ht="22.5" customHeight="1">
      <c r="A139" s="20">
        <v>17</v>
      </c>
      <c r="B139" s="21" t="s">
        <v>37</v>
      </c>
      <c r="C139" s="26">
        <v>36.619999999999997</v>
      </c>
      <c r="D139" s="54">
        <v>0</v>
      </c>
      <c r="E139" s="1"/>
      <c r="F139" s="1"/>
      <c r="G139" s="1"/>
      <c r="H139" s="1"/>
      <c r="I139" s="1">
        <v>0</v>
      </c>
      <c r="J139" s="1">
        <f t="shared" si="16"/>
        <v>0</v>
      </c>
      <c r="K139" s="19" t="str">
        <f t="shared" si="17"/>
        <v xml:space="preserve"> No Issue</v>
      </c>
      <c r="L139" s="1" t="str">
        <f t="shared" si="18"/>
        <v>No Issue</v>
      </c>
      <c r="M139" s="1" t="str">
        <f t="shared" si="19"/>
        <v>No Issue</v>
      </c>
      <c r="N139" s="1" t="str">
        <f t="shared" si="20"/>
        <v>No Issue</v>
      </c>
      <c r="O139" s="1" t="str">
        <f t="shared" si="21"/>
        <v>No Issue</v>
      </c>
      <c r="P139" s="1" t="str">
        <f t="shared" si="22"/>
        <v>NoIssue</v>
      </c>
    </row>
    <row r="140" spans="1:16" ht="22.5" customHeight="1">
      <c r="A140" s="20">
        <v>18</v>
      </c>
      <c r="B140" s="21" t="s">
        <v>38</v>
      </c>
      <c r="C140" s="26">
        <v>80.36</v>
      </c>
      <c r="D140" s="54">
        <v>0</v>
      </c>
      <c r="E140" s="1"/>
      <c r="F140" s="1"/>
      <c r="G140" s="1"/>
      <c r="H140" s="1"/>
      <c r="I140" s="1">
        <v>0</v>
      </c>
      <c r="J140" s="1">
        <f t="shared" si="16"/>
        <v>0</v>
      </c>
      <c r="K140" s="19" t="str">
        <f t="shared" si="17"/>
        <v xml:space="preserve"> No Issue</v>
      </c>
      <c r="L140" s="1" t="str">
        <f t="shared" si="18"/>
        <v>No Issue</v>
      </c>
      <c r="M140" s="1" t="str">
        <f t="shared" si="19"/>
        <v>No Issue</v>
      </c>
      <c r="N140" s="1" t="str">
        <f t="shared" si="20"/>
        <v>No Issue</v>
      </c>
      <c r="O140" s="1" t="str">
        <f t="shared" si="21"/>
        <v>No Issue</v>
      </c>
      <c r="P140" s="1" t="str">
        <f t="shared" si="22"/>
        <v>NoIssue</v>
      </c>
    </row>
    <row r="141" spans="1:16" ht="22.5" customHeight="1">
      <c r="A141" s="20">
        <v>19</v>
      </c>
      <c r="B141" s="21" t="s">
        <v>39</v>
      </c>
      <c r="C141" s="26">
        <v>160.56</v>
      </c>
      <c r="D141" s="54">
        <v>0</v>
      </c>
      <c r="E141" s="1"/>
      <c r="F141" s="1"/>
      <c r="G141" s="1"/>
      <c r="H141" s="1"/>
      <c r="I141" s="1">
        <v>0</v>
      </c>
      <c r="J141" s="1">
        <f t="shared" si="16"/>
        <v>0</v>
      </c>
      <c r="K141" s="19" t="str">
        <f t="shared" si="17"/>
        <v xml:space="preserve"> No Issue</v>
      </c>
      <c r="L141" s="1" t="str">
        <f t="shared" si="18"/>
        <v>No Issue</v>
      </c>
      <c r="M141" s="1" t="str">
        <f t="shared" si="19"/>
        <v>No Issue</v>
      </c>
      <c r="N141" s="1" t="str">
        <f t="shared" si="20"/>
        <v>No Issue</v>
      </c>
      <c r="O141" s="1" t="str">
        <f t="shared" si="21"/>
        <v>No Issue</v>
      </c>
      <c r="P141" s="1" t="str">
        <f t="shared" si="22"/>
        <v>NoIssue</v>
      </c>
    </row>
    <row r="142" spans="1:16" ht="22.5" customHeight="1">
      <c r="A142" s="20">
        <v>20</v>
      </c>
      <c r="B142" s="21" t="s">
        <v>40</v>
      </c>
      <c r="C142" s="26">
        <v>186.44</v>
      </c>
      <c r="D142" s="54">
        <v>0</v>
      </c>
      <c r="E142" s="1"/>
      <c r="F142" s="1"/>
      <c r="G142" s="1"/>
      <c r="H142" s="1"/>
      <c r="I142" s="1">
        <v>0</v>
      </c>
      <c r="J142" s="1">
        <f t="shared" si="16"/>
        <v>0</v>
      </c>
      <c r="K142" s="19" t="str">
        <f t="shared" si="17"/>
        <v xml:space="preserve"> No Issue</v>
      </c>
      <c r="L142" s="1" t="str">
        <f t="shared" si="18"/>
        <v>No Issue</v>
      </c>
      <c r="M142" s="1" t="str">
        <f t="shared" si="19"/>
        <v>No Issue</v>
      </c>
      <c r="N142" s="1" t="str">
        <f t="shared" si="20"/>
        <v>No Issue</v>
      </c>
      <c r="O142" s="1" t="str">
        <f t="shared" si="21"/>
        <v>No Issue</v>
      </c>
      <c r="P142" s="1" t="str">
        <f t="shared" si="22"/>
        <v>NoIssue</v>
      </c>
    </row>
    <row r="143" spans="1:16" ht="22.5" customHeight="1">
      <c r="A143" s="20">
        <v>21</v>
      </c>
      <c r="B143" s="21" t="s">
        <v>41</v>
      </c>
      <c r="C143" s="26">
        <v>92.59</v>
      </c>
      <c r="D143" s="54">
        <v>0</v>
      </c>
      <c r="E143" s="1"/>
      <c r="F143" s="1"/>
      <c r="G143" s="1"/>
      <c r="H143" s="1"/>
      <c r="I143" s="1">
        <v>0</v>
      </c>
      <c r="J143" s="1">
        <f t="shared" si="16"/>
        <v>0</v>
      </c>
      <c r="K143" s="19" t="str">
        <f t="shared" si="17"/>
        <v xml:space="preserve"> No Issue</v>
      </c>
      <c r="L143" s="1" t="str">
        <f t="shared" si="18"/>
        <v>No Issue</v>
      </c>
      <c r="M143" s="1" t="str">
        <f t="shared" si="19"/>
        <v>No Issue</v>
      </c>
      <c r="N143" s="1" t="str">
        <f t="shared" si="20"/>
        <v>No Issue</v>
      </c>
      <c r="O143" s="1" t="str">
        <f t="shared" si="21"/>
        <v>No Issue</v>
      </c>
      <c r="P143" s="1" t="str">
        <f t="shared" si="22"/>
        <v>NoIssue</v>
      </c>
    </row>
    <row r="144" spans="1:16" ht="22.5" customHeight="1">
      <c r="A144" s="20">
        <v>22</v>
      </c>
      <c r="B144" s="21" t="s">
        <v>42</v>
      </c>
      <c r="C144" s="26">
        <v>95.17</v>
      </c>
      <c r="D144" s="54">
        <v>10</v>
      </c>
      <c r="E144" s="1"/>
      <c r="F144" s="1"/>
      <c r="G144" s="1"/>
      <c r="H144" s="1"/>
      <c r="I144" s="1">
        <v>10</v>
      </c>
      <c r="J144" s="1">
        <f t="shared" si="16"/>
        <v>10</v>
      </c>
      <c r="K144" s="19" t="str">
        <f t="shared" si="17"/>
        <v xml:space="preserve"> No Issue</v>
      </c>
      <c r="L144" s="1" t="str">
        <f t="shared" si="18"/>
        <v>No Issue</v>
      </c>
      <c r="M144" s="1" t="str">
        <f t="shared" si="19"/>
        <v>No Issue</v>
      </c>
      <c r="N144" s="1" t="str">
        <f t="shared" si="20"/>
        <v>No Issue</v>
      </c>
      <c r="O144" s="1" t="str">
        <f t="shared" si="21"/>
        <v>No Issue</v>
      </c>
      <c r="P144" s="1" t="str">
        <f t="shared" si="22"/>
        <v>NoIssue</v>
      </c>
    </row>
    <row r="145" spans="1:16" ht="22.5" customHeight="1">
      <c r="A145" s="20">
        <v>23</v>
      </c>
      <c r="B145" s="21" t="s">
        <v>43</v>
      </c>
      <c r="C145" s="26">
        <v>92.94</v>
      </c>
      <c r="D145" s="54">
        <v>10</v>
      </c>
      <c r="E145" s="1"/>
      <c r="F145" s="1"/>
      <c r="G145" s="1"/>
      <c r="H145" s="1"/>
      <c r="I145" s="1">
        <v>10</v>
      </c>
      <c r="J145" s="1">
        <f t="shared" si="16"/>
        <v>10</v>
      </c>
      <c r="K145" s="19" t="str">
        <f t="shared" si="17"/>
        <v xml:space="preserve"> No Issue</v>
      </c>
      <c r="L145" s="1" t="str">
        <f t="shared" si="18"/>
        <v>No Issue</v>
      </c>
      <c r="M145" s="1" t="str">
        <f t="shared" si="19"/>
        <v>No Issue</v>
      </c>
      <c r="N145" s="1" t="str">
        <f t="shared" si="20"/>
        <v>No Issue</v>
      </c>
      <c r="O145" s="1" t="str">
        <f t="shared" si="21"/>
        <v>No Issue</v>
      </c>
      <c r="P145" s="1" t="str">
        <f t="shared" si="22"/>
        <v>NoIssue</v>
      </c>
    </row>
    <row r="146" spans="1:16" ht="22.5" customHeight="1">
      <c r="A146" s="20">
        <v>24</v>
      </c>
      <c r="B146" s="21" t="s">
        <v>44</v>
      </c>
      <c r="C146" s="26">
        <v>101.82</v>
      </c>
      <c r="D146" s="54">
        <v>10</v>
      </c>
      <c r="E146" s="1"/>
      <c r="F146" s="1"/>
      <c r="G146" s="1"/>
      <c r="H146" s="1"/>
      <c r="I146" s="1">
        <v>10</v>
      </c>
      <c r="J146" s="1">
        <f t="shared" si="16"/>
        <v>10</v>
      </c>
      <c r="K146" s="19" t="str">
        <f t="shared" si="17"/>
        <v xml:space="preserve"> No Issue</v>
      </c>
      <c r="L146" s="1" t="str">
        <f t="shared" si="18"/>
        <v>No Issue</v>
      </c>
      <c r="M146" s="1" t="str">
        <f t="shared" si="19"/>
        <v>No Issue</v>
      </c>
      <c r="N146" s="1" t="str">
        <f t="shared" si="20"/>
        <v>No Issue</v>
      </c>
      <c r="O146" s="1" t="str">
        <f t="shared" si="21"/>
        <v>No Issue</v>
      </c>
      <c r="P146" s="1" t="str">
        <f t="shared" si="22"/>
        <v>NoIssue</v>
      </c>
    </row>
    <row r="147" spans="1:16" ht="22.5" customHeight="1">
      <c r="A147" s="20">
        <v>25</v>
      </c>
      <c r="B147" s="21" t="s">
        <v>45</v>
      </c>
      <c r="C147" s="26">
        <v>53.49</v>
      </c>
      <c r="D147" s="54">
        <v>10</v>
      </c>
      <c r="E147" s="1"/>
      <c r="F147" s="1"/>
      <c r="G147" s="1"/>
      <c r="H147" s="1"/>
      <c r="I147" s="1">
        <v>10</v>
      </c>
      <c r="J147" s="1">
        <f t="shared" si="16"/>
        <v>10</v>
      </c>
      <c r="K147" s="19" t="str">
        <f t="shared" si="17"/>
        <v xml:space="preserve"> No Issue</v>
      </c>
      <c r="L147" s="1" t="str">
        <f t="shared" si="18"/>
        <v>No Issue</v>
      </c>
      <c r="M147" s="1" t="str">
        <f t="shared" si="19"/>
        <v>No Issue</v>
      </c>
      <c r="N147" s="1" t="str">
        <f t="shared" si="20"/>
        <v>No Issue</v>
      </c>
      <c r="O147" s="1" t="str">
        <f t="shared" si="21"/>
        <v>No Issue</v>
      </c>
      <c r="P147" s="1" t="str">
        <f t="shared" si="22"/>
        <v>NoIssue</v>
      </c>
    </row>
    <row r="148" spans="1:16" ht="22.5" customHeight="1">
      <c r="A148" s="20">
        <v>26</v>
      </c>
      <c r="B148" s="21" t="s">
        <v>46</v>
      </c>
      <c r="C148" s="26">
        <v>32.92</v>
      </c>
      <c r="D148" s="54">
        <v>10</v>
      </c>
      <c r="E148" s="1"/>
      <c r="F148" s="1"/>
      <c r="G148" s="1"/>
      <c r="H148" s="1"/>
      <c r="I148" s="1">
        <v>10</v>
      </c>
      <c r="J148" s="1">
        <f t="shared" si="16"/>
        <v>10</v>
      </c>
      <c r="K148" s="19" t="str">
        <f t="shared" si="17"/>
        <v xml:space="preserve"> No Issue</v>
      </c>
      <c r="L148" s="1" t="str">
        <f t="shared" si="18"/>
        <v>No Issue</v>
      </c>
      <c r="M148" s="1" t="str">
        <f t="shared" si="19"/>
        <v>No Issue</v>
      </c>
      <c r="N148" s="1" t="str">
        <f t="shared" si="20"/>
        <v>No Issue</v>
      </c>
      <c r="O148" s="1" t="str">
        <f t="shared" si="21"/>
        <v>No Issue</v>
      </c>
      <c r="P148" s="1" t="str">
        <f t="shared" si="22"/>
        <v>NoIssue</v>
      </c>
    </row>
    <row r="149" spans="1:16" ht="22.5" customHeight="1">
      <c r="A149" s="20">
        <v>27</v>
      </c>
      <c r="B149" s="21" t="s">
        <v>47</v>
      </c>
      <c r="C149" s="26">
        <v>116.68</v>
      </c>
      <c r="D149" s="54">
        <v>0</v>
      </c>
      <c r="E149" s="1"/>
      <c r="F149" s="1"/>
      <c r="G149" s="1"/>
      <c r="H149" s="1"/>
      <c r="I149" s="1">
        <v>0</v>
      </c>
      <c r="J149" s="1">
        <f t="shared" si="16"/>
        <v>0</v>
      </c>
      <c r="K149" s="19" t="str">
        <f t="shared" si="17"/>
        <v xml:space="preserve"> No Issue</v>
      </c>
      <c r="L149" s="1" t="str">
        <f t="shared" si="18"/>
        <v>No Issue</v>
      </c>
      <c r="M149" s="1" t="str">
        <f t="shared" si="19"/>
        <v>No Issue</v>
      </c>
      <c r="N149" s="1" t="str">
        <f t="shared" si="20"/>
        <v>No Issue</v>
      </c>
      <c r="O149" s="1" t="str">
        <f t="shared" si="21"/>
        <v>No Issue</v>
      </c>
      <c r="P149" s="1" t="str">
        <f t="shared" si="22"/>
        <v>NoIssue</v>
      </c>
    </row>
    <row r="150" spans="1:16" ht="22.5" customHeight="1">
      <c r="A150" s="20">
        <v>28</v>
      </c>
      <c r="B150" s="21" t="s">
        <v>48</v>
      </c>
      <c r="C150" s="26">
        <v>107.96</v>
      </c>
      <c r="D150" s="54">
        <v>10</v>
      </c>
      <c r="E150" s="1"/>
      <c r="F150" s="1"/>
      <c r="G150" s="1"/>
      <c r="H150" s="1"/>
      <c r="I150" s="1">
        <v>10</v>
      </c>
      <c r="J150" s="1">
        <f t="shared" si="16"/>
        <v>10</v>
      </c>
      <c r="K150" s="19" t="str">
        <f t="shared" si="17"/>
        <v xml:space="preserve"> No Issue</v>
      </c>
      <c r="L150" s="1" t="str">
        <f t="shared" si="18"/>
        <v>No Issue</v>
      </c>
      <c r="M150" s="1" t="str">
        <f t="shared" si="19"/>
        <v>No Issue</v>
      </c>
      <c r="N150" s="1" t="str">
        <f t="shared" si="20"/>
        <v>No Issue</v>
      </c>
      <c r="O150" s="1" t="str">
        <f t="shared" si="21"/>
        <v>No Issue</v>
      </c>
      <c r="P150" s="1" t="str">
        <f t="shared" si="22"/>
        <v>NoIssue</v>
      </c>
    </row>
    <row r="151" spans="1:16" ht="22.5" customHeight="1">
      <c r="A151" s="20">
        <v>29</v>
      </c>
      <c r="B151" s="21" t="s">
        <v>49</v>
      </c>
      <c r="C151" s="26">
        <v>248.89</v>
      </c>
      <c r="D151" s="54">
        <v>10</v>
      </c>
      <c r="E151" s="1"/>
      <c r="F151" s="1"/>
      <c r="G151" s="1"/>
      <c r="H151" s="1"/>
      <c r="I151" s="1">
        <v>10</v>
      </c>
      <c r="J151" s="1">
        <f t="shared" si="16"/>
        <v>10</v>
      </c>
      <c r="K151" s="19" t="str">
        <f t="shared" si="17"/>
        <v xml:space="preserve"> No Issue</v>
      </c>
      <c r="L151" s="1" t="str">
        <f t="shared" si="18"/>
        <v>No Issue</v>
      </c>
      <c r="M151" s="1" t="str">
        <f t="shared" si="19"/>
        <v>No Issue</v>
      </c>
      <c r="N151" s="1" t="str">
        <f t="shared" si="20"/>
        <v>No Issue</v>
      </c>
      <c r="O151" s="1" t="str">
        <f t="shared" si="21"/>
        <v>No Issue</v>
      </c>
      <c r="P151" s="1" t="str">
        <f t="shared" si="22"/>
        <v>NoIssue</v>
      </c>
    </row>
    <row r="152" spans="1:16" ht="22.5" customHeight="1">
      <c r="A152" s="20">
        <v>30</v>
      </c>
      <c r="B152" s="21" t="s">
        <v>50</v>
      </c>
      <c r="C152" s="26">
        <v>80.36</v>
      </c>
      <c r="D152" s="54">
        <v>10</v>
      </c>
      <c r="E152" s="1"/>
      <c r="F152" s="19"/>
      <c r="G152" s="19"/>
      <c r="H152" s="19"/>
      <c r="I152" s="1">
        <v>10</v>
      </c>
      <c r="J152" s="1">
        <f t="shared" si="16"/>
        <v>10</v>
      </c>
      <c r="K152" s="19" t="str">
        <f t="shared" si="17"/>
        <v xml:space="preserve"> No Issue</v>
      </c>
      <c r="L152" s="1" t="str">
        <f t="shared" si="18"/>
        <v>No Issue</v>
      </c>
      <c r="M152" s="1" t="str">
        <f t="shared" si="19"/>
        <v>No Issue</v>
      </c>
      <c r="N152" s="1" t="str">
        <f t="shared" si="20"/>
        <v>No Issue</v>
      </c>
      <c r="O152" s="1" t="str">
        <f t="shared" si="21"/>
        <v>No Issue</v>
      </c>
      <c r="P152" s="1" t="str">
        <f t="shared" si="22"/>
        <v>NoIssue</v>
      </c>
    </row>
    <row r="153" spans="1:16" ht="22.5" customHeight="1">
      <c r="A153" s="20">
        <v>31</v>
      </c>
      <c r="B153" s="21" t="s">
        <v>51</v>
      </c>
      <c r="C153" s="26">
        <v>52.46</v>
      </c>
      <c r="D153" s="54">
        <v>0</v>
      </c>
      <c r="E153" s="1"/>
      <c r="F153" s="19"/>
      <c r="G153" s="19"/>
      <c r="H153" s="19"/>
      <c r="I153" s="1">
        <v>0</v>
      </c>
      <c r="J153" s="1">
        <f t="shared" si="16"/>
        <v>0</v>
      </c>
      <c r="K153" s="19" t="str">
        <f t="shared" si="17"/>
        <v xml:space="preserve"> No Issue</v>
      </c>
      <c r="L153" s="1" t="str">
        <f t="shared" si="18"/>
        <v>No Issue</v>
      </c>
      <c r="M153" s="1" t="str">
        <f t="shared" si="19"/>
        <v>No Issue</v>
      </c>
      <c r="N153" s="1" t="str">
        <f t="shared" si="20"/>
        <v>No Issue</v>
      </c>
      <c r="O153" s="1" t="str">
        <f t="shared" si="21"/>
        <v>No Issue</v>
      </c>
      <c r="P153" s="1" t="str">
        <f t="shared" si="22"/>
        <v>NoIssue</v>
      </c>
    </row>
    <row r="154" spans="1:16" ht="22.5" customHeight="1">
      <c r="A154" s="20">
        <v>32</v>
      </c>
      <c r="B154" s="21" t="s">
        <v>52</v>
      </c>
      <c r="C154" s="26">
        <v>71.209999999999994</v>
      </c>
      <c r="D154" s="54">
        <v>10</v>
      </c>
      <c r="E154" s="1"/>
      <c r="F154" s="19"/>
      <c r="G154" s="19"/>
      <c r="H154" s="19"/>
      <c r="I154" s="1">
        <v>10</v>
      </c>
      <c r="J154" s="1">
        <f t="shared" si="16"/>
        <v>10</v>
      </c>
      <c r="K154" s="19" t="str">
        <f t="shared" si="17"/>
        <v xml:space="preserve"> No Issue</v>
      </c>
      <c r="L154" s="1" t="str">
        <f t="shared" si="18"/>
        <v>No Issue</v>
      </c>
      <c r="M154" s="1" t="str">
        <f t="shared" si="19"/>
        <v>No Issue</v>
      </c>
      <c r="N154" s="1" t="str">
        <f t="shared" si="20"/>
        <v>No Issue</v>
      </c>
      <c r="O154" s="1" t="str">
        <f t="shared" si="21"/>
        <v>No Issue</v>
      </c>
      <c r="P154" s="1" t="str">
        <f t="shared" si="22"/>
        <v>NoIssue</v>
      </c>
    </row>
    <row r="155" spans="1:16" ht="22.5" customHeight="1">
      <c r="A155" s="20">
        <v>33</v>
      </c>
      <c r="B155" s="21" t="s">
        <v>53</v>
      </c>
      <c r="C155" s="26">
        <v>80.349999999999994</v>
      </c>
      <c r="D155" s="54">
        <v>10</v>
      </c>
      <c r="E155" s="1"/>
      <c r="F155" s="19"/>
      <c r="G155" s="19"/>
      <c r="H155" s="19"/>
      <c r="I155" s="1">
        <v>10</v>
      </c>
      <c r="J155" s="1">
        <f t="shared" si="16"/>
        <v>10</v>
      </c>
      <c r="K155" s="19" t="str">
        <f t="shared" si="17"/>
        <v xml:space="preserve"> No Issue</v>
      </c>
      <c r="L155" s="1" t="str">
        <f t="shared" si="18"/>
        <v>No Issue</v>
      </c>
      <c r="M155" s="1" t="str">
        <f t="shared" si="19"/>
        <v>No Issue</v>
      </c>
      <c r="N155" s="1" t="str">
        <f t="shared" si="20"/>
        <v>No Issue</v>
      </c>
      <c r="O155" s="1" t="str">
        <f t="shared" si="21"/>
        <v>No Issue</v>
      </c>
      <c r="P155" s="1" t="str">
        <f t="shared" si="22"/>
        <v>NoIssue</v>
      </c>
    </row>
    <row r="156" spans="1:16" ht="22.5" customHeight="1">
      <c r="A156" s="20">
        <v>34</v>
      </c>
      <c r="B156" s="21" t="s">
        <v>54</v>
      </c>
      <c r="C156" s="26">
        <v>64.180000000000007</v>
      </c>
      <c r="D156" s="54">
        <v>50</v>
      </c>
      <c r="E156" s="1"/>
      <c r="F156" s="19"/>
      <c r="G156" s="19"/>
      <c r="H156" s="19"/>
      <c r="I156" s="1">
        <v>50</v>
      </c>
      <c r="J156" s="1">
        <f t="shared" si="16"/>
        <v>50</v>
      </c>
      <c r="K156" s="19" t="str">
        <f t="shared" si="17"/>
        <v xml:space="preserve"> No Issue</v>
      </c>
      <c r="L156" s="1" t="str">
        <f t="shared" si="18"/>
        <v>No Issue</v>
      </c>
      <c r="M156" s="1" t="str">
        <f t="shared" si="19"/>
        <v>No Issue</v>
      </c>
      <c r="N156" s="1" t="str">
        <f t="shared" si="20"/>
        <v>No Issue</v>
      </c>
      <c r="O156" s="1" t="str">
        <f t="shared" si="21"/>
        <v>No Issue</v>
      </c>
      <c r="P156" s="1" t="str">
        <f t="shared" si="22"/>
        <v>NoIssue</v>
      </c>
    </row>
    <row r="157" spans="1:16" ht="22.5" customHeight="1">
      <c r="A157" s="20">
        <v>35</v>
      </c>
      <c r="B157" s="21" t="s">
        <v>55</v>
      </c>
      <c r="C157" s="26">
        <v>36.9</v>
      </c>
      <c r="D157" s="54">
        <v>0</v>
      </c>
      <c r="E157" s="1"/>
      <c r="F157" s="19"/>
      <c r="G157" s="19"/>
      <c r="H157" s="19"/>
      <c r="I157" s="1">
        <v>0</v>
      </c>
      <c r="J157" s="1">
        <f t="shared" si="16"/>
        <v>0</v>
      </c>
      <c r="K157" s="19" t="str">
        <f t="shared" si="17"/>
        <v xml:space="preserve"> No Issue</v>
      </c>
      <c r="L157" s="1" t="str">
        <f t="shared" si="18"/>
        <v>No Issue</v>
      </c>
      <c r="M157" s="1" t="str">
        <f t="shared" si="19"/>
        <v>No Issue</v>
      </c>
      <c r="N157" s="1" t="str">
        <f t="shared" si="20"/>
        <v>No Issue</v>
      </c>
      <c r="O157" s="1" t="str">
        <f t="shared" si="21"/>
        <v>No Issue</v>
      </c>
      <c r="P157" s="1" t="str">
        <f t="shared" si="22"/>
        <v>NoIssue</v>
      </c>
    </row>
    <row r="158" spans="1:16" ht="22.5" customHeight="1">
      <c r="A158" s="20">
        <v>36</v>
      </c>
      <c r="B158" s="21" t="s">
        <v>56</v>
      </c>
      <c r="C158" s="26">
        <v>101.54</v>
      </c>
      <c r="D158" s="54">
        <v>130</v>
      </c>
      <c r="E158" s="1"/>
      <c r="F158" s="19"/>
      <c r="G158" s="19"/>
      <c r="H158" s="19"/>
      <c r="I158" s="1">
        <v>130</v>
      </c>
      <c r="J158" s="1">
        <f t="shared" si="16"/>
        <v>130</v>
      </c>
      <c r="K158" s="19" t="str">
        <f t="shared" si="17"/>
        <v xml:space="preserve"> No Issue</v>
      </c>
      <c r="L158" s="1" t="str">
        <f t="shared" si="18"/>
        <v>No Issue</v>
      </c>
      <c r="M158" s="1" t="str">
        <f t="shared" si="19"/>
        <v>No Issue</v>
      </c>
      <c r="N158" s="1" t="str">
        <f t="shared" si="20"/>
        <v>No Issue</v>
      </c>
      <c r="O158" s="1" t="str">
        <f t="shared" si="21"/>
        <v>No Issue</v>
      </c>
      <c r="P158" s="1" t="str">
        <f t="shared" si="22"/>
        <v>NoIssue</v>
      </c>
    </row>
    <row r="159" spans="1:16" ht="22.5" customHeight="1">
      <c r="A159" s="20">
        <v>37</v>
      </c>
      <c r="B159" s="21" t="s">
        <v>57</v>
      </c>
      <c r="C159" s="26">
        <v>40.5</v>
      </c>
      <c r="D159" s="54">
        <v>0</v>
      </c>
      <c r="E159" s="1"/>
      <c r="F159" s="19"/>
      <c r="G159" s="19"/>
      <c r="H159" s="19"/>
      <c r="I159" s="1">
        <v>0</v>
      </c>
      <c r="J159" s="1">
        <f t="shared" si="16"/>
        <v>0</v>
      </c>
      <c r="K159" s="19" t="str">
        <f t="shared" si="17"/>
        <v xml:space="preserve"> No Issue</v>
      </c>
      <c r="L159" s="1" t="str">
        <f t="shared" si="18"/>
        <v>No Issue</v>
      </c>
      <c r="M159" s="1" t="str">
        <f t="shared" si="19"/>
        <v>No Issue</v>
      </c>
      <c r="N159" s="1" t="str">
        <f t="shared" si="20"/>
        <v>No Issue</v>
      </c>
      <c r="O159" s="1" t="str">
        <f t="shared" si="21"/>
        <v>No Issue</v>
      </c>
      <c r="P159" s="1" t="str">
        <f t="shared" si="22"/>
        <v>NoIssue</v>
      </c>
    </row>
    <row r="160" spans="1:16" ht="22.5" customHeight="1">
      <c r="A160" s="20">
        <v>38</v>
      </c>
      <c r="B160" s="21" t="s">
        <v>58</v>
      </c>
      <c r="C160" s="26">
        <v>66.69</v>
      </c>
      <c r="D160" s="54">
        <v>0</v>
      </c>
      <c r="E160" s="1"/>
      <c r="F160" s="19"/>
      <c r="G160" s="19"/>
      <c r="H160" s="19"/>
      <c r="I160" s="1">
        <v>0</v>
      </c>
      <c r="J160" s="1">
        <f t="shared" si="16"/>
        <v>0</v>
      </c>
      <c r="K160" s="19" t="str">
        <f t="shared" si="17"/>
        <v xml:space="preserve"> No Issue</v>
      </c>
      <c r="L160" s="1" t="str">
        <f t="shared" si="18"/>
        <v>No Issue</v>
      </c>
      <c r="M160" s="1" t="str">
        <f t="shared" si="19"/>
        <v>No Issue</v>
      </c>
      <c r="N160" s="1" t="str">
        <f t="shared" si="20"/>
        <v>No Issue</v>
      </c>
      <c r="O160" s="1" t="str">
        <f t="shared" si="21"/>
        <v>No Issue</v>
      </c>
      <c r="P160" s="1" t="str">
        <f t="shared" si="22"/>
        <v>NoIssue</v>
      </c>
    </row>
    <row r="161" spans="1:16" ht="22.5" customHeight="1">
      <c r="A161" s="20">
        <v>39</v>
      </c>
      <c r="B161" s="21" t="s">
        <v>59</v>
      </c>
      <c r="C161" s="21">
        <v>150.85999999999999</v>
      </c>
      <c r="D161" s="54">
        <v>0</v>
      </c>
      <c r="E161" s="1"/>
      <c r="F161" s="19"/>
      <c r="G161" s="19"/>
      <c r="H161" s="19"/>
      <c r="I161" s="1">
        <v>0</v>
      </c>
      <c r="J161" s="1">
        <f t="shared" si="16"/>
        <v>0</v>
      </c>
      <c r="K161" s="19" t="str">
        <f t="shared" si="17"/>
        <v xml:space="preserve"> No Issue</v>
      </c>
      <c r="L161" s="1" t="str">
        <f t="shared" si="18"/>
        <v>No Issue</v>
      </c>
      <c r="M161" s="1" t="str">
        <f t="shared" si="19"/>
        <v>No Issue</v>
      </c>
      <c r="N161" s="1" t="str">
        <f t="shared" si="20"/>
        <v>No Issue</v>
      </c>
      <c r="O161" s="1" t="str">
        <f t="shared" si="21"/>
        <v>No Issue</v>
      </c>
      <c r="P161" s="1" t="str">
        <f t="shared" si="22"/>
        <v>NoIssue</v>
      </c>
    </row>
    <row r="162" spans="1:16" ht="22.5" customHeight="1">
      <c r="A162" s="20">
        <v>40</v>
      </c>
      <c r="B162" s="29" t="s">
        <v>60</v>
      </c>
      <c r="C162" s="26">
        <v>180</v>
      </c>
      <c r="D162" s="54">
        <v>0</v>
      </c>
      <c r="E162" s="1"/>
      <c r="F162" s="19"/>
      <c r="G162" s="19"/>
      <c r="H162" s="19"/>
      <c r="I162" s="1">
        <v>0</v>
      </c>
      <c r="J162" s="1">
        <f t="shared" si="16"/>
        <v>0</v>
      </c>
      <c r="K162" s="19" t="str">
        <f t="shared" si="17"/>
        <v xml:space="preserve"> No Issue</v>
      </c>
      <c r="L162" s="1" t="str">
        <f t="shared" si="18"/>
        <v>No Issue</v>
      </c>
      <c r="M162" s="1" t="str">
        <f t="shared" si="19"/>
        <v>No Issue</v>
      </c>
      <c r="N162" s="1" t="str">
        <f t="shared" si="20"/>
        <v>No Issue</v>
      </c>
      <c r="O162" s="1" t="str">
        <f t="shared" si="21"/>
        <v>No Issue</v>
      </c>
      <c r="P162" s="1" t="str">
        <f t="shared" si="22"/>
        <v>NoIssue</v>
      </c>
    </row>
    <row r="163" spans="1:16" ht="22.5" customHeight="1">
      <c r="A163" s="20">
        <v>41</v>
      </c>
      <c r="B163" s="29" t="s">
        <v>61</v>
      </c>
      <c r="C163" s="21">
        <v>128.57</v>
      </c>
      <c r="D163" s="54">
        <v>0</v>
      </c>
      <c r="E163" s="1"/>
      <c r="F163" s="19"/>
      <c r="G163" s="19"/>
      <c r="H163" s="19"/>
      <c r="I163" s="1">
        <v>0</v>
      </c>
      <c r="J163" s="1">
        <f t="shared" si="16"/>
        <v>0</v>
      </c>
      <c r="K163" s="19" t="str">
        <f t="shared" si="17"/>
        <v xml:space="preserve"> No Issue</v>
      </c>
      <c r="L163" s="1" t="str">
        <f t="shared" si="18"/>
        <v>No Issue</v>
      </c>
      <c r="M163" s="1" t="str">
        <f t="shared" si="19"/>
        <v>No Issue</v>
      </c>
      <c r="N163" s="1" t="str">
        <f t="shared" si="20"/>
        <v>No Issue</v>
      </c>
      <c r="O163" s="1" t="str">
        <f t="shared" si="21"/>
        <v>No Issue</v>
      </c>
      <c r="P163" s="1" t="str">
        <f t="shared" si="22"/>
        <v>NoIssue</v>
      </c>
    </row>
    <row r="164" spans="1:16" ht="22.5" customHeight="1">
      <c r="A164" s="20">
        <v>42</v>
      </c>
      <c r="B164" s="21"/>
      <c r="C164" s="21"/>
      <c r="D164" s="1"/>
      <c r="E164" s="1"/>
      <c r="F164" s="19"/>
      <c r="G164" s="19"/>
      <c r="H164" s="19"/>
      <c r="I164" s="1">
        <v>0</v>
      </c>
      <c r="J164" s="1">
        <f t="shared" si="16"/>
        <v>0</v>
      </c>
      <c r="K164" s="19" t="str">
        <f t="shared" si="17"/>
        <v xml:space="preserve"> No Issue</v>
      </c>
      <c r="L164" s="1" t="str">
        <f t="shared" si="18"/>
        <v>No Issue</v>
      </c>
      <c r="M164" s="1" t="str">
        <f t="shared" si="19"/>
        <v>No Issue</v>
      </c>
      <c r="N164" s="1" t="str">
        <f t="shared" si="20"/>
        <v>No Issue</v>
      </c>
      <c r="O164" s="1" t="str">
        <f t="shared" si="21"/>
        <v>No Issue</v>
      </c>
      <c r="P164" s="1" t="str">
        <f t="shared" si="22"/>
        <v>NoIssue</v>
      </c>
    </row>
    <row r="165" spans="1:16" ht="22.5" customHeight="1">
      <c r="A165" s="20">
        <v>43</v>
      </c>
      <c r="B165" s="30"/>
      <c r="C165" s="30"/>
      <c r="D165" s="1"/>
      <c r="E165" s="1"/>
      <c r="F165" s="19"/>
      <c r="G165" s="19"/>
      <c r="H165" s="19"/>
      <c r="I165" s="1">
        <v>0</v>
      </c>
      <c r="J165" s="1">
        <f t="shared" si="16"/>
        <v>0</v>
      </c>
      <c r="K165" s="19" t="str">
        <f t="shared" si="17"/>
        <v xml:space="preserve"> No Issue</v>
      </c>
      <c r="L165" s="1" t="str">
        <f t="shared" si="18"/>
        <v>No Issue</v>
      </c>
      <c r="M165" s="1" t="str">
        <f t="shared" si="19"/>
        <v>No Issue</v>
      </c>
      <c r="N165" s="1" t="str">
        <f t="shared" si="20"/>
        <v>No Issue</v>
      </c>
      <c r="O165" s="1" t="str">
        <f t="shared" si="21"/>
        <v>No Issue</v>
      </c>
      <c r="P165" s="1" t="str">
        <f t="shared" si="22"/>
        <v>NoIssue</v>
      </c>
    </row>
    <row r="166" spans="1:16" ht="22.5" customHeight="1">
      <c r="A166" s="20">
        <v>44</v>
      </c>
      <c r="B166" s="30"/>
      <c r="C166" s="30"/>
      <c r="D166" s="1"/>
      <c r="E166" s="1"/>
      <c r="F166" s="19"/>
      <c r="G166" s="19"/>
      <c r="H166" s="19"/>
      <c r="I166" s="1"/>
      <c r="J166" s="1">
        <f t="shared" si="16"/>
        <v>0</v>
      </c>
      <c r="K166" s="19" t="str">
        <f t="shared" si="17"/>
        <v xml:space="preserve"> No Issue</v>
      </c>
      <c r="L166" s="1" t="str">
        <f t="shared" si="18"/>
        <v>No Issue</v>
      </c>
      <c r="M166" s="1" t="str">
        <f t="shared" si="19"/>
        <v>No Issue</v>
      </c>
      <c r="N166" s="1" t="str">
        <f t="shared" si="20"/>
        <v>No Issue</v>
      </c>
      <c r="O166" s="1" t="str">
        <f t="shared" si="21"/>
        <v>No Issue</v>
      </c>
      <c r="P166" s="1" t="str">
        <f t="shared" si="22"/>
        <v>NoIssue</v>
      </c>
    </row>
    <row r="167" spans="1:16" ht="22.5" customHeight="1">
      <c r="A167" s="20">
        <v>45</v>
      </c>
      <c r="B167" s="30"/>
      <c r="C167" s="30"/>
      <c r="D167" s="1"/>
      <c r="E167" s="1"/>
      <c r="F167" s="19"/>
      <c r="G167" s="19"/>
      <c r="H167" s="19"/>
      <c r="I167" s="1"/>
      <c r="J167" s="1">
        <f t="shared" si="16"/>
        <v>0</v>
      </c>
      <c r="K167" s="19" t="str">
        <f t="shared" si="17"/>
        <v xml:space="preserve"> No Issue</v>
      </c>
      <c r="L167" s="1" t="str">
        <f t="shared" si="18"/>
        <v>No Issue</v>
      </c>
      <c r="M167" s="1" t="str">
        <f t="shared" si="19"/>
        <v>No Issue</v>
      </c>
      <c r="N167" s="1" t="str">
        <f t="shared" si="20"/>
        <v>No Issue</v>
      </c>
      <c r="O167" s="1" t="str">
        <f t="shared" si="21"/>
        <v>No Issue</v>
      </c>
      <c r="P167" s="1" t="str">
        <f t="shared" si="22"/>
        <v>NoIssue</v>
      </c>
    </row>
    <row r="168" spans="1:16" ht="22.5" customHeight="1">
      <c r="A168" s="20">
        <v>46</v>
      </c>
      <c r="B168" s="30"/>
      <c r="C168" s="30"/>
      <c r="D168" s="1"/>
      <c r="E168" s="1"/>
      <c r="F168" s="19"/>
      <c r="G168" s="19"/>
      <c r="H168" s="19"/>
      <c r="I168" s="1"/>
      <c r="J168" s="1">
        <f t="shared" si="16"/>
        <v>0</v>
      </c>
      <c r="K168" s="19" t="str">
        <f t="shared" si="17"/>
        <v xml:space="preserve"> No Issue</v>
      </c>
      <c r="L168" s="1" t="str">
        <f t="shared" si="18"/>
        <v>No Issue</v>
      </c>
      <c r="M168" s="1" t="str">
        <f t="shared" si="19"/>
        <v>No Issue</v>
      </c>
      <c r="N168" s="1" t="str">
        <f t="shared" si="20"/>
        <v>No Issue</v>
      </c>
      <c r="O168" s="1" t="str">
        <f t="shared" si="21"/>
        <v>No Issue</v>
      </c>
      <c r="P168" s="1" t="str">
        <f t="shared" si="22"/>
        <v>NoIssue</v>
      </c>
    </row>
    <row r="169" spans="1:16" ht="22.5" customHeight="1">
      <c r="A169" s="20">
        <v>47</v>
      </c>
      <c r="B169" s="31"/>
      <c r="C169" s="32"/>
      <c r="D169" s="1"/>
      <c r="E169" s="1"/>
      <c r="F169" s="19"/>
      <c r="G169" s="19"/>
      <c r="H169" s="19"/>
      <c r="I169" s="1"/>
      <c r="J169" s="1">
        <f t="shared" si="16"/>
        <v>0</v>
      </c>
      <c r="K169" s="19" t="str">
        <f t="shared" si="17"/>
        <v xml:space="preserve"> No Issue</v>
      </c>
      <c r="L169" s="1" t="str">
        <f t="shared" si="18"/>
        <v>No Issue</v>
      </c>
      <c r="M169" s="1" t="str">
        <f t="shared" si="19"/>
        <v>No Issue</v>
      </c>
      <c r="N169" s="1" t="str">
        <f t="shared" si="20"/>
        <v>No Issue</v>
      </c>
      <c r="O169" s="1" t="str">
        <f t="shared" si="21"/>
        <v>No Issue</v>
      </c>
      <c r="P169" s="1" t="str">
        <f t="shared" si="22"/>
        <v>NoIssue</v>
      </c>
    </row>
    <row r="170" spans="1:16" ht="22.5" customHeight="1">
      <c r="A170" s="20">
        <v>48</v>
      </c>
      <c r="B170" s="31"/>
      <c r="C170" s="32"/>
      <c r="D170" s="1"/>
      <c r="E170" s="1"/>
      <c r="F170" s="19"/>
      <c r="G170" s="19"/>
      <c r="H170" s="19"/>
      <c r="I170" s="1"/>
      <c r="J170" s="1">
        <f t="shared" si="16"/>
        <v>0</v>
      </c>
      <c r="K170" s="19" t="str">
        <f t="shared" si="17"/>
        <v xml:space="preserve"> No Issue</v>
      </c>
      <c r="L170" s="1" t="str">
        <f t="shared" si="18"/>
        <v>No Issue</v>
      </c>
      <c r="M170" s="1" t="str">
        <f t="shared" si="19"/>
        <v>No Issue</v>
      </c>
      <c r="N170" s="1" t="str">
        <f t="shared" si="20"/>
        <v>No Issue</v>
      </c>
      <c r="O170" s="1" t="str">
        <f t="shared" si="21"/>
        <v>No Issue</v>
      </c>
      <c r="P170" s="1" t="str">
        <f t="shared" si="22"/>
        <v>NoIssue</v>
      </c>
    </row>
    <row r="171" spans="1:16" ht="22.5" customHeight="1">
      <c r="A171" s="20">
        <v>49</v>
      </c>
      <c r="B171" s="31"/>
      <c r="C171" s="32"/>
      <c r="D171" s="1"/>
      <c r="E171" s="1"/>
      <c r="F171" s="19"/>
      <c r="G171" s="19"/>
      <c r="H171" s="19"/>
      <c r="I171" s="1"/>
      <c r="J171" s="1">
        <f t="shared" si="16"/>
        <v>0</v>
      </c>
      <c r="K171" s="19" t="str">
        <f t="shared" si="17"/>
        <v xml:space="preserve"> No Issue</v>
      </c>
      <c r="L171" s="1" t="str">
        <f t="shared" si="18"/>
        <v>No Issue</v>
      </c>
      <c r="M171" s="1" t="str">
        <f t="shared" si="19"/>
        <v>No Issue</v>
      </c>
      <c r="N171" s="1" t="str">
        <f t="shared" si="20"/>
        <v>No Issue</v>
      </c>
      <c r="O171" s="1" t="str">
        <f t="shared" si="21"/>
        <v>No Issue</v>
      </c>
      <c r="P171" s="1" t="str">
        <f t="shared" si="22"/>
        <v>NoIssue</v>
      </c>
    </row>
    <row r="172" spans="1:16" ht="22.5" customHeight="1">
      <c r="A172" s="20">
        <v>50</v>
      </c>
      <c r="B172" s="31"/>
      <c r="C172" s="32"/>
      <c r="D172" s="1"/>
      <c r="E172" s="1"/>
      <c r="F172" s="19"/>
      <c r="G172" s="19"/>
      <c r="H172" s="19"/>
      <c r="I172" s="1"/>
      <c r="J172" s="1">
        <f t="shared" si="16"/>
        <v>0</v>
      </c>
      <c r="K172" s="19" t="str">
        <f t="shared" si="17"/>
        <v xml:space="preserve"> No Issue</v>
      </c>
      <c r="L172" s="1" t="str">
        <f t="shared" si="18"/>
        <v>No Issue</v>
      </c>
      <c r="M172" s="1" t="str">
        <f t="shared" si="19"/>
        <v>No Issue</v>
      </c>
      <c r="N172" s="1" t="str">
        <f t="shared" si="20"/>
        <v>No Issue</v>
      </c>
      <c r="O172" s="1" t="str">
        <f t="shared" si="21"/>
        <v>No Issue</v>
      </c>
      <c r="P172" s="1" t="str">
        <f t="shared" si="22"/>
        <v>NoIssue</v>
      </c>
    </row>
    <row r="173" spans="1:16" ht="22.5" customHeight="1">
      <c r="A173" s="20">
        <v>51</v>
      </c>
      <c r="B173" s="31"/>
      <c r="C173" s="32"/>
      <c r="D173" s="1"/>
      <c r="E173" s="1"/>
      <c r="F173" s="19"/>
      <c r="G173" s="19"/>
      <c r="H173" s="19"/>
      <c r="I173" s="1"/>
      <c r="J173" s="1">
        <f t="shared" si="16"/>
        <v>0</v>
      </c>
      <c r="K173" s="19" t="str">
        <f t="shared" si="17"/>
        <v xml:space="preserve"> No Issue</v>
      </c>
      <c r="L173" s="1" t="str">
        <f t="shared" si="18"/>
        <v>No Issue</v>
      </c>
      <c r="M173" s="1" t="str">
        <f t="shared" si="19"/>
        <v>No Issue</v>
      </c>
      <c r="N173" s="1" t="str">
        <f t="shared" si="20"/>
        <v>No Issue</v>
      </c>
      <c r="O173" s="1" t="str">
        <f t="shared" si="21"/>
        <v>No Issue</v>
      </c>
      <c r="P173" s="1" t="str">
        <f t="shared" si="22"/>
        <v>NoIssue</v>
      </c>
    </row>
    <row r="174" spans="1:16" ht="22.5" customHeight="1">
      <c r="A174" s="20">
        <v>52</v>
      </c>
      <c r="B174" s="31"/>
      <c r="C174" s="32"/>
      <c r="D174" s="1"/>
      <c r="E174" s="1"/>
      <c r="F174" s="19"/>
      <c r="G174" s="19"/>
      <c r="H174" s="19"/>
      <c r="I174" s="1"/>
      <c r="J174" s="1">
        <f t="shared" si="16"/>
        <v>0</v>
      </c>
      <c r="K174" s="19" t="str">
        <f t="shared" si="17"/>
        <v xml:space="preserve"> No Issue</v>
      </c>
      <c r="L174" s="1" t="str">
        <f t="shared" si="18"/>
        <v>No Issue</v>
      </c>
      <c r="M174" s="1" t="str">
        <f t="shared" si="19"/>
        <v>No Issue</v>
      </c>
      <c r="N174" s="1" t="str">
        <f t="shared" si="20"/>
        <v>No Issue</v>
      </c>
      <c r="O174" s="1" t="str">
        <f t="shared" si="21"/>
        <v>No Issue</v>
      </c>
      <c r="P174" s="1" t="str">
        <f t="shared" si="22"/>
        <v>NoIssue</v>
      </c>
    </row>
    <row r="175" spans="1:16" ht="22.5" customHeight="1">
      <c r="A175" s="20">
        <v>53</v>
      </c>
      <c r="B175" s="31"/>
      <c r="C175" s="32"/>
      <c r="D175" s="1"/>
      <c r="E175" s="1"/>
      <c r="F175" s="19"/>
      <c r="G175" s="19"/>
      <c r="H175" s="19"/>
      <c r="I175" s="1"/>
      <c r="J175" s="1">
        <f t="shared" si="16"/>
        <v>0</v>
      </c>
      <c r="K175" s="19" t="str">
        <f t="shared" si="17"/>
        <v xml:space="preserve"> No Issue</v>
      </c>
      <c r="L175" s="1" t="str">
        <f t="shared" si="18"/>
        <v>No Issue</v>
      </c>
      <c r="M175" s="1" t="str">
        <f t="shared" si="19"/>
        <v>No Issue</v>
      </c>
      <c r="N175" s="1" t="str">
        <f t="shared" si="20"/>
        <v>No Issue</v>
      </c>
      <c r="O175" s="1" t="str">
        <f t="shared" si="21"/>
        <v>No Issue</v>
      </c>
      <c r="P175" s="1" t="str">
        <f t="shared" si="22"/>
        <v>NoIssue</v>
      </c>
    </row>
    <row r="176" spans="1:16" ht="22.5" customHeight="1">
      <c r="A176" s="20">
        <v>54</v>
      </c>
      <c r="B176" s="30"/>
      <c r="C176" s="30"/>
      <c r="D176" s="1"/>
      <c r="E176" s="1"/>
      <c r="F176" s="19"/>
      <c r="G176" s="19"/>
      <c r="H176" s="19"/>
      <c r="I176" s="1"/>
      <c r="J176" s="1">
        <f t="shared" si="16"/>
        <v>0</v>
      </c>
      <c r="K176" s="19" t="str">
        <f t="shared" si="17"/>
        <v xml:space="preserve"> No Issue</v>
      </c>
      <c r="L176" s="1" t="str">
        <f t="shared" si="18"/>
        <v>No Issue</v>
      </c>
      <c r="M176" s="1" t="str">
        <f t="shared" si="19"/>
        <v>No Issue</v>
      </c>
      <c r="N176" s="1" t="str">
        <f t="shared" si="20"/>
        <v>No Issue</v>
      </c>
      <c r="O176" s="1" t="str">
        <f t="shared" si="21"/>
        <v>No Issue</v>
      </c>
      <c r="P176" s="1" t="str">
        <f t="shared" si="22"/>
        <v>NoIssue</v>
      </c>
    </row>
    <row r="177" spans="1:16" ht="22.5" customHeight="1">
      <c r="A177" s="20">
        <v>55</v>
      </c>
      <c r="B177" s="31"/>
      <c r="C177" s="32"/>
      <c r="D177" s="1"/>
      <c r="E177" s="1"/>
      <c r="F177" s="19"/>
      <c r="G177" s="19"/>
      <c r="H177" s="19"/>
      <c r="I177" s="1"/>
      <c r="J177" s="1">
        <f t="shared" si="16"/>
        <v>0</v>
      </c>
      <c r="K177" s="19" t="str">
        <f t="shared" si="17"/>
        <v xml:space="preserve"> No Issue</v>
      </c>
      <c r="L177" s="1" t="str">
        <f t="shared" si="18"/>
        <v>No Issue</v>
      </c>
      <c r="M177" s="1" t="str">
        <f t="shared" si="19"/>
        <v>No Issue</v>
      </c>
      <c r="N177" s="1" t="str">
        <f t="shared" si="20"/>
        <v>No Issue</v>
      </c>
      <c r="O177" s="1" t="str">
        <f t="shared" si="21"/>
        <v>No Issue</v>
      </c>
      <c r="P177" s="1" t="str">
        <f t="shared" si="22"/>
        <v>NoIssue</v>
      </c>
    </row>
    <row r="178" spans="1:16" ht="22.5" customHeight="1">
      <c r="A178" s="20">
        <v>56</v>
      </c>
      <c r="B178" s="31"/>
      <c r="C178" s="32"/>
      <c r="D178" s="1"/>
      <c r="E178" s="1"/>
      <c r="F178" s="19"/>
      <c r="G178" s="19"/>
      <c r="H178" s="19"/>
      <c r="I178" s="1"/>
      <c r="J178" s="1">
        <f t="shared" si="16"/>
        <v>0</v>
      </c>
      <c r="K178" s="19" t="str">
        <f t="shared" si="17"/>
        <v xml:space="preserve"> No Issue</v>
      </c>
      <c r="L178" s="1" t="str">
        <f t="shared" si="18"/>
        <v>No Issue</v>
      </c>
      <c r="M178" s="1" t="str">
        <f t="shared" si="19"/>
        <v>No Issue</v>
      </c>
      <c r="N178" s="1" t="str">
        <f t="shared" si="20"/>
        <v>No Issue</v>
      </c>
      <c r="O178" s="1" t="str">
        <f t="shared" si="21"/>
        <v>No Issue</v>
      </c>
      <c r="P178" s="1" t="str">
        <f t="shared" si="22"/>
        <v>NoIssue</v>
      </c>
    </row>
    <row r="179" spans="1:16" ht="22.5" customHeight="1">
      <c r="A179" s="20"/>
      <c r="B179" s="1" t="s">
        <v>62</v>
      </c>
      <c r="C179" s="31"/>
      <c r="D179" s="1">
        <f t="shared" ref="D179:I179" si="23">SUMPRODUCT(D123:D178,$C123:$C178)</f>
        <v>30417.5</v>
      </c>
      <c r="E179" s="1">
        <f t="shared" si="23"/>
        <v>0</v>
      </c>
      <c r="F179" s="1">
        <f t="shared" si="23"/>
        <v>0</v>
      </c>
      <c r="G179" s="1">
        <f t="shared" si="23"/>
        <v>0</v>
      </c>
      <c r="H179" s="1">
        <f t="shared" si="23"/>
        <v>0</v>
      </c>
      <c r="I179" s="1">
        <f t="shared" si="23"/>
        <v>30417.5</v>
      </c>
      <c r="J179" s="1">
        <f t="shared" si="16"/>
        <v>30417.5</v>
      </c>
      <c r="K179" s="19" t="str">
        <f t="shared" si="17"/>
        <v xml:space="preserve"> No Issue</v>
      </c>
      <c r="L179" s="1" t="str">
        <f t="shared" si="18"/>
        <v>No Issue</v>
      </c>
      <c r="M179" s="1" t="str">
        <f t="shared" si="19"/>
        <v>No Issue</v>
      </c>
      <c r="N179" s="1" t="str">
        <f t="shared" si="20"/>
        <v>No Issue</v>
      </c>
      <c r="O179" s="1" t="str">
        <f t="shared" si="21"/>
        <v>No Issue</v>
      </c>
      <c r="P179" s="1" t="str">
        <f t="shared" si="22"/>
        <v>Check Once Closing quantity or Value Problem</v>
      </c>
    </row>
    <row r="180" spans="1:16" ht="22.5" customHeight="1">
      <c r="A180" s="8"/>
      <c r="B180" s="9" t="s">
        <v>3</v>
      </c>
      <c r="C180" s="10"/>
      <c r="D180" s="11"/>
      <c r="E180" s="9"/>
      <c r="F180" s="12"/>
      <c r="G180" s="46"/>
      <c r="H180" s="47"/>
      <c r="I180" s="12"/>
      <c r="J180" s="13"/>
      <c r="K180" s="48" t="s">
        <v>4</v>
      </c>
      <c r="L180" s="49"/>
      <c r="M180" s="49"/>
      <c r="N180" s="49"/>
      <c r="O180" s="49"/>
      <c r="P180" s="50"/>
    </row>
    <row r="181" spans="1:16" ht="22.5" customHeight="1">
      <c r="A181" s="35" t="s">
        <v>5</v>
      </c>
      <c r="B181" s="19" t="s">
        <v>6</v>
      </c>
      <c r="C181" s="19" t="s">
        <v>7</v>
      </c>
      <c r="D181" s="18" t="s">
        <v>8</v>
      </c>
      <c r="E181" s="18" t="s">
        <v>9</v>
      </c>
      <c r="F181" s="18" t="s">
        <v>10</v>
      </c>
      <c r="G181" s="18" t="s">
        <v>11</v>
      </c>
      <c r="H181" s="18" t="s">
        <v>12</v>
      </c>
      <c r="I181" s="18" t="s">
        <v>13</v>
      </c>
      <c r="J181" s="18" t="s">
        <v>14</v>
      </c>
      <c r="K181" s="19" t="s">
        <v>15</v>
      </c>
      <c r="L181" s="19" t="s">
        <v>16</v>
      </c>
      <c r="M181" s="19" t="s">
        <v>17</v>
      </c>
      <c r="N181" s="19" t="s">
        <v>18</v>
      </c>
      <c r="O181" s="19" t="s">
        <v>19</v>
      </c>
      <c r="P181" s="19" t="s">
        <v>20</v>
      </c>
    </row>
    <row r="182" spans="1:16" ht="22.5" customHeight="1">
      <c r="A182" s="20">
        <v>1</v>
      </c>
      <c r="B182" s="21" t="s">
        <v>21</v>
      </c>
      <c r="C182" s="22">
        <v>192.17</v>
      </c>
      <c r="D182" s="1"/>
      <c r="E182" s="1"/>
      <c r="F182" s="1"/>
      <c r="G182" s="1"/>
      <c r="H182" s="1"/>
      <c r="I182" s="1"/>
      <c r="J182" s="1">
        <f t="shared" ref="J182:J238" si="24">D182+E182-F182-G182+H182</f>
        <v>0</v>
      </c>
      <c r="K182" s="19" t="str">
        <f t="shared" ref="K182:K238" si="25">IF(I182&lt;&gt;(D182+E182-F182-G182+H182),"Closing stock Not Correct-Problem"," No Issue")</f>
        <v xml:space="preserve"> No Issue</v>
      </c>
      <c r="L182" s="1" t="str">
        <f t="shared" ref="L182:L238" si="26">IF((D182+E182)&lt;F182,"High Sale and Less Stock-Problem","No Issue")</f>
        <v>No Issue</v>
      </c>
      <c r="M182" s="1" t="str">
        <f t="shared" ref="M182:M238" si="27">IF(AND((D182+E182+I182)=0,F182&gt;0),"No Stock Sale Present Problem","No Issue")</f>
        <v>No Issue</v>
      </c>
      <c r="N182" s="1" t="str">
        <f t="shared" ref="N182:N238" si="28">IF(AND(SUM(D182:H182)=0,I182&gt;0),"Only Closing Entered Other Parameters No Entired Problem","No Issue")</f>
        <v>No Issue</v>
      </c>
      <c r="O182" s="1" t="str">
        <f t="shared" ref="O182:O238" si="29">IF(F182&gt;5000,"Check Once Sales quantity or Value Problem","No Issue")</f>
        <v>No Issue</v>
      </c>
      <c r="P182" s="1" t="str">
        <f t="shared" ref="P182:P238" si="30">IF(I182&gt;5000,"Check Once Closing quantity or Value Problem","NoIssue")</f>
        <v>NoIssue</v>
      </c>
    </row>
    <row r="183" spans="1:16" ht="22.5" customHeight="1">
      <c r="A183" s="20">
        <v>2</v>
      </c>
      <c r="B183" s="21" t="s">
        <v>22</v>
      </c>
      <c r="C183" s="22">
        <v>9.26</v>
      </c>
      <c r="D183" s="1"/>
      <c r="E183" s="1"/>
      <c r="F183" s="1"/>
      <c r="G183" s="1"/>
      <c r="H183" s="1"/>
      <c r="I183" s="1"/>
      <c r="J183" s="1">
        <f t="shared" si="24"/>
        <v>0</v>
      </c>
      <c r="K183" s="19" t="str">
        <f t="shared" si="25"/>
        <v xml:space="preserve"> No Issue</v>
      </c>
      <c r="L183" s="1" t="str">
        <f t="shared" si="26"/>
        <v>No Issue</v>
      </c>
      <c r="M183" s="1" t="str">
        <f t="shared" si="27"/>
        <v>No Issue</v>
      </c>
      <c r="N183" s="1" t="str">
        <f t="shared" si="28"/>
        <v>No Issue</v>
      </c>
      <c r="O183" s="1" t="str">
        <f t="shared" si="29"/>
        <v>No Issue</v>
      </c>
      <c r="P183" s="1" t="str">
        <f t="shared" si="30"/>
        <v>NoIssue</v>
      </c>
    </row>
    <row r="184" spans="1:16" ht="22.5" customHeight="1">
      <c r="A184" s="20">
        <v>3</v>
      </c>
      <c r="B184" s="21" t="s">
        <v>23</v>
      </c>
      <c r="C184" s="22">
        <v>87.79</v>
      </c>
      <c r="D184" s="1"/>
      <c r="E184" s="1"/>
      <c r="F184" s="1"/>
      <c r="G184" s="1"/>
      <c r="H184" s="1"/>
      <c r="I184" s="1"/>
      <c r="J184" s="1">
        <f t="shared" si="24"/>
        <v>0</v>
      </c>
      <c r="K184" s="19" t="str">
        <f t="shared" si="25"/>
        <v xml:space="preserve"> No Issue</v>
      </c>
      <c r="L184" s="1" t="str">
        <f t="shared" si="26"/>
        <v>No Issue</v>
      </c>
      <c r="M184" s="1" t="str">
        <f t="shared" si="27"/>
        <v>No Issue</v>
      </c>
      <c r="N184" s="1" t="str">
        <f t="shared" si="28"/>
        <v>No Issue</v>
      </c>
      <c r="O184" s="1" t="str">
        <f t="shared" si="29"/>
        <v>No Issue</v>
      </c>
      <c r="P184" s="1" t="str">
        <f t="shared" si="30"/>
        <v>NoIssue</v>
      </c>
    </row>
    <row r="185" spans="1:16" ht="22.5" customHeight="1">
      <c r="A185" s="20">
        <v>4</v>
      </c>
      <c r="B185" s="21" t="s">
        <v>24</v>
      </c>
      <c r="C185" s="22">
        <v>55.55</v>
      </c>
      <c r="D185" s="1"/>
      <c r="E185" s="1"/>
      <c r="F185" s="1"/>
      <c r="G185" s="1"/>
      <c r="H185" s="1"/>
      <c r="I185" s="1"/>
      <c r="J185" s="1">
        <f t="shared" si="24"/>
        <v>0</v>
      </c>
      <c r="K185" s="19" t="str">
        <f t="shared" si="25"/>
        <v xml:space="preserve"> No Issue</v>
      </c>
      <c r="L185" s="1" t="str">
        <f t="shared" si="26"/>
        <v>No Issue</v>
      </c>
      <c r="M185" s="1" t="str">
        <f t="shared" si="27"/>
        <v>No Issue</v>
      </c>
      <c r="N185" s="1" t="str">
        <f t="shared" si="28"/>
        <v>No Issue</v>
      </c>
      <c r="O185" s="1" t="str">
        <f t="shared" si="29"/>
        <v>No Issue</v>
      </c>
      <c r="P185" s="1" t="str">
        <f t="shared" si="30"/>
        <v>NoIssue</v>
      </c>
    </row>
    <row r="186" spans="1:16" ht="22.5" customHeight="1">
      <c r="A186" s="20">
        <v>5</v>
      </c>
      <c r="B186" s="21" t="s">
        <v>25</v>
      </c>
      <c r="C186" s="22">
        <v>70.010000000000005</v>
      </c>
      <c r="D186" s="1"/>
      <c r="E186" s="1"/>
      <c r="F186" s="1"/>
      <c r="G186" s="1"/>
      <c r="H186" s="1"/>
      <c r="I186" s="1"/>
      <c r="J186" s="1">
        <f t="shared" si="24"/>
        <v>0</v>
      </c>
      <c r="K186" s="19" t="str">
        <f t="shared" si="25"/>
        <v xml:space="preserve"> No Issue</v>
      </c>
      <c r="L186" s="1" t="str">
        <f t="shared" si="26"/>
        <v>No Issue</v>
      </c>
      <c r="M186" s="1" t="str">
        <f t="shared" si="27"/>
        <v>No Issue</v>
      </c>
      <c r="N186" s="1" t="str">
        <f t="shared" si="28"/>
        <v>No Issue</v>
      </c>
      <c r="O186" s="1" t="str">
        <f t="shared" si="29"/>
        <v>No Issue</v>
      </c>
      <c r="P186" s="1" t="str">
        <f t="shared" si="30"/>
        <v>NoIssue</v>
      </c>
    </row>
    <row r="187" spans="1:16" ht="22.5" customHeight="1">
      <c r="A187" s="20">
        <v>6</v>
      </c>
      <c r="B187" s="25" t="s">
        <v>26</v>
      </c>
      <c r="C187" s="22">
        <v>73.929999999999993</v>
      </c>
      <c r="D187" s="1"/>
      <c r="E187" s="1"/>
      <c r="F187" s="1"/>
      <c r="G187" s="1"/>
      <c r="H187" s="1"/>
      <c r="I187" s="1"/>
      <c r="J187" s="1">
        <f t="shared" si="24"/>
        <v>0</v>
      </c>
      <c r="K187" s="19" t="str">
        <f t="shared" si="25"/>
        <v xml:space="preserve"> No Issue</v>
      </c>
      <c r="L187" s="1" t="str">
        <f t="shared" si="26"/>
        <v>No Issue</v>
      </c>
      <c r="M187" s="1" t="str">
        <f t="shared" si="27"/>
        <v>No Issue</v>
      </c>
      <c r="N187" s="1" t="str">
        <f t="shared" si="28"/>
        <v>No Issue</v>
      </c>
      <c r="O187" s="1" t="str">
        <f t="shared" si="29"/>
        <v>No Issue</v>
      </c>
      <c r="P187" s="1" t="str">
        <f t="shared" si="30"/>
        <v>NoIssue</v>
      </c>
    </row>
    <row r="188" spans="1:16" ht="22.5" customHeight="1">
      <c r="A188" s="20">
        <v>7</v>
      </c>
      <c r="B188" s="21" t="s">
        <v>27</v>
      </c>
      <c r="C188" s="26">
        <v>13.91</v>
      </c>
      <c r="D188" s="1"/>
      <c r="E188" s="1"/>
      <c r="F188" s="1"/>
      <c r="G188" s="1"/>
      <c r="H188" s="1"/>
      <c r="I188" s="1"/>
      <c r="J188" s="1">
        <f t="shared" si="24"/>
        <v>0</v>
      </c>
      <c r="K188" s="19" t="str">
        <f t="shared" si="25"/>
        <v xml:space="preserve"> No Issue</v>
      </c>
      <c r="L188" s="1" t="str">
        <f t="shared" si="26"/>
        <v>No Issue</v>
      </c>
      <c r="M188" s="1" t="str">
        <f t="shared" si="27"/>
        <v>No Issue</v>
      </c>
      <c r="N188" s="1" t="str">
        <f t="shared" si="28"/>
        <v>No Issue</v>
      </c>
      <c r="O188" s="1" t="str">
        <f t="shared" si="29"/>
        <v>No Issue</v>
      </c>
      <c r="P188" s="1" t="str">
        <f t="shared" si="30"/>
        <v>NoIssue</v>
      </c>
    </row>
    <row r="189" spans="1:16" ht="22.5" customHeight="1">
      <c r="A189" s="20">
        <v>8</v>
      </c>
      <c r="B189" s="21" t="s">
        <v>28</v>
      </c>
      <c r="C189" s="26">
        <v>19.5</v>
      </c>
      <c r="D189" s="1"/>
      <c r="E189" s="1"/>
      <c r="F189" s="1"/>
      <c r="G189" s="1"/>
      <c r="H189" s="1"/>
      <c r="I189" s="1"/>
      <c r="J189" s="1">
        <f t="shared" si="24"/>
        <v>0</v>
      </c>
      <c r="K189" s="19" t="str">
        <f t="shared" si="25"/>
        <v xml:space="preserve"> No Issue</v>
      </c>
      <c r="L189" s="1" t="str">
        <f t="shared" si="26"/>
        <v>No Issue</v>
      </c>
      <c r="M189" s="1" t="str">
        <f t="shared" si="27"/>
        <v>No Issue</v>
      </c>
      <c r="N189" s="1" t="str">
        <f t="shared" si="28"/>
        <v>No Issue</v>
      </c>
      <c r="O189" s="1" t="str">
        <f t="shared" si="29"/>
        <v>No Issue</v>
      </c>
      <c r="P189" s="1" t="str">
        <f t="shared" si="30"/>
        <v>NoIssue</v>
      </c>
    </row>
    <row r="190" spans="1:16" ht="22.5" customHeight="1">
      <c r="A190" s="20">
        <v>9</v>
      </c>
      <c r="B190" s="21" t="s">
        <v>29</v>
      </c>
      <c r="C190" s="26">
        <v>28.83</v>
      </c>
      <c r="D190" s="1"/>
      <c r="E190" s="1"/>
      <c r="F190" s="1"/>
      <c r="G190" s="1"/>
      <c r="H190" s="1"/>
      <c r="I190" s="1"/>
      <c r="J190" s="1">
        <f t="shared" si="24"/>
        <v>0</v>
      </c>
      <c r="K190" s="19" t="str">
        <f t="shared" si="25"/>
        <v xml:space="preserve"> No Issue</v>
      </c>
      <c r="L190" s="1" t="str">
        <f t="shared" si="26"/>
        <v>No Issue</v>
      </c>
      <c r="M190" s="1" t="str">
        <f t="shared" si="27"/>
        <v>No Issue</v>
      </c>
      <c r="N190" s="1" t="str">
        <f t="shared" si="28"/>
        <v>No Issue</v>
      </c>
      <c r="O190" s="1" t="str">
        <f t="shared" si="29"/>
        <v>No Issue</v>
      </c>
      <c r="P190" s="1" t="str">
        <f t="shared" si="30"/>
        <v>NoIssue</v>
      </c>
    </row>
    <row r="191" spans="1:16" ht="22.5" customHeight="1">
      <c r="A191" s="20">
        <v>10</v>
      </c>
      <c r="B191" s="21" t="s">
        <v>30</v>
      </c>
      <c r="C191" s="26">
        <v>8.51</v>
      </c>
      <c r="D191" s="1"/>
      <c r="E191" s="1"/>
      <c r="F191" s="1"/>
      <c r="G191" s="1"/>
      <c r="H191" s="1"/>
      <c r="I191" s="1"/>
      <c r="J191" s="1">
        <f t="shared" si="24"/>
        <v>0</v>
      </c>
      <c r="K191" s="19" t="str">
        <f t="shared" si="25"/>
        <v xml:space="preserve"> No Issue</v>
      </c>
      <c r="L191" s="1" t="str">
        <f t="shared" si="26"/>
        <v>No Issue</v>
      </c>
      <c r="M191" s="1" t="str">
        <f t="shared" si="27"/>
        <v>No Issue</v>
      </c>
      <c r="N191" s="1" t="str">
        <f t="shared" si="28"/>
        <v>No Issue</v>
      </c>
      <c r="O191" s="1" t="str">
        <f t="shared" si="29"/>
        <v>No Issue</v>
      </c>
      <c r="P191" s="1" t="str">
        <f t="shared" si="30"/>
        <v>NoIssue</v>
      </c>
    </row>
    <row r="192" spans="1:16" ht="22.5" customHeight="1">
      <c r="A192" s="20">
        <v>11</v>
      </c>
      <c r="B192" s="21" t="s">
        <v>31</v>
      </c>
      <c r="C192" s="26">
        <v>102.17</v>
      </c>
      <c r="D192" s="1"/>
      <c r="E192" s="1"/>
      <c r="F192" s="1"/>
      <c r="G192" s="1"/>
      <c r="H192" s="1"/>
      <c r="I192" s="1"/>
      <c r="J192" s="1">
        <f t="shared" si="24"/>
        <v>0</v>
      </c>
      <c r="K192" s="19" t="str">
        <f t="shared" si="25"/>
        <v xml:space="preserve"> No Issue</v>
      </c>
      <c r="L192" s="1" t="str">
        <f t="shared" si="26"/>
        <v>No Issue</v>
      </c>
      <c r="M192" s="1" t="str">
        <f t="shared" si="27"/>
        <v>No Issue</v>
      </c>
      <c r="N192" s="1" t="str">
        <f t="shared" si="28"/>
        <v>No Issue</v>
      </c>
      <c r="O192" s="1" t="str">
        <f t="shared" si="29"/>
        <v>No Issue</v>
      </c>
      <c r="P192" s="1" t="str">
        <f t="shared" si="30"/>
        <v>NoIssue</v>
      </c>
    </row>
    <row r="193" spans="1:16" ht="22.5" customHeight="1">
      <c r="A193" s="20">
        <v>12</v>
      </c>
      <c r="B193" s="21" t="s">
        <v>32</v>
      </c>
      <c r="C193" s="26">
        <v>59.93</v>
      </c>
      <c r="D193" s="1"/>
      <c r="E193" s="1"/>
      <c r="F193" s="1"/>
      <c r="G193" s="1"/>
      <c r="H193" s="1"/>
      <c r="I193" s="1"/>
      <c r="J193" s="1">
        <f t="shared" si="24"/>
        <v>0</v>
      </c>
      <c r="K193" s="19" t="str">
        <f t="shared" si="25"/>
        <v xml:space="preserve"> No Issue</v>
      </c>
      <c r="L193" s="1" t="str">
        <f t="shared" si="26"/>
        <v>No Issue</v>
      </c>
      <c r="M193" s="1" t="str">
        <f t="shared" si="27"/>
        <v>No Issue</v>
      </c>
      <c r="N193" s="1" t="str">
        <f t="shared" si="28"/>
        <v>No Issue</v>
      </c>
      <c r="O193" s="1" t="str">
        <f t="shared" si="29"/>
        <v>No Issue</v>
      </c>
      <c r="P193" s="1" t="str">
        <f t="shared" si="30"/>
        <v>NoIssue</v>
      </c>
    </row>
    <row r="194" spans="1:16" ht="22.5" customHeight="1">
      <c r="A194" s="20">
        <v>13</v>
      </c>
      <c r="B194" s="21" t="s">
        <v>33</v>
      </c>
      <c r="C194" s="26">
        <v>118</v>
      </c>
      <c r="D194" s="1"/>
      <c r="E194" s="1"/>
      <c r="F194" s="1"/>
      <c r="G194" s="1"/>
      <c r="H194" s="1"/>
      <c r="I194" s="1"/>
      <c r="J194" s="1">
        <f t="shared" si="24"/>
        <v>0</v>
      </c>
      <c r="K194" s="19" t="str">
        <f t="shared" si="25"/>
        <v xml:space="preserve"> No Issue</v>
      </c>
      <c r="L194" s="1" t="str">
        <f t="shared" si="26"/>
        <v>No Issue</v>
      </c>
      <c r="M194" s="1" t="str">
        <f t="shared" si="27"/>
        <v>No Issue</v>
      </c>
      <c r="N194" s="1" t="str">
        <f t="shared" si="28"/>
        <v>No Issue</v>
      </c>
      <c r="O194" s="1" t="str">
        <f t="shared" si="29"/>
        <v>No Issue</v>
      </c>
      <c r="P194" s="1" t="str">
        <f t="shared" si="30"/>
        <v>NoIssue</v>
      </c>
    </row>
    <row r="195" spans="1:16" ht="22.5" customHeight="1">
      <c r="A195" s="20">
        <v>14</v>
      </c>
      <c r="B195" s="21" t="s">
        <v>34</v>
      </c>
      <c r="C195" s="26">
        <v>52.83</v>
      </c>
      <c r="D195" s="1"/>
      <c r="E195" s="1"/>
      <c r="F195" s="1"/>
      <c r="G195" s="1"/>
      <c r="H195" s="1"/>
      <c r="I195" s="1"/>
      <c r="J195" s="1">
        <f t="shared" si="24"/>
        <v>0</v>
      </c>
      <c r="K195" s="19" t="str">
        <f t="shared" si="25"/>
        <v xml:space="preserve"> No Issue</v>
      </c>
      <c r="L195" s="1" t="str">
        <f t="shared" si="26"/>
        <v>No Issue</v>
      </c>
      <c r="M195" s="1" t="str">
        <f t="shared" si="27"/>
        <v>No Issue</v>
      </c>
      <c r="N195" s="1" t="str">
        <f t="shared" si="28"/>
        <v>No Issue</v>
      </c>
      <c r="O195" s="1" t="str">
        <f t="shared" si="29"/>
        <v>No Issue</v>
      </c>
      <c r="P195" s="1" t="str">
        <f t="shared" si="30"/>
        <v>NoIssue</v>
      </c>
    </row>
    <row r="196" spans="1:16" ht="22.5" customHeight="1">
      <c r="A196" s="20">
        <v>15</v>
      </c>
      <c r="B196" s="21" t="s">
        <v>35</v>
      </c>
      <c r="C196" s="26">
        <v>93.2</v>
      </c>
      <c r="D196" s="1"/>
      <c r="E196" s="1"/>
      <c r="F196" s="1"/>
      <c r="G196" s="1"/>
      <c r="H196" s="1"/>
      <c r="I196" s="1"/>
      <c r="J196" s="1">
        <f t="shared" si="24"/>
        <v>0</v>
      </c>
      <c r="K196" s="19" t="str">
        <f t="shared" si="25"/>
        <v xml:space="preserve"> No Issue</v>
      </c>
      <c r="L196" s="1" t="str">
        <f t="shared" si="26"/>
        <v>No Issue</v>
      </c>
      <c r="M196" s="1" t="str">
        <f t="shared" si="27"/>
        <v>No Issue</v>
      </c>
      <c r="N196" s="1" t="str">
        <f t="shared" si="28"/>
        <v>No Issue</v>
      </c>
      <c r="O196" s="1" t="str">
        <f t="shared" si="29"/>
        <v>No Issue</v>
      </c>
      <c r="P196" s="1" t="str">
        <f t="shared" si="30"/>
        <v>NoIssue</v>
      </c>
    </row>
    <row r="197" spans="1:16" ht="22.5" customHeight="1">
      <c r="A197" s="20">
        <v>16</v>
      </c>
      <c r="B197" s="21" t="s">
        <v>36</v>
      </c>
      <c r="C197" s="26">
        <v>61.02</v>
      </c>
      <c r="D197" s="1"/>
      <c r="E197" s="1"/>
      <c r="F197" s="1"/>
      <c r="G197" s="1"/>
      <c r="H197" s="1"/>
      <c r="I197" s="1"/>
      <c r="J197" s="1">
        <f t="shared" si="24"/>
        <v>0</v>
      </c>
      <c r="K197" s="19" t="str">
        <f t="shared" si="25"/>
        <v xml:space="preserve"> No Issue</v>
      </c>
      <c r="L197" s="1" t="str">
        <f t="shared" si="26"/>
        <v>No Issue</v>
      </c>
      <c r="M197" s="1" t="str">
        <f t="shared" si="27"/>
        <v>No Issue</v>
      </c>
      <c r="N197" s="1" t="str">
        <f t="shared" si="28"/>
        <v>No Issue</v>
      </c>
      <c r="O197" s="1" t="str">
        <f t="shared" si="29"/>
        <v>No Issue</v>
      </c>
      <c r="P197" s="1" t="str">
        <f t="shared" si="30"/>
        <v>NoIssue</v>
      </c>
    </row>
    <row r="198" spans="1:16" ht="22.5" customHeight="1">
      <c r="A198" s="20">
        <v>17</v>
      </c>
      <c r="B198" s="21" t="s">
        <v>37</v>
      </c>
      <c r="C198" s="26">
        <v>36.619999999999997</v>
      </c>
      <c r="D198" s="1"/>
      <c r="E198" s="1"/>
      <c r="F198" s="1"/>
      <c r="G198" s="1"/>
      <c r="H198" s="1"/>
      <c r="I198" s="1"/>
      <c r="J198" s="1">
        <f t="shared" si="24"/>
        <v>0</v>
      </c>
      <c r="K198" s="19" t="str">
        <f t="shared" si="25"/>
        <v xml:space="preserve"> No Issue</v>
      </c>
      <c r="L198" s="1" t="str">
        <f t="shared" si="26"/>
        <v>No Issue</v>
      </c>
      <c r="M198" s="1" t="str">
        <f t="shared" si="27"/>
        <v>No Issue</v>
      </c>
      <c r="N198" s="1" t="str">
        <f t="shared" si="28"/>
        <v>No Issue</v>
      </c>
      <c r="O198" s="1" t="str">
        <f t="shared" si="29"/>
        <v>No Issue</v>
      </c>
      <c r="P198" s="1" t="str">
        <f t="shared" si="30"/>
        <v>NoIssue</v>
      </c>
    </row>
    <row r="199" spans="1:16" ht="22.5" customHeight="1">
      <c r="A199" s="20">
        <v>18</v>
      </c>
      <c r="B199" s="21" t="s">
        <v>38</v>
      </c>
      <c r="C199" s="26">
        <v>80.36</v>
      </c>
      <c r="D199" s="1"/>
      <c r="E199" s="1"/>
      <c r="F199" s="1"/>
      <c r="G199" s="1"/>
      <c r="H199" s="1"/>
      <c r="I199" s="1"/>
      <c r="J199" s="1">
        <f t="shared" si="24"/>
        <v>0</v>
      </c>
      <c r="K199" s="19" t="str">
        <f t="shared" si="25"/>
        <v xml:space="preserve"> No Issue</v>
      </c>
      <c r="L199" s="1" t="str">
        <f t="shared" si="26"/>
        <v>No Issue</v>
      </c>
      <c r="M199" s="1" t="str">
        <f t="shared" si="27"/>
        <v>No Issue</v>
      </c>
      <c r="N199" s="1" t="str">
        <f t="shared" si="28"/>
        <v>No Issue</v>
      </c>
      <c r="O199" s="1" t="str">
        <f t="shared" si="29"/>
        <v>No Issue</v>
      </c>
      <c r="P199" s="1" t="str">
        <f t="shared" si="30"/>
        <v>NoIssue</v>
      </c>
    </row>
    <row r="200" spans="1:16" ht="22.5" customHeight="1">
      <c r="A200" s="20">
        <v>19</v>
      </c>
      <c r="B200" s="21" t="s">
        <v>39</v>
      </c>
      <c r="C200" s="26">
        <v>160.56</v>
      </c>
      <c r="D200" s="1"/>
      <c r="E200" s="1"/>
      <c r="F200" s="1"/>
      <c r="G200" s="1"/>
      <c r="H200" s="1"/>
      <c r="I200" s="1"/>
      <c r="J200" s="1">
        <f t="shared" si="24"/>
        <v>0</v>
      </c>
      <c r="K200" s="19" t="str">
        <f t="shared" si="25"/>
        <v xml:space="preserve"> No Issue</v>
      </c>
      <c r="L200" s="1" t="str">
        <f t="shared" si="26"/>
        <v>No Issue</v>
      </c>
      <c r="M200" s="1" t="str">
        <f t="shared" si="27"/>
        <v>No Issue</v>
      </c>
      <c r="N200" s="1" t="str">
        <f t="shared" si="28"/>
        <v>No Issue</v>
      </c>
      <c r="O200" s="1" t="str">
        <f t="shared" si="29"/>
        <v>No Issue</v>
      </c>
      <c r="P200" s="1" t="str">
        <f t="shared" si="30"/>
        <v>NoIssue</v>
      </c>
    </row>
    <row r="201" spans="1:16" ht="22.5" customHeight="1">
      <c r="A201" s="20">
        <v>20</v>
      </c>
      <c r="B201" s="21" t="s">
        <v>40</v>
      </c>
      <c r="C201" s="26">
        <v>186.44</v>
      </c>
      <c r="D201" s="1"/>
      <c r="E201" s="1"/>
      <c r="F201" s="1"/>
      <c r="G201" s="1"/>
      <c r="H201" s="1"/>
      <c r="I201" s="1"/>
      <c r="J201" s="1">
        <f t="shared" si="24"/>
        <v>0</v>
      </c>
      <c r="K201" s="19" t="str">
        <f t="shared" si="25"/>
        <v xml:space="preserve"> No Issue</v>
      </c>
      <c r="L201" s="1" t="str">
        <f t="shared" si="26"/>
        <v>No Issue</v>
      </c>
      <c r="M201" s="1" t="str">
        <f t="shared" si="27"/>
        <v>No Issue</v>
      </c>
      <c r="N201" s="1" t="str">
        <f t="shared" si="28"/>
        <v>No Issue</v>
      </c>
      <c r="O201" s="1" t="str">
        <f t="shared" si="29"/>
        <v>No Issue</v>
      </c>
      <c r="P201" s="1" t="str">
        <f t="shared" si="30"/>
        <v>NoIssue</v>
      </c>
    </row>
    <row r="202" spans="1:16" ht="22.5" customHeight="1">
      <c r="A202" s="20">
        <v>21</v>
      </c>
      <c r="B202" s="21" t="s">
        <v>41</v>
      </c>
      <c r="C202" s="26">
        <v>92.59</v>
      </c>
      <c r="D202" s="1"/>
      <c r="E202" s="1"/>
      <c r="F202" s="1"/>
      <c r="G202" s="1"/>
      <c r="H202" s="1"/>
      <c r="I202" s="1"/>
      <c r="J202" s="1">
        <f t="shared" si="24"/>
        <v>0</v>
      </c>
      <c r="K202" s="19" t="str">
        <f t="shared" si="25"/>
        <v xml:space="preserve"> No Issue</v>
      </c>
      <c r="L202" s="1" t="str">
        <f t="shared" si="26"/>
        <v>No Issue</v>
      </c>
      <c r="M202" s="1" t="str">
        <f t="shared" si="27"/>
        <v>No Issue</v>
      </c>
      <c r="N202" s="1" t="str">
        <f t="shared" si="28"/>
        <v>No Issue</v>
      </c>
      <c r="O202" s="1" t="str">
        <f t="shared" si="29"/>
        <v>No Issue</v>
      </c>
      <c r="P202" s="1" t="str">
        <f t="shared" si="30"/>
        <v>NoIssue</v>
      </c>
    </row>
    <row r="203" spans="1:16" ht="22.5" customHeight="1">
      <c r="A203" s="20">
        <v>22</v>
      </c>
      <c r="B203" s="21" t="s">
        <v>42</v>
      </c>
      <c r="C203" s="26">
        <v>95.17</v>
      </c>
      <c r="D203" s="1"/>
      <c r="E203" s="1"/>
      <c r="F203" s="1"/>
      <c r="G203" s="1"/>
      <c r="H203" s="1"/>
      <c r="I203" s="1"/>
      <c r="J203" s="1">
        <f t="shared" si="24"/>
        <v>0</v>
      </c>
      <c r="K203" s="19" t="str">
        <f t="shared" si="25"/>
        <v xml:space="preserve"> No Issue</v>
      </c>
      <c r="L203" s="1" t="str">
        <f t="shared" si="26"/>
        <v>No Issue</v>
      </c>
      <c r="M203" s="1" t="str">
        <f t="shared" si="27"/>
        <v>No Issue</v>
      </c>
      <c r="N203" s="1" t="str">
        <f t="shared" si="28"/>
        <v>No Issue</v>
      </c>
      <c r="O203" s="1" t="str">
        <f t="shared" si="29"/>
        <v>No Issue</v>
      </c>
      <c r="P203" s="1" t="str">
        <f t="shared" si="30"/>
        <v>NoIssue</v>
      </c>
    </row>
    <row r="204" spans="1:16" ht="22.5" customHeight="1">
      <c r="A204" s="20">
        <v>23</v>
      </c>
      <c r="B204" s="21" t="s">
        <v>43</v>
      </c>
      <c r="C204" s="26">
        <v>92.94</v>
      </c>
      <c r="D204" s="1"/>
      <c r="E204" s="1"/>
      <c r="F204" s="1"/>
      <c r="G204" s="1"/>
      <c r="H204" s="1"/>
      <c r="I204" s="1"/>
      <c r="J204" s="1">
        <f t="shared" si="24"/>
        <v>0</v>
      </c>
      <c r="K204" s="19" t="str">
        <f t="shared" si="25"/>
        <v xml:space="preserve"> No Issue</v>
      </c>
      <c r="L204" s="1" t="str">
        <f t="shared" si="26"/>
        <v>No Issue</v>
      </c>
      <c r="M204" s="1" t="str">
        <f t="shared" si="27"/>
        <v>No Issue</v>
      </c>
      <c r="N204" s="1" t="str">
        <f t="shared" si="28"/>
        <v>No Issue</v>
      </c>
      <c r="O204" s="1" t="str">
        <f t="shared" si="29"/>
        <v>No Issue</v>
      </c>
      <c r="P204" s="1" t="str">
        <f t="shared" si="30"/>
        <v>NoIssue</v>
      </c>
    </row>
    <row r="205" spans="1:16" ht="22.5" customHeight="1">
      <c r="A205" s="20">
        <v>24</v>
      </c>
      <c r="B205" s="21" t="s">
        <v>44</v>
      </c>
      <c r="C205" s="26">
        <v>101.82</v>
      </c>
      <c r="D205" s="1"/>
      <c r="E205" s="1"/>
      <c r="F205" s="1"/>
      <c r="G205" s="1"/>
      <c r="H205" s="1"/>
      <c r="I205" s="1"/>
      <c r="J205" s="1">
        <f t="shared" si="24"/>
        <v>0</v>
      </c>
      <c r="K205" s="19" t="str">
        <f t="shared" si="25"/>
        <v xml:space="preserve"> No Issue</v>
      </c>
      <c r="L205" s="1" t="str">
        <f t="shared" si="26"/>
        <v>No Issue</v>
      </c>
      <c r="M205" s="1" t="str">
        <f t="shared" si="27"/>
        <v>No Issue</v>
      </c>
      <c r="N205" s="1" t="str">
        <f t="shared" si="28"/>
        <v>No Issue</v>
      </c>
      <c r="O205" s="1" t="str">
        <f t="shared" si="29"/>
        <v>No Issue</v>
      </c>
      <c r="P205" s="1" t="str">
        <f t="shared" si="30"/>
        <v>NoIssue</v>
      </c>
    </row>
    <row r="206" spans="1:16" ht="22.5" customHeight="1">
      <c r="A206" s="20">
        <v>25</v>
      </c>
      <c r="B206" s="21" t="s">
        <v>45</v>
      </c>
      <c r="C206" s="26">
        <v>53.49</v>
      </c>
      <c r="D206" s="1"/>
      <c r="E206" s="1"/>
      <c r="F206" s="1"/>
      <c r="G206" s="1"/>
      <c r="H206" s="1"/>
      <c r="I206" s="1"/>
      <c r="J206" s="1">
        <f t="shared" si="24"/>
        <v>0</v>
      </c>
      <c r="K206" s="19" t="str">
        <f t="shared" si="25"/>
        <v xml:space="preserve"> No Issue</v>
      </c>
      <c r="L206" s="1" t="str">
        <f t="shared" si="26"/>
        <v>No Issue</v>
      </c>
      <c r="M206" s="1" t="str">
        <f t="shared" si="27"/>
        <v>No Issue</v>
      </c>
      <c r="N206" s="1" t="str">
        <f t="shared" si="28"/>
        <v>No Issue</v>
      </c>
      <c r="O206" s="1" t="str">
        <f t="shared" si="29"/>
        <v>No Issue</v>
      </c>
      <c r="P206" s="1" t="str">
        <f t="shared" si="30"/>
        <v>NoIssue</v>
      </c>
    </row>
    <row r="207" spans="1:16" ht="22.5" customHeight="1">
      <c r="A207" s="20">
        <v>26</v>
      </c>
      <c r="B207" s="21" t="s">
        <v>46</v>
      </c>
      <c r="C207" s="26">
        <v>32.92</v>
      </c>
      <c r="D207" s="1"/>
      <c r="E207" s="1"/>
      <c r="F207" s="1"/>
      <c r="G207" s="1"/>
      <c r="H207" s="1"/>
      <c r="I207" s="1"/>
      <c r="J207" s="1">
        <f t="shared" si="24"/>
        <v>0</v>
      </c>
      <c r="K207" s="19" t="str">
        <f t="shared" si="25"/>
        <v xml:space="preserve"> No Issue</v>
      </c>
      <c r="L207" s="1" t="str">
        <f t="shared" si="26"/>
        <v>No Issue</v>
      </c>
      <c r="M207" s="1" t="str">
        <f t="shared" si="27"/>
        <v>No Issue</v>
      </c>
      <c r="N207" s="1" t="str">
        <f t="shared" si="28"/>
        <v>No Issue</v>
      </c>
      <c r="O207" s="1" t="str">
        <f t="shared" si="29"/>
        <v>No Issue</v>
      </c>
      <c r="P207" s="1" t="str">
        <f t="shared" si="30"/>
        <v>NoIssue</v>
      </c>
    </row>
    <row r="208" spans="1:16" ht="22.5" customHeight="1">
      <c r="A208" s="20">
        <v>27</v>
      </c>
      <c r="B208" s="21" t="s">
        <v>47</v>
      </c>
      <c r="C208" s="26">
        <v>116.68</v>
      </c>
      <c r="D208" s="1"/>
      <c r="E208" s="1"/>
      <c r="F208" s="1"/>
      <c r="G208" s="1"/>
      <c r="H208" s="1"/>
      <c r="I208" s="1"/>
      <c r="J208" s="1">
        <f t="shared" si="24"/>
        <v>0</v>
      </c>
      <c r="K208" s="19" t="str">
        <f t="shared" si="25"/>
        <v xml:space="preserve"> No Issue</v>
      </c>
      <c r="L208" s="1" t="str">
        <f t="shared" si="26"/>
        <v>No Issue</v>
      </c>
      <c r="M208" s="1" t="str">
        <f t="shared" si="27"/>
        <v>No Issue</v>
      </c>
      <c r="N208" s="1" t="str">
        <f t="shared" si="28"/>
        <v>No Issue</v>
      </c>
      <c r="O208" s="1" t="str">
        <f t="shared" si="29"/>
        <v>No Issue</v>
      </c>
      <c r="P208" s="1" t="str">
        <f t="shared" si="30"/>
        <v>NoIssue</v>
      </c>
    </row>
    <row r="209" spans="1:16" ht="22.5" customHeight="1">
      <c r="A209" s="20">
        <v>28</v>
      </c>
      <c r="B209" s="21" t="s">
        <v>48</v>
      </c>
      <c r="C209" s="26">
        <v>107.96</v>
      </c>
      <c r="D209" s="1"/>
      <c r="E209" s="1"/>
      <c r="F209" s="1"/>
      <c r="G209" s="1"/>
      <c r="H209" s="1"/>
      <c r="I209" s="1"/>
      <c r="J209" s="1">
        <f t="shared" si="24"/>
        <v>0</v>
      </c>
      <c r="K209" s="19" t="str">
        <f t="shared" si="25"/>
        <v xml:space="preserve"> No Issue</v>
      </c>
      <c r="L209" s="1" t="str">
        <f t="shared" si="26"/>
        <v>No Issue</v>
      </c>
      <c r="M209" s="1" t="str">
        <f t="shared" si="27"/>
        <v>No Issue</v>
      </c>
      <c r="N209" s="1" t="str">
        <f t="shared" si="28"/>
        <v>No Issue</v>
      </c>
      <c r="O209" s="1" t="str">
        <f t="shared" si="29"/>
        <v>No Issue</v>
      </c>
      <c r="P209" s="1" t="str">
        <f t="shared" si="30"/>
        <v>NoIssue</v>
      </c>
    </row>
    <row r="210" spans="1:16" ht="22.5" customHeight="1">
      <c r="A210" s="20">
        <v>29</v>
      </c>
      <c r="B210" s="21" t="s">
        <v>49</v>
      </c>
      <c r="C210" s="26">
        <v>248.89</v>
      </c>
      <c r="D210" s="1"/>
      <c r="E210" s="1"/>
      <c r="F210" s="1"/>
      <c r="G210" s="1"/>
      <c r="H210" s="1"/>
      <c r="I210" s="1"/>
      <c r="J210" s="1">
        <f t="shared" si="24"/>
        <v>0</v>
      </c>
      <c r="K210" s="19" t="str">
        <f t="shared" si="25"/>
        <v xml:space="preserve"> No Issue</v>
      </c>
      <c r="L210" s="1" t="str">
        <f t="shared" si="26"/>
        <v>No Issue</v>
      </c>
      <c r="M210" s="1" t="str">
        <f t="shared" si="27"/>
        <v>No Issue</v>
      </c>
      <c r="N210" s="1" t="str">
        <f t="shared" si="28"/>
        <v>No Issue</v>
      </c>
      <c r="O210" s="1" t="str">
        <f t="shared" si="29"/>
        <v>No Issue</v>
      </c>
      <c r="P210" s="1" t="str">
        <f t="shared" si="30"/>
        <v>NoIssue</v>
      </c>
    </row>
    <row r="211" spans="1:16" ht="22.5" customHeight="1">
      <c r="A211" s="20">
        <v>30</v>
      </c>
      <c r="B211" s="21" t="s">
        <v>50</v>
      </c>
      <c r="C211" s="26">
        <v>80.36</v>
      </c>
      <c r="D211" s="1"/>
      <c r="E211" s="1"/>
      <c r="F211" s="19"/>
      <c r="G211" s="19"/>
      <c r="H211" s="19"/>
      <c r="I211" s="1"/>
      <c r="J211" s="1">
        <f t="shared" si="24"/>
        <v>0</v>
      </c>
      <c r="K211" s="19" t="str">
        <f t="shared" si="25"/>
        <v xml:space="preserve"> No Issue</v>
      </c>
      <c r="L211" s="1" t="str">
        <f t="shared" si="26"/>
        <v>No Issue</v>
      </c>
      <c r="M211" s="1" t="str">
        <f t="shared" si="27"/>
        <v>No Issue</v>
      </c>
      <c r="N211" s="1" t="str">
        <f t="shared" si="28"/>
        <v>No Issue</v>
      </c>
      <c r="O211" s="1" t="str">
        <f t="shared" si="29"/>
        <v>No Issue</v>
      </c>
      <c r="P211" s="1" t="str">
        <f t="shared" si="30"/>
        <v>NoIssue</v>
      </c>
    </row>
    <row r="212" spans="1:16" ht="22.5" customHeight="1">
      <c r="A212" s="20">
        <v>31</v>
      </c>
      <c r="B212" s="21" t="s">
        <v>51</v>
      </c>
      <c r="C212" s="26">
        <v>52.46</v>
      </c>
      <c r="D212" s="1"/>
      <c r="E212" s="1"/>
      <c r="F212" s="19"/>
      <c r="G212" s="19"/>
      <c r="H212" s="19"/>
      <c r="I212" s="1"/>
      <c r="J212" s="1">
        <f t="shared" si="24"/>
        <v>0</v>
      </c>
      <c r="K212" s="19" t="str">
        <f t="shared" si="25"/>
        <v xml:space="preserve"> No Issue</v>
      </c>
      <c r="L212" s="1" t="str">
        <f t="shared" si="26"/>
        <v>No Issue</v>
      </c>
      <c r="M212" s="1" t="str">
        <f t="shared" si="27"/>
        <v>No Issue</v>
      </c>
      <c r="N212" s="1" t="str">
        <f t="shared" si="28"/>
        <v>No Issue</v>
      </c>
      <c r="O212" s="1" t="str">
        <f t="shared" si="29"/>
        <v>No Issue</v>
      </c>
      <c r="P212" s="1" t="str">
        <f t="shared" si="30"/>
        <v>NoIssue</v>
      </c>
    </row>
    <row r="213" spans="1:16" ht="22.5" customHeight="1">
      <c r="A213" s="20">
        <v>32</v>
      </c>
      <c r="B213" s="21" t="s">
        <v>52</v>
      </c>
      <c r="C213" s="26">
        <v>71.209999999999994</v>
      </c>
      <c r="D213" s="1"/>
      <c r="E213" s="1"/>
      <c r="F213" s="19"/>
      <c r="G213" s="19"/>
      <c r="H213" s="19"/>
      <c r="I213" s="1"/>
      <c r="J213" s="1">
        <f t="shared" si="24"/>
        <v>0</v>
      </c>
      <c r="K213" s="19" t="str">
        <f t="shared" si="25"/>
        <v xml:space="preserve"> No Issue</v>
      </c>
      <c r="L213" s="1" t="str">
        <f t="shared" si="26"/>
        <v>No Issue</v>
      </c>
      <c r="M213" s="1" t="str">
        <f t="shared" si="27"/>
        <v>No Issue</v>
      </c>
      <c r="N213" s="1" t="str">
        <f t="shared" si="28"/>
        <v>No Issue</v>
      </c>
      <c r="O213" s="1" t="str">
        <f t="shared" si="29"/>
        <v>No Issue</v>
      </c>
      <c r="P213" s="1" t="str">
        <f t="shared" si="30"/>
        <v>NoIssue</v>
      </c>
    </row>
    <row r="214" spans="1:16" ht="22.5" customHeight="1">
      <c r="A214" s="20">
        <v>33</v>
      </c>
      <c r="B214" s="21" t="s">
        <v>53</v>
      </c>
      <c r="C214" s="26">
        <v>80.349999999999994</v>
      </c>
      <c r="D214" s="1"/>
      <c r="E214" s="1"/>
      <c r="F214" s="19"/>
      <c r="G214" s="19"/>
      <c r="H214" s="19"/>
      <c r="I214" s="1"/>
      <c r="J214" s="1">
        <f t="shared" si="24"/>
        <v>0</v>
      </c>
      <c r="K214" s="19" t="str">
        <f t="shared" si="25"/>
        <v xml:space="preserve"> No Issue</v>
      </c>
      <c r="L214" s="1" t="str">
        <f t="shared" si="26"/>
        <v>No Issue</v>
      </c>
      <c r="M214" s="1" t="str">
        <f t="shared" si="27"/>
        <v>No Issue</v>
      </c>
      <c r="N214" s="1" t="str">
        <f t="shared" si="28"/>
        <v>No Issue</v>
      </c>
      <c r="O214" s="1" t="str">
        <f t="shared" si="29"/>
        <v>No Issue</v>
      </c>
      <c r="P214" s="1" t="str">
        <f t="shared" si="30"/>
        <v>NoIssue</v>
      </c>
    </row>
    <row r="215" spans="1:16" ht="22.5" customHeight="1">
      <c r="A215" s="20">
        <v>34</v>
      </c>
      <c r="B215" s="21" t="s">
        <v>54</v>
      </c>
      <c r="C215" s="26">
        <v>64.180000000000007</v>
      </c>
      <c r="D215" s="1"/>
      <c r="E215" s="1"/>
      <c r="F215" s="19"/>
      <c r="G215" s="19"/>
      <c r="H215" s="19"/>
      <c r="I215" s="1"/>
      <c r="J215" s="1">
        <f t="shared" si="24"/>
        <v>0</v>
      </c>
      <c r="K215" s="19" t="str">
        <f t="shared" si="25"/>
        <v xml:space="preserve"> No Issue</v>
      </c>
      <c r="L215" s="1" t="str">
        <f t="shared" si="26"/>
        <v>No Issue</v>
      </c>
      <c r="M215" s="1" t="str">
        <f t="shared" si="27"/>
        <v>No Issue</v>
      </c>
      <c r="N215" s="1" t="str">
        <f t="shared" si="28"/>
        <v>No Issue</v>
      </c>
      <c r="O215" s="1" t="str">
        <f t="shared" si="29"/>
        <v>No Issue</v>
      </c>
      <c r="P215" s="1" t="str">
        <f t="shared" si="30"/>
        <v>NoIssue</v>
      </c>
    </row>
    <row r="216" spans="1:16" ht="22.5" customHeight="1">
      <c r="A216" s="20">
        <v>35</v>
      </c>
      <c r="B216" s="21" t="s">
        <v>55</v>
      </c>
      <c r="C216" s="26">
        <v>36.9</v>
      </c>
      <c r="D216" s="1"/>
      <c r="E216" s="1"/>
      <c r="F216" s="19"/>
      <c r="G216" s="19"/>
      <c r="H216" s="19"/>
      <c r="I216" s="1"/>
      <c r="J216" s="1">
        <f t="shared" si="24"/>
        <v>0</v>
      </c>
      <c r="K216" s="19" t="str">
        <f t="shared" si="25"/>
        <v xml:space="preserve"> No Issue</v>
      </c>
      <c r="L216" s="1" t="str">
        <f t="shared" si="26"/>
        <v>No Issue</v>
      </c>
      <c r="M216" s="1" t="str">
        <f t="shared" si="27"/>
        <v>No Issue</v>
      </c>
      <c r="N216" s="1" t="str">
        <f t="shared" si="28"/>
        <v>No Issue</v>
      </c>
      <c r="O216" s="1" t="str">
        <f t="shared" si="29"/>
        <v>No Issue</v>
      </c>
      <c r="P216" s="1" t="str">
        <f t="shared" si="30"/>
        <v>NoIssue</v>
      </c>
    </row>
    <row r="217" spans="1:16" ht="22.5" customHeight="1">
      <c r="A217" s="20">
        <v>36</v>
      </c>
      <c r="B217" s="21" t="s">
        <v>56</v>
      </c>
      <c r="C217" s="26">
        <v>101.54</v>
      </c>
      <c r="D217" s="1"/>
      <c r="E217" s="1"/>
      <c r="F217" s="19"/>
      <c r="G217" s="19"/>
      <c r="H217" s="19"/>
      <c r="I217" s="1"/>
      <c r="J217" s="1">
        <f t="shared" si="24"/>
        <v>0</v>
      </c>
      <c r="K217" s="19" t="str">
        <f t="shared" si="25"/>
        <v xml:space="preserve"> No Issue</v>
      </c>
      <c r="L217" s="1" t="str">
        <f t="shared" si="26"/>
        <v>No Issue</v>
      </c>
      <c r="M217" s="1" t="str">
        <f t="shared" si="27"/>
        <v>No Issue</v>
      </c>
      <c r="N217" s="1" t="str">
        <f t="shared" si="28"/>
        <v>No Issue</v>
      </c>
      <c r="O217" s="1" t="str">
        <f t="shared" si="29"/>
        <v>No Issue</v>
      </c>
      <c r="P217" s="1" t="str">
        <f t="shared" si="30"/>
        <v>NoIssue</v>
      </c>
    </row>
    <row r="218" spans="1:16" ht="22.5" customHeight="1">
      <c r="A218" s="20">
        <v>37</v>
      </c>
      <c r="B218" s="21" t="s">
        <v>57</v>
      </c>
      <c r="C218" s="26">
        <v>40.5</v>
      </c>
      <c r="D218" s="1"/>
      <c r="E218" s="1"/>
      <c r="F218" s="19"/>
      <c r="G218" s="19"/>
      <c r="H218" s="19"/>
      <c r="I218" s="1"/>
      <c r="J218" s="1">
        <f t="shared" si="24"/>
        <v>0</v>
      </c>
      <c r="K218" s="19" t="str">
        <f t="shared" si="25"/>
        <v xml:space="preserve"> No Issue</v>
      </c>
      <c r="L218" s="1" t="str">
        <f t="shared" si="26"/>
        <v>No Issue</v>
      </c>
      <c r="M218" s="1" t="str">
        <f t="shared" si="27"/>
        <v>No Issue</v>
      </c>
      <c r="N218" s="1" t="str">
        <f t="shared" si="28"/>
        <v>No Issue</v>
      </c>
      <c r="O218" s="1" t="str">
        <f t="shared" si="29"/>
        <v>No Issue</v>
      </c>
      <c r="P218" s="1" t="str">
        <f t="shared" si="30"/>
        <v>NoIssue</v>
      </c>
    </row>
    <row r="219" spans="1:16" ht="22.5" customHeight="1">
      <c r="A219" s="20">
        <v>38</v>
      </c>
      <c r="B219" s="21" t="s">
        <v>58</v>
      </c>
      <c r="C219" s="26">
        <v>66.69</v>
      </c>
      <c r="D219" s="1"/>
      <c r="E219" s="1"/>
      <c r="F219" s="19"/>
      <c r="G219" s="19"/>
      <c r="H219" s="19"/>
      <c r="I219" s="1"/>
      <c r="J219" s="1">
        <f t="shared" si="24"/>
        <v>0</v>
      </c>
      <c r="K219" s="19" t="str">
        <f t="shared" si="25"/>
        <v xml:space="preserve"> No Issue</v>
      </c>
      <c r="L219" s="1" t="str">
        <f t="shared" si="26"/>
        <v>No Issue</v>
      </c>
      <c r="M219" s="1" t="str">
        <f t="shared" si="27"/>
        <v>No Issue</v>
      </c>
      <c r="N219" s="1" t="str">
        <f t="shared" si="28"/>
        <v>No Issue</v>
      </c>
      <c r="O219" s="1" t="str">
        <f t="shared" si="29"/>
        <v>No Issue</v>
      </c>
      <c r="P219" s="1" t="str">
        <f t="shared" si="30"/>
        <v>NoIssue</v>
      </c>
    </row>
    <row r="220" spans="1:16" ht="22.5" customHeight="1">
      <c r="A220" s="20">
        <v>39</v>
      </c>
      <c r="B220" s="21" t="s">
        <v>59</v>
      </c>
      <c r="C220" s="21">
        <v>150.85999999999999</v>
      </c>
      <c r="D220" s="1"/>
      <c r="E220" s="1"/>
      <c r="F220" s="19"/>
      <c r="G220" s="19"/>
      <c r="H220" s="19"/>
      <c r="I220" s="1"/>
      <c r="J220" s="1">
        <f t="shared" si="24"/>
        <v>0</v>
      </c>
      <c r="K220" s="19" t="str">
        <f t="shared" si="25"/>
        <v xml:space="preserve"> No Issue</v>
      </c>
      <c r="L220" s="1" t="str">
        <f t="shared" si="26"/>
        <v>No Issue</v>
      </c>
      <c r="M220" s="1" t="str">
        <f t="shared" si="27"/>
        <v>No Issue</v>
      </c>
      <c r="N220" s="1" t="str">
        <f t="shared" si="28"/>
        <v>No Issue</v>
      </c>
      <c r="O220" s="1" t="str">
        <f t="shared" si="29"/>
        <v>No Issue</v>
      </c>
      <c r="P220" s="1" t="str">
        <f t="shared" si="30"/>
        <v>NoIssue</v>
      </c>
    </row>
    <row r="221" spans="1:16" ht="22.5" customHeight="1">
      <c r="A221" s="20">
        <v>40</v>
      </c>
      <c r="B221" s="29" t="s">
        <v>60</v>
      </c>
      <c r="C221" s="26">
        <v>180</v>
      </c>
      <c r="D221" s="1"/>
      <c r="E221" s="1"/>
      <c r="F221" s="19"/>
      <c r="G221" s="19"/>
      <c r="H221" s="19"/>
      <c r="I221" s="1"/>
      <c r="J221" s="1">
        <f t="shared" si="24"/>
        <v>0</v>
      </c>
      <c r="K221" s="19" t="str">
        <f t="shared" si="25"/>
        <v xml:space="preserve"> No Issue</v>
      </c>
      <c r="L221" s="1" t="str">
        <f t="shared" si="26"/>
        <v>No Issue</v>
      </c>
      <c r="M221" s="1" t="str">
        <f t="shared" si="27"/>
        <v>No Issue</v>
      </c>
      <c r="N221" s="1" t="str">
        <f t="shared" si="28"/>
        <v>No Issue</v>
      </c>
      <c r="O221" s="1" t="str">
        <f t="shared" si="29"/>
        <v>No Issue</v>
      </c>
      <c r="P221" s="1" t="str">
        <f t="shared" si="30"/>
        <v>NoIssue</v>
      </c>
    </row>
    <row r="222" spans="1:16" ht="22.5" customHeight="1">
      <c r="A222" s="20">
        <v>41</v>
      </c>
      <c r="B222" s="29" t="s">
        <v>61</v>
      </c>
      <c r="C222" s="21">
        <v>128.57</v>
      </c>
      <c r="D222" s="1"/>
      <c r="E222" s="1"/>
      <c r="F222" s="19"/>
      <c r="G222" s="19"/>
      <c r="H222" s="19"/>
      <c r="I222" s="1"/>
      <c r="J222" s="1">
        <f t="shared" si="24"/>
        <v>0</v>
      </c>
      <c r="K222" s="19" t="str">
        <f t="shared" si="25"/>
        <v xml:space="preserve"> No Issue</v>
      </c>
      <c r="L222" s="1" t="str">
        <f t="shared" si="26"/>
        <v>No Issue</v>
      </c>
      <c r="M222" s="1" t="str">
        <f t="shared" si="27"/>
        <v>No Issue</v>
      </c>
      <c r="N222" s="1" t="str">
        <f t="shared" si="28"/>
        <v>No Issue</v>
      </c>
      <c r="O222" s="1" t="str">
        <f t="shared" si="29"/>
        <v>No Issue</v>
      </c>
      <c r="P222" s="1" t="str">
        <f t="shared" si="30"/>
        <v>NoIssue</v>
      </c>
    </row>
    <row r="223" spans="1:16" ht="22.5" customHeight="1">
      <c r="A223" s="20">
        <v>42</v>
      </c>
      <c r="B223" s="21"/>
      <c r="C223" s="21"/>
      <c r="D223" s="1"/>
      <c r="E223" s="1"/>
      <c r="F223" s="19"/>
      <c r="G223" s="19"/>
      <c r="H223" s="19"/>
      <c r="I223" s="1"/>
      <c r="J223" s="1">
        <f t="shared" si="24"/>
        <v>0</v>
      </c>
      <c r="K223" s="19" t="str">
        <f t="shared" si="25"/>
        <v xml:space="preserve"> No Issue</v>
      </c>
      <c r="L223" s="1" t="str">
        <f t="shared" si="26"/>
        <v>No Issue</v>
      </c>
      <c r="M223" s="1" t="str">
        <f t="shared" si="27"/>
        <v>No Issue</v>
      </c>
      <c r="N223" s="1" t="str">
        <f t="shared" si="28"/>
        <v>No Issue</v>
      </c>
      <c r="O223" s="1" t="str">
        <f t="shared" si="29"/>
        <v>No Issue</v>
      </c>
      <c r="P223" s="1" t="str">
        <f t="shared" si="30"/>
        <v>NoIssue</v>
      </c>
    </row>
    <row r="224" spans="1:16" ht="22.5" customHeight="1">
      <c r="A224" s="20">
        <v>43</v>
      </c>
      <c r="B224" s="30"/>
      <c r="C224" s="30"/>
      <c r="D224" s="1"/>
      <c r="E224" s="1"/>
      <c r="F224" s="19"/>
      <c r="G224" s="19"/>
      <c r="H224" s="19"/>
      <c r="I224" s="1"/>
      <c r="J224" s="1">
        <f t="shared" si="24"/>
        <v>0</v>
      </c>
      <c r="K224" s="19" t="str">
        <f t="shared" si="25"/>
        <v xml:space="preserve"> No Issue</v>
      </c>
      <c r="L224" s="1" t="str">
        <f t="shared" si="26"/>
        <v>No Issue</v>
      </c>
      <c r="M224" s="1" t="str">
        <f t="shared" si="27"/>
        <v>No Issue</v>
      </c>
      <c r="N224" s="1" t="str">
        <f t="shared" si="28"/>
        <v>No Issue</v>
      </c>
      <c r="O224" s="1" t="str">
        <f t="shared" si="29"/>
        <v>No Issue</v>
      </c>
      <c r="P224" s="1" t="str">
        <f t="shared" si="30"/>
        <v>NoIssue</v>
      </c>
    </row>
    <row r="225" spans="1:16" ht="22.5" customHeight="1">
      <c r="A225" s="20">
        <v>44</v>
      </c>
      <c r="B225" s="30"/>
      <c r="C225" s="30"/>
      <c r="D225" s="1"/>
      <c r="E225" s="1"/>
      <c r="F225" s="19"/>
      <c r="G225" s="19"/>
      <c r="H225" s="19"/>
      <c r="I225" s="1"/>
      <c r="J225" s="1">
        <f t="shared" si="24"/>
        <v>0</v>
      </c>
      <c r="K225" s="19" t="str">
        <f t="shared" si="25"/>
        <v xml:space="preserve"> No Issue</v>
      </c>
      <c r="L225" s="1" t="str">
        <f t="shared" si="26"/>
        <v>No Issue</v>
      </c>
      <c r="M225" s="1" t="str">
        <f t="shared" si="27"/>
        <v>No Issue</v>
      </c>
      <c r="N225" s="1" t="str">
        <f t="shared" si="28"/>
        <v>No Issue</v>
      </c>
      <c r="O225" s="1" t="str">
        <f t="shared" si="29"/>
        <v>No Issue</v>
      </c>
      <c r="P225" s="1" t="str">
        <f t="shared" si="30"/>
        <v>NoIssue</v>
      </c>
    </row>
    <row r="226" spans="1:16" ht="22.5" customHeight="1">
      <c r="A226" s="20">
        <v>45</v>
      </c>
      <c r="B226" s="30"/>
      <c r="C226" s="30"/>
      <c r="D226" s="1"/>
      <c r="E226" s="1"/>
      <c r="F226" s="19"/>
      <c r="G226" s="19"/>
      <c r="H226" s="19"/>
      <c r="I226" s="1"/>
      <c r="J226" s="1">
        <f t="shared" si="24"/>
        <v>0</v>
      </c>
      <c r="K226" s="19" t="str">
        <f t="shared" si="25"/>
        <v xml:space="preserve"> No Issue</v>
      </c>
      <c r="L226" s="1" t="str">
        <f t="shared" si="26"/>
        <v>No Issue</v>
      </c>
      <c r="M226" s="1" t="str">
        <f t="shared" si="27"/>
        <v>No Issue</v>
      </c>
      <c r="N226" s="1" t="str">
        <f t="shared" si="28"/>
        <v>No Issue</v>
      </c>
      <c r="O226" s="1" t="str">
        <f t="shared" si="29"/>
        <v>No Issue</v>
      </c>
      <c r="P226" s="1" t="str">
        <f t="shared" si="30"/>
        <v>NoIssue</v>
      </c>
    </row>
    <row r="227" spans="1:16" ht="22.5" customHeight="1">
      <c r="A227" s="20">
        <v>46</v>
      </c>
      <c r="B227" s="30"/>
      <c r="C227" s="30"/>
      <c r="D227" s="1"/>
      <c r="E227" s="1"/>
      <c r="F227" s="19"/>
      <c r="G227" s="19"/>
      <c r="H227" s="19"/>
      <c r="I227" s="1"/>
      <c r="J227" s="1">
        <f t="shared" si="24"/>
        <v>0</v>
      </c>
      <c r="K227" s="19" t="str">
        <f t="shared" si="25"/>
        <v xml:space="preserve"> No Issue</v>
      </c>
      <c r="L227" s="1" t="str">
        <f t="shared" si="26"/>
        <v>No Issue</v>
      </c>
      <c r="M227" s="1" t="str">
        <f t="shared" si="27"/>
        <v>No Issue</v>
      </c>
      <c r="N227" s="1" t="str">
        <f t="shared" si="28"/>
        <v>No Issue</v>
      </c>
      <c r="O227" s="1" t="str">
        <f t="shared" si="29"/>
        <v>No Issue</v>
      </c>
      <c r="P227" s="1" t="str">
        <f t="shared" si="30"/>
        <v>NoIssue</v>
      </c>
    </row>
    <row r="228" spans="1:16" ht="22.5" customHeight="1">
      <c r="A228" s="20">
        <v>47</v>
      </c>
      <c r="B228" s="31"/>
      <c r="C228" s="32"/>
      <c r="D228" s="1"/>
      <c r="E228" s="1"/>
      <c r="F228" s="19"/>
      <c r="G228" s="19"/>
      <c r="H228" s="19"/>
      <c r="I228" s="1"/>
      <c r="J228" s="1">
        <f t="shared" si="24"/>
        <v>0</v>
      </c>
      <c r="K228" s="19" t="str">
        <f t="shared" si="25"/>
        <v xml:space="preserve"> No Issue</v>
      </c>
      <c r="L228" s="1" t="str">
        <f t="shared" si="26"/>
        <v>No Issue</v>
      </c>
      <c r="M228" s="1" t="str">
        <f t="shared" si="27"/>
        <v>No Issue</v>
      </c>
      <c r="N228" s="1" t="str">
        <f t="shared" si="28"/>
        <v>No Issue</v>
      </c>
      <c r="O228" s="1" t="str">
        <f t="shared" si="29"/>
        <v>No Issue</v>
      </c>
      <c r="P228" s="1" t="str">
        <f t="shared" si="30"/>
        <v>NoIssue</v>
      </c>
    </row>
    <row r="229" spans="1:16" ht="22.5" customHeight="1">
      <c r="A229" s="20">
        <v>48</v>
      </c>
      <c r="B229" s="31"/>
      <c r="C229" s="32"/>
      <c r="D229" s="1"/>
      <c r="E229" s="1"/>
      <c r="F229" s="19"/>
      <c r="G229" s="19"/>
      <c r="H229" s="19"/>
      <c r="I229" s="1"/>
      <c r="J229" s="1">
        <f t="shared" si="24"/>
        <v>0</v>
      </c>
      <c r="K229" s="19" t="str">
        <f t="shared" si="25"/>
        <v xml:space="preserve"> No Issue</v>
      </c>
      <c r="L229" s="1" t="str">
        <f t="shared" si="26"/>
        <v>No Issue</v>
      </c>
      <c r="M229" s="1" t="str">
        <f t="shared" si="27"/>
        <v>No Issue</v>
      </c>
      <c r="N229" s="1" t="str">
        <f t="shared" si="28"/>
        <v>No Issue</v>
      </c>
      <c r="O229" s="1" t="str">
        <f t="shared" si="29"/>
        <v>No Issue</v>
      </c>
      <c r="P229" s="1" t="str">
        <f t="shared" si="30"/>
        <v>NoIssue</v>
      </c>
    </row>
    <row r="230" spans="1:16" ht="22.5" customHeight="1">
      <c r="A230" s="20">
        <v>49</v>
      </c>
      <c r="B230" s="31"/>
      <c r="C230" s="32"/>
      <c r="D230" s="1"/>
      <c r="E230" s="1"/>
      <c r="F230" s="19"/>
      <c r="G230" s="19"/>
      <c r="H230" s="19"/>
      <c r="I230" s="1"/>
      <c r="J230" s="1">
        <f t="shared" si="24"/>
        <v>0</v>
      </c>
      <c r="K230" s="19" t="str">
        <f t="shared" si="25"/>
        <v xml:space="preserve"> No Issue</v>
      </c>
      <c r="L230" s="1" t="str">
        <f t="shared" si="26"/>
        <v>No Issue</v>
      </c>
      <c r="M230" s="1" t="str">
        <f t="shared" si="27"/>
        <v>No Issue</v>
      </c>
      <c r="N230" s="1" t="str">
        <f t="shared" si="28"/>
        <v>No Issue</v>
      </c>
      <c r="O230" s="1" t="str">
        <f t="shared" si="29"/>
        <v>No Issue</v>
      </c>
      <c r="P230" s="1" t="str">
        <f t="shared" si="30"/>
        <v>NoIssue</v>
      </c>
    </row>
    <row r="231" spans="1:16" ht="22.5" customHeight="1">
      <c r="A231" s="20">
        <v>50</v>
      </c>
      <c r="B231" s="31"/>
      <c r="C231" s="32"/>
      <c r="D231" s="1"/>
      <c r="E231" s="1"/>
      <c r="F231" s="19"/>
      <c r="G231" s="19"/>
      <c r="H231" s="19"/>
      <c r="I231" s="1"/>
      <c r="J231" s="1">
        <f t="shared" si="24"/>
        <v>0</v>
      </c>
      <c r="K231" s="19" t="str">
        <f t="shared" si="25"/>
        <v xml:space="preserve"> No Issue</v>
      </c>
      <c r="L231" s="1" t="str">
        <f t="shared" si="26"/>
        <v>No Issue</v>
      </c>
      <c r="M231" s="1" t="str">
        <f t="shared" si="27"/>
        <v>No Issue</v>
      </c>
      <c r="N231" s="1" t="str">
        <f t="shared" si="28"/>
        <v>No Issue</v>
      </c>
      <c r="O231" s="1" t="str">
        <f t="shared" si="29"/>
        <v>No Issue</v>
      </c>
      <c r="P231" s="1" t="str">
        <f t="shared" si="30"/>
        <v>NoIssue</v>
      </c>
    </row>
    <row r="232" spans="1:16" ht="22.5" customHeight="1">
      <c r="A232" s="20">
        <v>51</v>
      </c>
      <c r="B232" s="31"/>
      <c r="C232" s="32"/>
      <c r="D232" s="1"/>
      <c r="E232" s="1"/>
      <c r="F232" s="19"/>
      <c r="G232" s="19"/>
      <c r="H232" s="19"/>
      <c r="I232" s="1"/>
      <c r="J232" s="1">
        <f t="shared" si="24"/>
        <v>0</v>
      </c>
      <c r="K232" s="19" t="str">
        <f t="shared" si="25"/>
        <v xml:space="preserve"> No Issue</v>
      </c>
      <c r="L232" s="1" t="str">
        <f t="shared" si="26"/>
        <v>No Issue</v>
      </c>
      <c r="M232" s="1" t="str">
        <f t="shared" si="27"/>
        <v>No Issue</v>
      </c>
      <c r="N232" s="1" t="str">
        <f t="shared" si="28"/>
        <v>No Issue</v>
      </c>
      <c r="O232" s="1" t="str">
        <f t="shared" si="29"/>
        <v>No Issue</v>
      </c>
      <c r="P232" s="1" t="str">
        <f t="shared" si="30"/>
        <v>NoIssue</v>
      </c>
    </row>
    <row r="233" spans="1:16" ht="22.5" customHeight="1">
      <c r="A233" s="20">
        <v>52</v>
      </c>
      <c r="B233" s="31"/>
      <c r="C233" s="32"/>
      <c r="D233" s="1"/>
      <c r="E233" s="1"/>
      <c r="F233" s="19"/>
      <c r="G233" s="19"/>
      <c r="H233" s="19"/>
      <c r="I233" s="1"/>
      <c r="J233" s="1">
        <f t="shared" si="24"/>
        <v>0</v>
      </c>
      <c r="K233" s="19" t="str">
        <f t="shared" si="25"/>
        <v xml:space="preserve"> No Issue</v>
      </c>
      <c r="L233" s="1" t="str">
        <f t="shared" si="26"/>
        <v>No Issue</v>
      </c>
      <c r="M233" s="1" t="str">
        <f t="shared" si="27"/>
        <v>No Issue</v>
      </c>
      <c r="N233" s="1" t="str">
        <f t="shared" si="28"/>
        <v>No Issue</v>
      </c>
      <c r="O233" s="1" t="str">
        <f t="shared" si="29"/>
        <v>No Issue</v>
      </c>
      <c r="P233" s="1" t="str">
        <f t="shared" si="30"/>
        <v>NoIssue</v>
      </c>
    </row>
    <row r="234" spans="1:16" ht="22.5" customHeight="1">
      <c r="A234" s="20">
        <v>53</v>
      </c>
      <c r="B234" s="31"/>
      <c r="C234" s="32"/>
      <c r="D234" s="1"/>
      <c r="E234" s="1"/>
      <c r="F234" s="19"/>
      <c r="G234" s="19"/>
      <c r="H234" s="19"/>
      <c r="I234" s="1"/>
      <c r="J234" s="1">
        <f t="shared" si="24"/>
        <v>0</v>
      </c>
      <c r="K234" s="19" t="str">
        <f t="shared" si="25"/>
        <v xml:space="preserve"> No Issue</v>
      </c>
      <c r="L234" s="1" t="str">
        <f t="shared" si="26"/>
        <v>No Issue</v>
      </c>
      <c r="M234" s="1" t="str">
        <f t="shared" si="27"/>
        <v>No Issue</v>
      </c>
      <c r="N234" s="1" t="str">
        <f t="shared" si="28"/>
        <v>No Issue</v>
      </c>
      <c r="O234" s="1" t="str">
        <f t="shared" si="29"/>
        <v>No Issue</v>
      </c>
      <c r="P234" s="1" t="str">
        <f t="shared" si="30"/>
        <v>NoIssue</v>
      </c>
    </row>
    <row r="235" spans="1:16" ht="22.5" customHeight="1">
      <c r="A235" s="20">
        <v>54</v>
      </c>
      <c r="B235" s="30"/>
      <c r="C235" s="30"/>
      <c r="D235" s="1"/>
      <c r="E235" s="1"/>
      <c r="F235" s="19"/>
      <c r="G235" s="19"/>
      <c r="H235" s="19"/>
      <c r="I235" s="1"/>
      <c r="J235" s="1">
        <f t="shared" si="24"/>
        <v>0</v>
      </c>
      <c r="K235" s="19" t="str">
        <f t="shared" si="25"/>
        <v xml:space="preserve"> No Issue</v>
      </c>
      <c r="L235" s="1" t="str">
        <f t="shared" si="26"/>
        <v>No Issue</v>
      </c>
      <c r="M235" s="1" t="str">
        <f t="shared" si="27"/>
        <v>No Issue</v>
      </c>
      <c r="N235" s="1" t="str">
        <f t="shared" si="28"/>
        <v>No Issue</v>
      </c>
      <c r="O235" s="1" t="str">
        <f t="shared" si="29"/>
        <v>No Issue</v>
      </c>
      <c r="P235" s="1" t="str">
        <f t="shared" si="30"/>
        <v>NoIssue</v>
      </c>
    </row>
    <row r="236" spans="1:16" ht="22.5" customHeight="1">
      <c r="A236" s="20">
        <v>55</v>
      </c>
      <c r="B236" s="31"/>
      <c r="C236" s="32"/>
      <c r="D236" s="1"/>
      <c r="E236" s="1"/>
      <c r="F236" s="19"/>
      <c r="G236" s="19"/>
      <c r="H236" s="19"/>
      <c r="I236" s="1"/>
      <c r="J236" s="1">
        <f t="shared" si="24"/>
        <v>0</v>
      </c>
      <c r="K236" s="19" t="str">
        <f t="shared" si="25"/>
        <v xml:space="preserve"> No Issue</v>
      </c>
      <c r="L236" s="1" t="str">
        <f t="shared" si="26"/>
        <v>No Issue</v>
      </c>
      <c r="M236" s="1" t="str">
        <f t="shared" si="27"/>
        <v>No Issue</v>
      </c>
      <c r="N236" s="1" t="str">
        <f t="shared" si="28"/>
        <v>No Issue</v>
      </c>
      <c r="O236" s="1" t="str">
        <f t="shared" si="29"/>
        <v>No Issue</v>
      </c>
      <c r="P236" s="1" t="str">
        <f t="shared" si="30"/>
        <v>NoIssue</v>
      </c>
    </row>
    <row r="237" spans="1:16" ht="22.5" customHeight="1">
      <c r="A237" s="20">
        <v>56</v>
      </c>
      <c r="B237" s="31"/>
      <c r="C237" s="32"/>
      <c r="D237" s="1"/>
      <c r="E237" s="1"/>
      <c r="F237" s="19"/>
      <c r="G237" s="19"/>
      <c r="H237" s="19"/>
      <c r="I237" s="1"/>
      <c r="J237" s="1">
        <f t="shared" si="24"/>
        <v>0</v>
      </c>
      <c r="K237" s="19" t="str">
        <f t="shared" si="25"/>
        <v xml:space="preserve"> No Issue</v>
      </c>
      <c r="L237" s="1" t="str">
        <f t="shared" si="26"/>
        <v>No Issue</v>
      </c>
      <c r="M237" s="1" t="str">
        <f t="shared" si="27"/>
        <v>No Issue</v>
      </c>
      <c r="N237" s="1" t="str">
        <f t="shared" si="28"/>
        <v>No Issue</v>
      </c>
      <c r="O237" s="1" t="str">
        <f t="shared" si="29"/>
        <v>No Issue</v>
      </c>
      <c r="P237" s="1" t="str">
        <f t="shared" si="30"/>
        <v>NoIssue</v>
      </c>
    </row>
    <row r="238" spans="1:16" ht="22.5" customHeight="1">
      <c r="A238" s="20"/>
      <c r="B238" s="1" t="s">
        <v>62</v>
      </c>
      <c r="C238" s="31"/>
      <c r="D238" s="1">
        <f t="shared" ref="D238:I238" si="31">SUMPRODUCT(D182:D237,$C182:$C237)</f>
        <v>0</v>
      </c>
      <c r="E238" s="1">
        <f t="shared" si="31"/>
        <v>0</v>
      </c>
      <c r="F238" s="1">
        <f t="shared" si="31"/>
        <v>0</v>
      </c>
      <c r="G238" s="1">
        <f t="shared" si="31"/>
        <v>0</v>
      </c>
      <c r="H238" s="1">
        <f t="shared" si="31"/>
        <v>0</v>
      </c>
      <c r="I238" s="1">
        <f t="shared" si="31"/>
        <v>0</v>
      </c>
      <c r="J238" s="1">
        <f t="shared" si="24"/>
        <v>0</v>
      </c>
      <c r="K238" s="19" t="str">
        <f t="shared" si="25"/>
        <v xml:space="preserve"> No Issue</v>
      </c>
      <c r="L238" s="1" t="str">
        <f t="shared" si="26"/>
        <v>No Issue</v>
      </c>
      <c r="M238" s="1" t="str">
        <f t="shared" si="27"/>
        <v>No Issue</v>
      </c>
      <c r="N238" s="1" t="str">
        <f t="shared" si="28"/>
        <v>No Issue</v>
      </c>
      <c r="O238" s="1" t="str">
        <f t="shared" si="29"/>
        <v>No Issue</v>
      </c>
      <c r="P238" s="1" t="str">
        <f t="shared" si="30"/>
        <v>NoIssue</v>
      </c>
    </row>
    <row r="239" spans="1:16" ht="22.5" customHeight="1">
      <c r="A239" s="8"/>
      <c r="B239" s="9" t="s">
        <v>3</v>
      </c>
      <c r="C239" s="10"/>
      <c r="D239" s="11"/>
      <c r="E239" s="9"/>
      <c r="F239" s="12"/>
      <c r="G239" s="46"/>
      <c r="H239" s="47"/>
      <c r="I239" s="12"/>
      <c r="J239" s="13"/>
      <c r="K239" s="48" t="s">
        <v>4</v>
      </c>
      <c r="L239" s="49"/>
      <c r="M239" s="49"/>
      <c r="N239" s="49"/>
      <c r="O239" s="49"/>
      <c r="P239" s="50"/>
    </row>
    <row r="240" spans="1:16" ht="22.5" customHeight="1">
      <c r="A240" s="35" t="s">
        <v>5</v>
      </c>
      <c r="B240" s="19" t="s">
        <v>6</v>
      </c>
      <c r="C240" s="19" t="s">
        <v>7</v>
      </c>
      <c r="D240" s="18" t="s">
        <v>8</v>
      </c>
      <c r="E240" s="18" t="s">
        <v>9</v>
      </c>
      <c r="F240" s="18" t="s">
        <v>10</v>
      </c>
      <c r="G240" s="18" t="s">
        <v>11</v>
      </c>
      <c r="H240" s="18" t="s">
        <v>12</v>
      </c>
      <c r="I240" s="18" t="s">
        <v>13</v>
      </c>
      <c r="J240" s="18" t="s">
        <v>14</v>
      </c>
      <c r="K240" s="19" t="s">
        <v>15</v>
      </c>
      <c r="L240" s="19" t="s">
        <v>16</v>
      </c>
      <c r="M240" s="19" t="s">
        <v>17</v>
      </c>
      <c r="N240" s="19" t="s">
        <v>18</v>
      </c>
      <c r="O240" s="19" t="s">
        <v>19</v>
      </c>
      <c r="P240" s="19" t="s">
        <v>20</v>
      </c>
    </row>
    <row r="241" spans="1:16" ht="22.5" customHeight="1">
      <c r="A241" s="20">
        <v>1</v>
      </c>
      <c r="B241" s="21" t="s">
        <v>21</v>
      </c>
      <c r="C241" s="22">
        <v>192.17</v>
      </c>
      <c r="D241" s="1"/>
      <c r="E241" s="1"/>
      <c r="F241" s="1"/>
      <c r="G241" s="1"/>
      <c r="H241" s="1"/>
      <c r="I241" s="1"/>
      <c r="J241" s="1">
        <f t="shared" ref="J241:J297" si="32">D241+E241-F241-G241+H241</f>
        <v>0</v>
      </c>
      <c r="K241" s="19" t="str">
        <f t="shared" ref="K241:K297" si="33">IF(I241&lt;&gt;(D241+E241-F241-G241+H241),"Closing stock Not Correct-Problem"," No Issue")</f>
        <v xml:space="preserve"> No Issue</v>
      </c>
      <c r="L241" s="1" t="str">
        <f t="shared" ref="L241:L297" si="34">IF((D241+E241)&lt;F241,"High Sale and Less Stock-Problem","No Issue")</f>
        <v>No Issue</v>
      </c>
      <c r="M241" s="1" t="str">
        <f t="shared" ref="M241:M297" si="35">IF(AND((D241+E241+I241)=0,F241&gt;0),"No Stock Sale Present Problem","No Issue")</f>
        <v>No Issue</v>
      </c>
      <c r="N241" s="1" t="str">
        <f t="shared" ref="N241:N297" si="36">IF(AND(SUM(D241:H241)=0,I241&gt;0),"Only Closing Entered Other Parameters No Entired Problem","No Issue")</f>
        <v>No Issue</v>
      </c>
      <c r="O241" s="1" t="str">
        <f t="shared" ref="O241:O297" si="37">IF(F241&gt;5000,"Check Once Sales quantity or Value Problem","No Issue")</f>
        <v>No Issue</v>
      </c>
      <c r="P241" s="1" t="str">
        <f t="shared" ref="P241:P297" si="38">IF(I241&gt;5000,"Check Once Closing quantity or Value Problem","NoIssue")</f>
        <v>NoIssue</v>
      </c>
    </row>
    <row r="242" spans="1:16" ht="22.5" customHeight="1">
      <c r="A242" s="20">
        <v>2</v>
      </c>
      <c r="B242" s="21" t="s">
        <v>22</v>
      </c>
      <c r="C242" s="22">
        <v>9.26</v>
      </c>
      <c r="D242" s="1"/>
      <c r="E242" s="1"/>
      <c r="F242" s="1"/>
      <c r="G242" s="1"/>
      <c r="H242" s="1"/>
      <c r="I242" s="1"/>
      <c r="J242" s="1">
        <f t="shared" si="32"/>
        <v>0</v>
      </c>
      <c r="K242" s="19" t="str">
        <f t="shared" si="33"/>
        <v xml:space="preserve"> No Issue</v>
      </c>
      <c r="L242" s="1" t="str">
        <f t="shared" si="34"/>
        <v>No Issue</v>
      </c>
      <c r="M242" s="1" t="str">
        <f t="shared" si="35"/>
        <v>No Issue</v>
      </c>
      <c r="N242" s="1" t="str">
        <f t="shared" si="36"/>
        <v>No Issue</v>
      </c>
      <c r="O242" s="1" t="str">
        <f t="shared" si="37"/>
        <v>No Issue</v>
      </c>
      <c r="P242" s="1" t="str">
        <f t="shared" si="38"/>
        <v>NoIssue</v>
      </c>
    </row>
    <row r="243" spans="1:16" ht="22.5" customHeight="1">
      <c r="A243" s="20">
        <v>3</v>
      </c>
      <c r="B243" s="21" t="s">
        <v>23</v>
      </c>
      <c r="C243" s="22">
        <v>87.79</v>
      </c>
      <c r="D243" s="1"/>
      <c r="E243" s="1"/>
      <c r="F243" s="1"/>
      <c r="G243" s="1"/>
      <c r="H243" s="1"/>
      <c r="I243" s="1"/>
      <c r="J243" s="1">
        <f t="shared" si="32"/>
        <v>0</v>
      </c>
      <c r="K243" s="19" t="str">
        <f t="shared" si="33"/>
        <v xml:space="preserve"> No Issue</v>
      </c>
      <c r="L243" s="1" t="str">
        <f t="shared" si="34"/>
        <v>No Issue</v>
      </c>
      <c r="M243" s="1" t="str">
        <f t="shared" si="35"/>
        <v>No Issue</v>
      </c>
      <c r="N243" s="1" t="str">
        <f t="shared" si="36"/>
        <v>No Issue</v>
      </c>
      <c r="O243" s="1" t="str">
        <f t="shared" si="37"/>
        <v>No Issue</v>
      </c>
      <c r="P243" s="1" t="str">
        <f t="shared" si="38"/>
        <v>NoIssue</v>
      </c>
    </row>
    <row r="244" spans="1:16" ht="22.5" customHeight="1">
      <c r="A244" s="20">
        <v>4</v>
      </c>
      <c r="B244" s="21" t="s">
        <v>24</v>
      </c>
      <c r="C244" s="22">
        <v>55.55</v>
      </c>
      <c r="D244" s="1"/>
      <c r="E244" s="1"/>
      <c r="F244" s="1"/>
      <c r="G244" s="1"/>
      <c r="H244" s="1"/>
      <c r="I244" s="1"/>
      <c r="J244" s="1">
        <f t="shared" si="32"/>
        <v>0</v>
      </c>
      <c r="K244" s="19" t="str">
        <f t="shared" si="33"/>
        <v xml:space="preserve"> No Issue</v>
      </c>
      <c r="L244" s="1" t="str">
        <f t="shared" si="34"/>
        <v>No Issue</v>
      </c>
      <c r="M244" s="1" t="str">
        <f t="shared" si="35"/>
        <v>No Issue</v>
      </c>
      <c r="N244" s="1" t="str">
        <f t="shared" si="36"/>
        <v>No Issue</v>
      </c>
      <c r="O244" s="1" t="str">
        <f t="shared" si="37"/>
        <v>No Issue</v>
      </c>
      <c r="P244" s="1" t="str">
        <f t="shared" si="38"/>
        <v>NoIssue</v>
      </c>
    </row>
    <row r="245" spans="1:16" ht="22.5" customHeight="1">
      <c r="A245" s="20">
        <v>5</v>
      </c>
      <c r="B245" s="21" t="s">
        <v>25</v>
      </c>
      <c r="C245" s="22">
        <v>70.010000000000005</v>
      </c>
      <c r="D245" s="1"/>
      <c r="E245" s="1"/>
      <c r="F245" s="1"/>
      <c r="G245" s="1"/>
      <c r="H245" s="1"/>
      <c r="I245" s="1"/>
      <c r="J245" s="1">
        <f t="shared" si="32"/>
        <v>0</v>
      </c>
      <c r="K245" s="19" t="str">
        <f t="shared" si="33"/>
        <v xml:space="preserve"> No Issue</v>
      </c>
      <c r="L245" s="1" t="str">
        <f t="shared" si="34"/>
        <v>No Issue</v>
      </c>
      <c r="M245" s="1" t="str">
        <f t="shared" si="35"/>
        <v>No Issue</v>
      </c>
      <c r="N245" s="1" t="str">
        <f t="shared" si="36"/>
        <v>No Issue</v>
      </c>
      <c r="O245" s="1" t="str">
        <f t="shared" si="37"/>
        <v>No Issue</v>
      </c>
      <c r="P245" s="1" t="str">
        <f t="shared" si="38"/>
        <v>NoIssue</v>
      </c>
    </row>
    <row r="246" spans="1:16" ht="22.5" customHeight="1">
      <c r="A246" s="20">
        <v>6</v>
      </c>
      <c r="B246" s="25" t="s">
        <v>26</v>
      </c>
      <c r="C246" s="22">
        <v>73.929999999999993</v>
      </c>
      <c r="D246" s="1"/>
      <c r="E246" s="1"/>
      <c r="F246" s="1"/>
      <c r="G246" s="1"/>
      <c r="H246" s="1"/>
      <c r="I246" s="1"/>
      <c r="J246" s="1">
        <f t="shared" si="32"/>
        <v>0</v>
      </c>
      <c r="K246" s="19" t="str">
        <f t="shared" si="33"/>
        <v xml:space="preserve"> No Issue</v>
      </c>
      <c r="L246" s="1" t="str">
        <f t="shared" si="34"/>
        <v>No Issue</v>
      </c>
      <c r="M246" s="1" t="str">
        <f t="shared" si="35"/>
        <v>No Issue</v>
      </c>
      <c r="N246" s="1" t="str">
        <f t="shared" si="36"/>
        <v>No Issue</v>
      </c>
      <c r="O246" s="1" t="str">
        <f t="shared" si="37"/>
        <v>No Issue</v>
      </c>
      <c r="P246" s="1" t="str">
        <f t="shared" si="38"/>
        <v>NoIssue</v>
      </c>
    </row>
    <row r="247" spans="1:16" ht="22.5" customHeight="1">
      <c r="A247" s="20">
        <v>7</v>
      </c>
      <c r="B247" s="21" t="s">
        <v>27</v>
      </c>
      <c r="C247" s="26">
        <v>13.91</v>
      </c>
      <c r="D247" s="1"/>
      <c r="E247" s="1"/>
      <c r="F247" s="1"/>
      <c r="G247" s="1"/>
      <c r="H247" s="1"/>
      <c r="I247" s="1"/>
      <c r="J247" s="1">
        <f t="shared" si="32"/>
        <v>0</v>
      </c>
      <c r="K247" s="19" t="str">
        <f t="shared" si="33"/>
        <v xml:space="preserve"> No Issue</v>
      </c>
      <c r="L247" s="1" t="str">
        <f t="shared" si="34"/>
        <v>No Issue</v>
      </c>
      <c r="M247" s="1" t="str">
        <f t="shared" si="35"/>
        <v>No Issue</v>
      </c>
      <c r="N247" s="1" t="str">
        <f t="shared" si="36"/>
        <v>No Issue</v>
      </c>
      <c r="O247" s="1" t="str">
        <f t="shared" si="37"/>
        <v>No Issue</v>
      </c>
      <c r="P247" s="1" t="str">
        <f t="shared" si="38"/>
        <v>NoIssue</v>
      </c>
    </row>
    <row r="248" spans="1:16" ht="22.5" customHeight="1">
      <c r="A248" s="20">
        <v>8</v>
      </c>
      <c r="B248" s="21" t="s">
        <v>28</v>
      </c>
      <c r="C248" s="26">
        <v>19.5</v>
      </c>
      <c r="D248" s="1"/>
      <c r="E248" s="1"/>
      <c r="F248" s="1"/>
      <c r="G248" s="1"/>
      <c r="H248" s="1"/>
      <c r="I248" s="1"/>
      <c r="J248" s="1">
        <f t="shared" si="32"/>
        <v>0</v>
      </c>
      <c r="K248" s="19" t="str">
        <f t="shared" si="33"/>
        <v xml:space="preserve"> No Issue</v>
      </c>
      <c r="L248" s="1" t="str">
        <f t="shared" si="34"/>
        <v>No Issue</v>
      </c>
      <c r="M248" s="1" t="str">
        <f t="shared" si="35"/>
        <v>No Issue</v>
      </c>
      <c r="N248" s="1" t="str">
        <f t="shared" si="36"/>
        <v>No Issue</v>
      </c>
      <c r="O248" s="1" t="str">
        <f t="shared" si="37"/>
        <v>No Issue</v>
      </c>
      <c r="P248" s="1" t="str">
        <f t="shared" si="38"/>
        <v>NoIssue</v>
      </c>
    </row>
    <row r="249" spans="1:16" ht="22.5" customHeight="1">
      <c r="A249" s="20">
        <v>9</v>
      </c>
      <c r="B249" s="21" t="s">
        <v>29</v>
      </c>
      <c r="C249" s="26">
        <v>28.83</v>
      </c>
      <c r="D249" s="1"/>
      <c r="E249" s="1"/>
      <c r="F249" s="1"/>
      <c r="G249" s="1"/>
      <c r="H249" s="1"/>
      <c r="I249" s="1"/>
      <c r="J249" s="1">
        <f t="shared" si="32"/>
        <v>0</v>
      </c>
      <c r="K249" s="19" t="str">
        <f t="shared" si="33"/>
        <v xml:space="preserve"> No Issue</v>
      </c>
      <c r="L249" s="1" t="str">
        <f t="shared" si="34"/>
        <v>No Issue</v>
      </c>
      <c r="M249" s="1" t="str">
        <f t="shared" si="35"/>
        <v>No Issue</v>
      </c>
      <c r="N249" s="1" t="str">
        <f t="shared" si="36"/>
        <v>No Issue</v>
      </c>
      <c r="O249" s="1" t="str">
        <f t="shared" si="37"/>
        <v>No Issue</v>
      </c>
      <c r="P249" s="1" t="str">
        <f t="shared" si="38"/>
        <v>NoIssue</v>
      </c>
    </row>
    <row r="250" spans="1:16" ht="22.5" customHeight="1">
      <c r="A250" s="20">
        <v>10</v>
      </c>
      <c r="B250" s="21" t="s">
        <v>30</v>
      </c>
      <c r="C250" s="26">
        <v>8.51</v>
      </c>
      <c r="D250" s="1"/>
      <c r="E250" s="1"/>
      <c r="F250" s="1"/>
      <c r="G250" s="1"/>
      <c r="H250" s="1"/>
      <c r="I250" s="1"/>
      <c r="J250" s="1">
        <f t="shared" si="32"/>
        <v>0</v>
      </c>
      <c r="K250" s="19" t="str">
        <f t="shared" si="33"/>
        <v xml:space="preserve"> No Issue</v>
      </c>
      <c r="L250" s="1" t="str">
        <f t="shared" si="34"/>
        <v>No Issue</v>
      </c>
      <c r="M250" s="1" t="str">
        <f t="shared" si="35"/>
        <v>No Issue</v>
      </c>
      <c r="N250" s="1" t="str">
        <f t="shared" si="36"/>
        <v>No Issue</v>
      </c>
      <c r="O250" s="1" t="str">
        <f t="shared" si="37"/>
        <v>No Issue</v>
      </c>
      <c r="P250" s="1" t="str">
        <f t="shared" si="38"/>
        <v>NoIssue</v>
      </c>
    </row>
    <row r="251" spans="1:16" ht="22.5" customHeight="1">
      <c r="A251" s="20">
        <v>11</v>
      </c>
      <c r="B251" s="21" t="s">
        <v>31</v>
      </c>
      <c r="C251" s="26">
        <v>102.17</v>
      </c>
      <c r="D251" s="1"/>
      <c r="E251" s="1"/>
      <c r="F251" s="1"/>
      <c r="G251" s="1"/>
      <c r="H251" s="1"/>
      <c r="I251" s="1"/>
      <c r="J251" s="1">
        <f t="shared" si="32"/>
        <v>0</v>
      </c>
      <c r="K251" s="19" t="str">
        <f t="shared" si="33"/>
        <v xml:space="preserve"> No Issue</v>
      </c>
      <c r="L251" s="1" t="str">
        <f t="shared" si="34"/>
        <v>No Issue</v>
      </c>
      <c r="M251" s="1" t="str">
        <f t="shared" si="35"/>
        <v>No Issue</v>
      </c>
      <c r="N251" s="1" t="str">
        <f t="shared" si="36"/>
        <v>No Issue</v>
      </c>
      <c r="O251" s="1" t="str">
        <f t="shared" si="37"/>
        <v>No Issue</v>
      </c>
      <c r="P251" s="1" t="str">
        <f t="shared" si="38"/>
        <v>NoIssue</v>
      </c>
    </row>
    <row r="252" spans="1:16" ht="22.5" customHeight="1">
      <c r="A252" s="20">
        <v>12</v>
      </c>
      <c r="B252" s="21" t="s">
        <v>32</v>
      </c>
      <c r="C252" s="26">
        <v>59.93</v>
      </c>
      <c r="D252" s="1"/>
      <c r="E252" s="1"/>
      <c r="F252" s="1"/>
      <c r="G252" s="1"/>
      <c r="H252" s="1"/>
      <c r="I252" s="1"/>
      <c r="J252" s="1">
        <f t="shared" si="32"/>
        <v>0</v>
      </c>
      <c r="K252" s="19" t="str">
        <f t="shared" si="33"/>
        <v xml:space="preserve"> No Issue</v>
      </c>
      <c r="L252" s="1" t="str">
        <f t="shared" si="34"/>
        <v>No Issue</v>
      </c>
      <c r="M252" s="1" t="str">
        <f t="shared" si="35"/>
        <v>No Issue</v>
      </c>
      <c r="N252" s="1" t="str">
        <f t="shared" si="36"/>
        <v>No Issue</v>
      </c>
      <c r="O252" s="1" t="str">
        <f t="shared" si="37"/>
        <v>No Issue</v>
      </c>
      <c r="P252" s="1" t="str">
        <f t="shared" si="38"/>
        <v>NoIssue</v>
      </c>
    </row>
    <row r="253" spans="1:16" ht="22.5" customHeight="1">
      <c r="A253" s="20">
        <v>13</v>
      </c>
      <c r="B253" s="21" t="s">
        <v>33</v>
      </c>
      <c r="C253" s="26">
        <v>118</v>
      </c>
      <c r="D253" s="1"/>
      <c r="E253" s="1"/>
      <c r="F253" s="1"/>
      <c r="G253" s="1"/>
      <c r="H253" s="1"/>
      <c r="I253" s="1"/>
      <c r="J253" s="1">
        <f t="shared" si="32"/>
        <v>0</v>
      </c>
      <c r="K253" s="19" t="str">
        <f t="shared" si="33"/>
        <v xml:space="preserve"> No Issue</v>
      </c>
      <c r="L253" s="1" t="str">
        <f t="shared" si="34"/>
        <v>No Issue</v>
      </c>
      <c r="M253" s="1" t="str">
        <f t="shared" si="35"/>
        <v>No Issue</v>
      </c>
      <c r="N253" s="1" t="str">
        <f t="shared" si="36"/>
        <v>No Issue</v>
      </c>
      <c r="O253" s="1" t="str">
        <f t="shared" si="37"/>
        <v>No Issue</v>
      </c>
      <c r="P253" s="1" t="str">
        <f t="shared" si="38"/>
        <v>NoIssue</v>
      </c>
    </row>
    <row r="254" spans="1:16" ht="22.5" customHeight="1">
      <c r="A254" s="20">
        <v>14</v>
      </c>
      <c r="B254" s="21" t="s">
        <v>34</v>
      </c>
      <c r="C254" s="26">
        <v>52.83</v>
      </c>
      <c r="D254" s="1"/>
      <c r="E254" s="1"/>
      <c r="F254" s="1"/>
      <c r="G254" s="1"/>
      <c r="H254" s="1"/>
      <c r="I254" s="1"/>
      <c r="J254" s="1">
        <f t="shared" si="32"/>
        <v>0</v>
      </c>
      <c r="K254" s="19" t="str">
        <f t="shared" si="33"/>
        <v xml:space="preserve"> No Issue</v>
      </c>
      <c r="L254" s="1" t="str">
        <f t="shared" si="34"/>
        <v>No Issue</v>
      </c>
      <c r="M254" s="1" t="str">
        <f t="shared" si="35"/>
        <v>No Issue</v>
      </c>
      <c r="N254" s="1" t="str">
        <f t="shared" si="36"/>
        <v>No Issue</v>
      </c>
      <c r="O254" s="1" t="str">
        <f t="shared" si="37"/>
        <v>No Issue</v>
      </c>
      <c r="P254" s="1" t="str">
        <f t="shared" si="38"/>
        <v>NoIssue</v>
      </c>
    </row>
    <row r="255" spans="1:16" ht="22.5" customHeight="1">
      <c r="A255" s="20">
        <v>15</v>
      </c>
      <c r="B255" s="21" t="s">
        <v>35</v>
      </c>
      <c r="C255" s="26">
        <v>93.2</v>
      </c>
      <c r="D255" s="1"/>
      <c r="E255" s="1"/>
      <c r="F255" s="1"/>
      <c r="G255" s="1"/>
      <c r="H255" s="1"/>
      <c r="I255" s="1"/>
      <c r="J255" s="1">
        <f t="shared" si="32"/>
        <v>0</v>
      </c>
      <c r="K255" s="19" t="str">
        <f t="shared" si="33"/>
        <v xml:space="preserve"> No Issue</v>
      </c>
      <c r="L255" s="1" t="str">
        <f t="shared" si="34"/>
        <v>No Issue</v>
      </c>
      <c r="M255" s="1" t="str">
        <f t="shared" si="35"/>
        <v>No Issue</v>
      </c>
      <c r="N255" s="1" t="str">
        <f t="shared" si="36"/>
        <v>No Issue</v>
      </c>
      <c r="O255" s="1" t="str">
        <f t="shared" si="37"/>
        <v>No Issue</v>
      </c>
      <c r="P255" s="1" t="str">
        <f t="shared" si="38"/>
        <v>NoIssue</v>
      </c>
    </row>
    <row r="256" spans="1:16" ht="22.5" customHeight="1">
      <c r="A256" s="20">
        <v>16</v>
      </c>
      <c r="B256" s="21" t="s">
        <v>36</v>
      </c>
      <c r="C256" s="26">
        <v>61.02</v>
      </c>
      <c r="D256" s="1"/>
      <c r="E256" s="1"/>
      <c r="F256" s="1"/>
      <c r="G256" s="1"/>
      <c r="H256" s="1"/>
      <c r="I256" s="1"/>
      <c r="J256" s="1">
        <f t="shared" si="32"/>
        <v>0</v>
      </c>
      <c r="K256" s="19" t="str">
        <f t="shared" si="33"/>
        <v xml:space="preserve"> No Issue</v>
      </c>
      <c r="L256" s="1" t="str">
        <f t="shared" si="34"/>
        <v>No Issue</v>
      </c>
      <c r="M256" s="1" t="str">
        <f t="shared" si="35"/>
        <v>No Issue</v>
      </c>
      <c r="N256" s="1" t="str">
        <f t="shared" si="36"/>
        <v>No Issue</v>
      </c>
      <c r="O256" s="1" t="str">
        <f t="shared" si="37"/>
        <v>No Issue</v>
      </c>
      <c r="P256" s="1" t="str">
        <f t="shared" si="38"/>
        <v>NoIssue</v>
      </c>
    </row>
    <row r="257" spans="1:16" ht="22.5" customHeight="1">
      <c r="A257" s="20">
        <v>17</v>
      </c>
      <c r="B257" s="21" t="s">
        <v>37</v>
      </c>
      <c r="C257" s="26">
        <v>36.619999999999997</v>
      </c>
      <c r="D257" s="1"/>
      <c r="E257" s="1"/>
      <c r="F257" s="1"/>
      <c r="G257" s="1"/>
      <c r="H257" s="1"/>
      <c r="I257" s="1"/>
      <c r="J257" s="1">
        <f t="shared" si="32"/>
        <v>0</v>
      </c>
      <c r="K257" s="19" t="str">
        <f t="shared" si="33"/>
        <v xml:space="preserve"> No Issue</v>
      </c>
      <c r="L257" s="1" t="str">
        <f t="shared" si="34"/>
        <v>No Issue</v>
      </c>
      <c r="M257" s="1" t="str">
        <f t="shared" si="35"/>
        <v>No Issue</v>
      </c>
      <c r="N257" s="1" t="str">
        <f t="shared" si="36"/>
        <v>No Issue</v>
      </c>
      <c r="O257" s="1" t="str">
        <f t="shared" si="37"/>
        <v>No Issue</v>
      </c>
      <c r="P257" s="1" t="str">
        <f t="shared" si="38"/>
        <v>NoIssue</v>
      </c>
    </row>
    <row r="258" spans="1:16" ht="22.5" customHeight="1">
      <c r="A258" s="20">
        <v>18</v>
      </c>
      <c r="B258" s="21" t="s">
        <v>38</v>
      </c>
      <c r="C258" s="26">
        <v>80.36</v>
      </c>
      <c r="D258" s="1"/>
      <c r="E258" s="1"/>
      <c r="F258" s="1"/>
      <c r="G258" s="1"/>
      <c r="H258" s="1"/>
      <c r="I258" s="1"/>
      <c r="J258" s="1">
        <f t="shared" si="32"/>
        <v>0</v>
      </c>
      <c r="K258" s="19" t="str">
        <f t="shared" si="33"/>
        <v xml:space="preserve"> No Issue</v>
      </c>
      <c r="L258" s="1" t="str">
        <f t="shared" si="34"/>
        <v>No Issue</v>
      </c>
      <c r="M258" s="1" t="str">
        <f t="shared" si="35"/>
        <v>No Issue</v>
      </c>
      <c r="N258" s="1" t="str">
        <f t="shared" si="36"/>
        <v>No Issue</v>
      </c>
      <c r="O258" s="1" t="str">
        <f t="shared" si="37"/>
        <v>No Issue</v>
      </c>
      <c r="P258" s="1" t="str">
        <f t="shared" si="38"/>
        <v>NoIssue</v>
      </c>
    </row>
    <row r="259" spans="1:16" ht="22.5" customHeight="1">
      <c r="A259" s="20">
        <v>19</v>
      </c>
      <c r="B259" s="21" t="s">
        <v>39</v>
      </c>
      <c r="C259" s="26">
        <v>160.56</v>
      </c>
      <c r="D259" s="1"/>
      <c r="E259" s="1"/>
      <c r="F259" s="1"/>
      <c r="G259" s="1"/>
      <c r="H259" s="1"/>
      <c r="I259" s="1"/>
      <c r="J259" s="1">
        <f t="shared" si="32"/>
        <v>0</v>
      </c>
      <c r="K259" s="19" t="str">
        <f t="shared" si="33"/>
        <v xml:space="preserve"> No Issue</v>
      </c>
      <c r="L259" s="1" t="str">
        <f t="shared" si="34"/>
        <v>No Issue</v>
      </c>
      <c r="M259" s="1" t="str">
        <f t="shared" si="35"/>
        <v>No Issue</v>
      </c>
      <c r="N259" s="1" t="str">
        <f t="shared" si="36"/>
        <v>No Issue</v>
      </c>
      <c r="O259" s="1" t="str">
        <f t="shared" si="37"/>
        <v>No Issue</v>
      </c>
      <c r="P259" s="1" t="str">
        <f t="shared" si="38"/>
        <v>NoIssue</v>
      </c>
    </row>
    <row r="260" spans="1:16" ht="22.5" customHeight="1">
      <c r="A260" s="20">
        <v>20</v>
      </c>
      <c r="B260" s="21" t="s">
        <v>40</v>
      </c>
      <c r="C260" s="26">
        <v>186.44</v>
      </c>
      <c r="D260" s="1"/>
      <c r="E260" s="1"/>
      <c r="F260" s="1"/>
      <c r="G260" s="1"/>
      <c r="H260" s="1"/>
      <c r="I260" s="1"/>
      <c r="J260" s="1">
        <f t="shared" si="32"/>
        <v>0</v>
      </c>
      <c r="K260" s="19" t="str">
        <f t="shared" si="33"/>
        <v xml:space="preserve"> No Issue</v>
      </c>
      <c r="L260" s="1" t="str">
        <f t="shared" si="34"/>
        <v>No Issue</v>
      </c>
      <c r="M260" s="1" t="str">
        <f t="shared" si="35"/>
        <v>No Issue</v>
      </c>
      <c r="N260" s="1" t="str">
        <f t="shared" si="36"/>
        <v>No Issue</v>
      </c>
      <c r="O260" s="1" t="str">
        <f t="shared" si="37"/>
        <v>No Issue</v>
      </c>
      <c r="P260" s="1" t="str">
        <f t="shared" si="38"/>
        <v>NoIssue</v>
      </c>
    </row>
    <row r="261" spans="1:16" ht="22.5" customHeight="1">
      <c r="A261" s="20">
        <v>21</v>
      </c>
      <c r="B261" s="21" t="s">
        <v>41</v>
      </c>
      <c r="C261" s="26">
        <v>92.59</v>
      </c>
      <c r="D261" s="1"/>
      <c r="E261" s="1"/>
      <c r="F261" s="1"/>
      <c r="G261" s="1"/>
      <c r="H261" s="1"/>
      <c r="I261" s="1"/>
      <c r="J261" s="1">
        <f t="shared" si="32"/>
        <v>0</v>
      </c>
      <c r="K261" s="19" t="str">
        <f t="shared" si="33"/>
        <v xml:space="preserve"> No Issue</v>
      </c>
      <c r="L261" s="1" t="str">
        <f t="shared" si="34"/>
        <v>No Issue</v>
      </c>
      <c r="M261" s="1" t="str">
        <f t="shared" si="35"/>
        <v>No Issue</v>
      </c>
      <c r="N261" s="1" t="str">
        <f t="shared" si="36"/>
        <v>No Issue</v>
      </c>
      <c r="O261" s="1" t="str">
        <f t="shared" si="37"/>
        <v>No Issue</v>
      </c>
      <c r="P261" s="1" t="str">
        <f t="shared" si="38"/>
        <v>NoIssue</v>
      </c>
    </row>
    <row r="262" spans="1:16" ht="22.5" customHeight="1">
      <c r="A262" s="20">
        <v>22</v>
      </c>
      <c r="B262" s="21" t="s">
        <v>42</v>
      </c>
      <c r="C262" s="26">
        <v>95.17</v>
      </c>
      <c r="D262" s="1"/>
      <c r="E262" s="1"/>
      <c r="F262" s="1"/>
      <c r="G262" s="1"/>
      <c r="H262" s="1"/>
      <c r="I262" s="1"/>
      <c r="J262" s="1">
        <f t="shared" si="32"/>
        <v>0</v>
      </c>
      <c r="K262" s="19" t="str">
        <f t="shared" si="33"/>
        <v xml:space="preserve"> No Issue</v>
      </c>
      <c r="L262" s="1" t="str">
        <f t="shared" si="34"/>
        <v>No Issue</v>
      </c>
      <c r="M262" s="1" t="str">
        <f t="shared" si="35"/>
        <v>No Issue</v>
      </c>
      <c r="N262" s="1" t="str">
        <f t="shared" si="36"/>
        <v>No Issue</v>
      </c>
      <c r="O262" s="1" t="str">
        <f t="shared" si="37"/>
        <v>No Issue</v>
      </c>
      <c r="P262" s="1" t="str">
        <f t="shared" si="38"/>
        <v>NoIssue</v>
      </c>
    </row>
    <row r="263" spans="1:16" ht="22.5" customHeight="1">
      <c r="A263" s="20">
        <v>23</v>
      </c>
      <c r="B263" s="21" t="s">
        <v>43</v>
      </c>
      <c r="C263" s="26">
        <v>92.94</v>
      </c>
      <c r="D263" s="1"/>
      <c r="E263" s="1"/>
      <c r="F263" s="1"/>
      <c r="G263" s="1"/>
      <c r="H263" s="1"/>
      <c r="I263" s="1"/>
      <c r="J263" s="1">
        <f t="shared" si="32"/>
        <v>0</v>
      </c>
      <c r="K263" s="19" t="str">
        <f t="shared" si="33"/>
        <v xml:space="preserve"> No Issue</v>
      </c>
      <c r="L263" s="1" t="str">
        <f t="shared" si="34"/>
        <v>No Issue</v>
      </c>
      <c r="M263" s="1" t="str">
        <f t="shared" si="35"/>
        <v>No Issue</v>
      </c>
      <c r="N263" s="1" t="str">
        <f t="shared" si="36"/>
        <v>No Issue</v>
      </c>
      <c r="O263" s="1" t="str">
        <f t="shared" si="37"/>
        <v>No Issue</v>
      </c>
      <c r="P263" s="1" t="str">
        <f t="shared" si="38"/>
        <v>NoIssue</v>
      </c>
    </row>
    <row r="264" spans="1:16" ht="22.5" customHeight="1">
      <c r="A264" s="20">
        <v>24</v>
      </c>
      <c r="B264" s="21" t="s">
        <v>44</v>
      </c>
      <c r="C264" s="26">
        <v>101.82</v>
      </c>
      <c r="D264" s="1"/>
      <c r="E264" s="1"/>
      <c r="F264" s="1"/>
      <c r="G264" s="1"/>
      <c r="H264" s="1"/>
      <c r="I264" s="1"/>
      <c r="J264" s="1">
        <f t="shared" si="32"/>
        <v>0</v>
      </c>
      <c r="K264" s="19" t="str">
        <f t="shared" si="33"/>
        <v xml:space="preserve"> No Issue</v>
      </c>
      <c r="L264" s="1" t="str">
        <f t="shared" si="34"/>
        <v>No Issue</v>
      </c>
      <c r="M264" s="1" t="str">
        <f t="shared" si="35"/>
        <v>No Issue</v>
      </c>
      <c r="N264" s="1" t="str">
        <f t="shared" si="36"/>
        <v>No Issue</v>
      </c>
      <c r="O264" s="1" t="str">
        <f t="shared" si="37"/>
        <v>No Issue</v>
      </c>
      <c r="P264" s="1" t="str">
        <f t="shared" si="38"/>
        <v>NoIssue</v>
      </c>
    </row>
    <row r="265" spans="1:16" ht="22.5" customHeight="1">
      <c r="A265" s="20">
        <v>25</v>
      </c>
      <c r="B265" s="21" t="s">
        <v>45</v>
      </c>
      <c r="C265" s="26">
        <v>53.49</v>
      </c>
      <c r="D265" s="1"/>
      <c r="E265" s="1"/>
      <c r="F265" s="1"/>
      <c r="G265" s="1"/>
      <c r="H265" s="1"/>
      <c r="I265" s="1"/>
      <c r="J265" s="1">
        <f t="shared" si="32"/>
        <v>0</v>
      </c>
      <c r="K265" s="19" t="str">
        <f t="shared" si="33"/>
        <v xml:space="preserve"> No Issue</v>
      </c>
      <c r="L265" s="1" t="str">
        <f t="shared" si="34"/>
        <v>No Issue</v>
      </c>
      <c r="M265" s="1" t="str">
        <f t="shared" si="35"/>
        <v>No Issue</v>
      </c>
      <c r="N265" s="1" t="str">
        <f t="shared" si="36"/>
        <v>No Issue</v>
      </c>
      <c r="O265" s="1" t="str">
        <f t="shared" si="37"/>
        <v>No Issue</v>
      </c>
      <c r="P265" s="1" t="str">
        <f t="shared" si="38"/>
        <v>NoIssue</v>
      </c>
    </row>
    <row r="266" spans="1:16" ht="22.5" customHeight="1">
      <c r="A266" s="20">
        <v>26</v>
      </c>
      <c r="B266" s="21" t="s">
        <v>46</v>
      </c>
      <c r="C266" s="26">
        <v>32.92</v>
      </c>
      <c r="D266" s="1"/>
      <c r="E266" s="1"/>
      <c r="F266" s="1"/>
      <c r="G266" s="1"/>
      <c r="H266" s="1"/>
      <c r="I266" s="1"/>
      <c r="J266" s="1">
        <f t="shared" si="32"/>
        <v>0</v>
      </c>
      <c r="K266" s="19" t="str">
        <f t="shared" si="33"/>
        <v xml:space="preserve"> No Issue</v>
      </c>
      <c r="L266" s="1" t="str">
        <f t="shared" si="34"/>
        <v>No Issue</v>
      </c>
      <c r="M266" s="1" t="str">
        <f t="shared" si="35"/>
        <v>No Issue</v>
      </c>
      <c r="N266" s="1" t="str">
        <f t="shared" si="36"/>
        <v>No Issue</v>
      </c>
      <c r="O266" s="1" t="str">
        <f t="shared" si="37"/>
        <v>No Issue</v>
      </c>
      <c r="P266" s="1" t="str">
        <f t="shared" si="38"/>
        <v>NoIssue</v>
      </c>
    </row>
    <row r="267" spans="1:16" ht="22.5" customHeight="1">
      <c r="A267" s="20">
        <v>27</v>
      </c>
      <c r="B267" s="21" t="s">
        <v>47</v>
      </c>
      <c r="C267" s="26">
        <v>116.68</v>
      </c>
      <c r="D267" s="1"/>
      <c r="E267" s="1"/>
      <c r="F267" s="1"/>
      <c r="G267" s="1"/>
      <c r="H267" s="1"/>
      <c r="I267" s="1"/>
      <c r="J267" s="1">
        <f t="shared" si="32"/>
        <v>0</v>
      </c>
      <c r="K267" s="19" t="str">
        <f t="shared" si="33"/>
        <v xml:space="preserve"> No Issue</v>
      </c>
      <c r="L267" s="1" t="str">
        <f t="shared" si="34"/>
        <v>No Issue</v>
      </c>
      <c r="M267" s="1" t="str">
        <f t="shared" si="35"/>
        <v>No Issue</v>
      </c>
      <c r="N267" s="1" t="str">
        <f t="shared" si="36"/>
        <v>No Issue</v>
      </c>
      <c r="O267" s="1" t="str">
        <f t="shared" si="37"/>
        <v>No Issue</v>
      </c>
      <c r="P267" s="1" t="str">
        <f t="shared" si="38"/>
        <v>NoIssue</v>
      </c>
    </row>
    <row r="268" spans="1:16" ht="22.5" customHeight="1">
      <c r="A268" s="20">
        <v>28</v>
      </c>
      <c r="B268" s="21" t="s">
        <v>48</v>
      </c>
      <c r="C268" s="26">
        <v>107.96</v>
      </c>
      <c r="D268" s="1"/>
      <c r="E268" s="1"/>
      <c r="F268" s="1"/>
      <c r="G268" s="1"/>
      <c r="H268" s="1"/>
      <c r="I268" s="1"/>
      <c r="J268" s="1">
        <f t="shared" si="32"/>
        <v>0</v>
      </c>
      <c r="K268" s="19" t="str">
        <f t="shared" si="33"/>
        <v xml:space="preserve"> No Issue</v>
      </c>
      <c r="L268" s="1" t="str">
        <f t="shared" si="34"/>
        <v>No Issue</v>
      </c>
      <c r="M268" s="1" t="str">
        <f t="shared" si="35"/>
        <v>No Issue</v>
      </c>
      <c r="N268" s="1" t="str">
        <f t="shared" si="36"/>
        <v>No Issue</v>
      </c>
      <c r="O268" s="1" t="str">
        <f t="shared" si="37"/>
        <v>No Issue</v>
      </c>
      <c r="P268" s="1" t="str">
        <f t="shared" si="38"/>
        <v>NoIssue</v>
      </c>
    </row>
    <row r="269" spans="1:16" ht="22.5" customHeight="1">
      <c r="A269" s="20">
        <v>29</v>
      </c>
      <c r="B269" s="21" t="s">
        <v>49</v>
      </c>
      <c r="C269" s="26">
        <v>248.89</v>
      </c>
      <c r="D269" s="1"/>
      <c r="E269" s="1"/>
      <c r="F269" s="1"/>
      <c r="G269" s="1"/>
      <c r="H269" s="1"/>
      <c r="I269" s="1"/>
      <c r="J269" s="1">
        <f t="shared" si="32"/>
        <v>0</v>
      </c>
      <c r="K269" s="19" t="str">
        <f t="shared" si="33"/>
        <v xml:space="preserve"> No Issue</v>
      </c>
      <c r="L269" s="1" t="str">
        <f t="shared" si="34"/>
        <v>No Issue</v>
      </c>
      <c r="M269" s="1" t="str">
        <f t="shared" si="35"/>
        <v>No Issue</v>
      </c>
      <c r="N269" s="1" t="str">
        <f t="shared" si="36"/>
        <v>No Issue</v>
      </c>
      <c r="O269" s="1" t="str">
        <f t="shared" si="37"/>
        <v>No Issue</v>
      </c>
      <c r="P269" s="1" t="str">
        <f t="shared" si="38"/>
        <v>NoIssue</v>
      </c>
    </row>
    <row r="270" spans="1:16" ht="22.5" customHeight="1">
      <c r="A270" s="20">
        <v>30</v>
      </c>
      <c r="B270" s="21" t="s">
        <v>50</v>
      </c>
      <c r="C270" s="26">
        <v>80.36</v>
      </c>
      <c r="D270" s="1"/>
      <c r="E270" s="1"/>
      <c r="F270" s="19"/>
      <c r="G270" s="19"/>
      <c r="H270" s="19"/>
      <c r="I270" s="1"/>
      <c r="J270" s="1">
        <f t="shared" si="32"/>
        <v>0</v>
      </c>
      <c r="K270" s="19" t="str">
        <f t="shared" si="33"/>
        <v xml:space="preserve"> No Issue</v>
      </c>
      <c r="L270" s="1" t="str">
        <f t="shared" si="34"/>
        <v>No Issue</v>
      </c>
      <c r="M270" s="1" t="str">
        <f t="shared" si="35"/>
        <v>No Issue</v>
      </c>
      <c r="N270" s="1" t="str">
        <f t="shared" si="36"/>
        <v>No Issue</v>
      </c>
      <c r="O270" s="1" t="str">
        <f t="shared" si="37"/>
        <v>No Issue</v>
      </c>
      <c r="P270" s="1" t="str">
        <f t="shared" si="38"/>
        <v>NoIssue</v>
      </c>
    </row>
    <row r="271" spans="1:16" ht="22.5" customHeight="1">
      <c r="A271" s="20">
        <v>31</v>
      </c>
      <c r="B271" s="21" t="s">
        <v>51</v>
      </c>
      <c r="C271" s="26">
        <v>52.46</v>
      </c>
      <c r="D271" s="1"/>
      <c r="E271" s="1"/>
      <c r="F271" s="19"/>
      <c r="G271" s="19"/>
      <c r="H271" s="19"/>
      <c r="I271" s="1"/>
      <c r="J271" s="1">
        <f t="shared" si="32"/>
        <v>0</v>
      </c>
      <c r="K271" s="19" t="str">
        <f t="shared" si="33"/>
        <v xml:space="preserve"> No Issue</v>
      </c>
      <c r="L271" s="1" t="str">
        <f t="shared" si="34"/>
        <v>No Issue</v>
      </c>
      <c r="M271" s="1" t="str">
        <f t="shared" si="35"/>
        <v>No Issue</v>
      </c>
      <c r="N271" s="1" t="str">
        <f t="shared" si="36"/>
        <v>No Issue</v>
      </c>
      <c r="O271" s="1" t="str">
        <f t="shared" si="37"/>
        <v>No Issue</v>
      </c>
      <c r="P271" s="1" t="str">
        <f t="shared" si="38"/>
        <v>NoIssue</v>
      </c>
    </row>
    <row r="272" spans="1:16" ht="22.5" customHeight="1">
      <c r="A272" s="20">
        <v>32</v>
      </c>
      <c r="B272" s="21" t="s">
        <v>52</v>
      </c>
      <c r="C272" s="26">
        <v>71.209999999999994</v>
      </c>
      <c r="D272" s="1"/>
      <c r="E272" s="1"/>
      <c r="F272" s="19"/>
      <c r="G272" s="19"/>
      <c r="H272" s="19"/>
      <c r="I272" s="1"/>
      <c r="J272" s="1">
        <f t="shared" si="32"/>
        <v>0</v>
      </c>
      <c r="K272" s="19" t="str">
        <f t="shared" si="33"/>
        <v xml:space="preserve"> No Issue</v>
      </c>
      <c r="L272" s="1" t="str">
        <f t="shared" si="34"/>
        <v>No Issue</v>
      </c>
      <c r="M272" s="1" t="str">
        <f t="shared" si="35"/>
        <v>No Issue</v>
      </c>
      <c r="N272" s="1" t="str">
        <f t="shared" si="36"/>
        <v>No Issue</v>
      </c>
      <c r="O272" s="1" t="str">
        <f t="shared" si="37"/>
        <v>No Issue</v>
      </c>
      <c r="P272" s="1" t="str">
        <f t="shared" si="38"/>
        <v>NoIssue</v>
      </c>
    </row>
    <row r="273" spans="1:16" ht="22.5" customHeight="1">
      <c r="A273" s="20">
        <v>33</v>
      </c>
      <c r="B273" s="21" t="s">
        <v>53</v>
      </c>
      <c r="C273" s="26">
        <v>80.349999999999994</v>
      </c>
      <c r="D273" s="1"/>
      <c r="E273" s="1"/>
      <c r="F273" s="19"/>
      <c r="G273" s="19"/>
      <c r="H273" s="19"/>
      <c r="I273" s="1"/>
      <c r="J273" s="1">
        <f t="shared" si="32"/>
        <v>0</v>
      </c>
      <c r="K273" s="19" t="str">
        <f t="shared" si="33"/>
        <v xml:space="preserve"> No Issue</v>
      </c>
      <c r="L273" s="1" t="str">
        <f t="shared" si="34"/>
        <v>No Issue</v>
      </c>
      <c r="M273" s="1" t="str">
        <f t="shared" si="35"/>
        <v>No Issue</v>
      </c>
      <c r="N273" s="1" t="str">
        <f t="shared" si="36"/>
        <v>No Issue</v>
      </c>
      <c r="O273" s="1" t="str">
        <f t="shared" si="37"/>
        <v>No Issue</v>
      </c>
      <c r="P273" s="1" t="str">
        <f t="shared" si="38"/>
        <v>NoIssue</v>
      </c>
    </row>
    <row r="274" spans="1:16" ht="22.5" customHeight="1">
      <c r="A274" s="20">
        <v>34</v>
      </c>
      <c r="B274" s="21" t="s">
        <v>54</v>
      </c>
      <c r="C274" s="26">
        <v>64.180000000000007</v>
      </c>
      <c r="D274" s="1"/>
      <c r="E274" s="1"/>
      <c r="F274" s="19"/>
      <c r="G274" s="19"/>
      <c r="H274" s="19"/>
      <c r="I274" s="1"/>
      <c r="J274" s="1">
        <f t="shared" si="32"/>
        <v>0</v>
      </c>
      <c r="K274" s="19" t="str">
        <f t="shared" si="33"/>
        <v xml:space="preserve"> No Issue</v>
      </c>
      <c r="L274" s="1" t="str">
        <f t="shared" si="34"/>
        <v>No Issue</v>
      </c>
      <c r="M274" s="1" t="str">
        <f t="shared" si="35"/>
        <v>No Issue</v>
      </c>
      <c r="N274" s="1" t="str">
        <f t="shared" si="36"/>
        <v>No Issue</v>
      </c>
      <c r="O274" s="1" t="str">
        <f t="shared" si="37"/>
        <v>No Issue</v>
      </c>
      <c r="P274" s="1" t="str">
        <f t="shared" si="38"/>
        <v>NoIssue</v>
      </c>
    </row>
    <row r="275" spans="1:16" ht="22.5" customHeight="1">
      <c r="A275" s="20">
        <v>35</v>
      </c>
      <c r="B275" s="21" t="s">
        <v>55</v>
      </c>
      <c r="C275" s="26">
        <v>36.9</v>
      </c>
      <c r="D275" s="1"/>
      <c r="E275" s="1"/>
      <c r="F275" s="19"/>
      <c r="G275" s="19"/>
      <c r="H275" s="19"/>
      <c r="I275" s="1"/>
      <c r="J275" s="1">
        <f t="shared" si="32"/>
        <v>0</v>
      </c>
      <c r="K275" s="19" t="str">
        <f t="shared" si="33"/>
        <v xml:space="preserve"> No Issue</v>
      </c>
      <c r="L275" s="1" t="str">
        <f t="shared" si="34"/>
        <v>No Issue</v>
      </c>
      <c r="M275" s="1" t="str">
        <f t="shared" si="35"/>
        <v>No Issue</v>
      </c>
      <c r="N275" s="1" t="str">
        <f t="shared" si="36"/>
        <v>No Issue</v>
      </c>
      <c r="O275" s="1" t="str">
        <f t="shared" si="37"/>
        <v>No Issue</v>
      </c>
      <c r="P275" s="1" t="str">
        <f t="shared" si="38"/>
        <v>NoIssue</v>
      </c>
    </row>
    <row r="276" spans="1:16" ht="22.5" customHeight="1">
      <c r="A276" s="20">
        <v>36</v>
      </c>
      <c r="B276" s="21" t="s">
        <v>56</v>
      </c>
      <c r="C276" s="26">
        <v>101.54</v>
      </c>
      <c r="D276" s="1"/>
      <c r="E276" s="1"/>
      <c r="F276" s="19"/>
      <c r="G276" s="19"/>
      <c r="H276" s="19"/>
      <c r="I276" s="1"/>
      <c r="J276" s="1">
        <f t="shared" si="32"/>
        <v>0</v>
      </c>
      <c r="K276" s="19" t="str">
        <f t="shared" si="33"/>
        <v xml:space="preserve"> No Issue</v>
      </c>
      <c r="L276" s="1" t="str">
        <f t="shared" si="34"/>
        <v>No Issue</v>
      </c>
      <c r="M276" s="1" t="str">
        <f t="shared" si="35"/>
        <v>No Issue</v>
      </c>
      <c r="N276" s="1" t="str">
        <f t="shared" si="36"/>
        <v>No Issue</v>
      </c>
      <c r="O276" s="1" t="str">
        <f t="shared" si="37"/>
        <v>No Issue</v>
      </c>
      <c r="P276" s="1" t="str">
        <f t="shared" si="38"/>
        <v>NoIssue</v>
      </c>
    </row>
    <row r="277" spans="1:16" ht="22.5" customHeight="1">
      <c r="A277" s="20">
        <v>37</v>
      </c>
      <c r="B277" s="21" t="s">
        <v>57</v>
      </c>
      <c r="C277" s="26">
        <v>40.5</v>
      </c>
      <c r="D277" s="1"/>
      <c r="E277" s="1"/>
      <c r="F277" s="19"/>
      <c r="G277" s="19"/>
      <c r="H277" s="19"/>
      <c r="I277" s="1"/>
      <c r="J277" s="1">
        <f t="shared" si="32"/>
        <v>0</v>
      </c>
      <c r="K277" s="19" t="str">
        <f t="shared" si="33"/>
        <v xml:space="preserve"> No Issue</v>
      </c>
      <c r="L277" s="1" t="str">
        <f t="shared" si="34"/>
        <v>No Issue</v>
      </c>
      <c r="M277" s="1" t="str">
        <f t="shared" si="35"/>
        <v>No Issue</v>
      </c>
      <c r="N277" s="1" t="str">
        <f t="shared" si="36"/>
        <v>No Issue</v>
      </c>
      <c r="O277" s="1" t="str">
        <f t="shared" si="37"/>
        <v>No Issue</v>
      </c>
      <c r="P277" s="1" t="str">
        <f t="shared" si="38"/>
        <v>NoIssue</v>
      </c>
    </row>
    <row r="278" spans="1:16" ht="22.5" customHeight="1">
      <c r="A278" s="20">
        <v>38</v>
      </c>
      <c r="B278" s="21" t="s">
        <v>58</v>
      </c>
      <c r="C278" s="26">
        <v>66.69</v>
      </c>
      <c r="D278" s="1"/>
      <c r="E278" s="1"/>
      <c r="F278" s="19"/>
      <c r="G278" s="19"/>
      <c r="H278" s="19"/>
      <c r="I278" s="1"/>
      <c r="J278" s="1">
        <f t="shared" si="32"/>
        <v>0</v>
      </c>
      <c r="K278" s="19" t="str">
        <f t="shared" si="33"/>
        <v xml:space="preserve"> No Issue</v>
      </c>
      <c r="L278" s="1" t="str">
        <f t="shared" si="34"/>
        <v>No Issue</v>
      </c>
      <c r="M278" s="1" t="str">
        <f t="shared" si="35"/>
        <v>No Issue</v>
      </c>
      <c r="N278" s="1" t="str">
        <f t="shared" si="36"/>
        <v>No Issue</v>
      </c>
      <c r="O278" s="1" t="str">
        <f t="shared" si="37"/>
        <v>No Issue</v>
      </c>
      <c r="P278" s="1" t="str">
        <f t="shared" si="38"/>
        <v>NoIssue</v>
      </c>
    </row>
    <row r="279" spans="1:16" ht="22.5" customHeight="1">
      <c r="A279" s="20">
        <v>39</v>
      </c>
      <c r="B279" s="21" t="s">
        <v>59</v>
      </c>
      <c r="C279" s="21">
        <v>150.85999999999999</v>
      </c>
      <c r="D279" s="1"/>
      <c r="E279" s="1"/>
      <c r="F279" s="19"/>
      <c r="G279" s="19"/>
      <c r="H279" s="19"/>
      <c r="I279" s="1"/>
      <c r="J279" s="1">
        <f t="shared" si="32"/>
        <v>0</v>
      </c>
      <c r="K279" s="19" t="str">
        <f t="shared" si="33"/>
        <v xml:space="preserve"> No Issue</v>
      </c>
      <c r="L279" s="1" t="str">
        <f t="shared" si="34"/>
        <v>No Issue</v>
      </c>
      <c r="M279" s="1" t="str">
        <f t="shared" si="35"/>
        <v>No Issue</v>
      </c>
      <c r="N279" s="1" t="str">
        <f t="shared" si="36"/>
        <v>No Issue</v>
      </c>
      <c r="O279" s="1" t="str">
        <f t="shared" si="37"/>
        <v>No Issue</v>
      </c>
      <c r="P279" s="1" t="str">
        <f t="shared" si="38"/>
        <v>NoIssue</v>
      </c>
    </row>
    <row r="280" spans="1:16" ht="22.5" customHeight="1">
      <c r="A280" s="20">
        <v>40</v>
      </c>
      <c r="B280" s="29" t="s">
        <v>60</v>
      </c>
      <c r="C280" s="26">
        <v>180</v>
      </c>
      <c r="D280" s="1"/>
      <c r="E280" s="1"/>
      <c r="F280" s="19"/>
      <c r="G280" s="19"/>
      <c r="H280" s="19"/>
      <c r="I280" s="1"/>
      <c r="J280" s="1">
        <f t="shared" si="32"/>
        <v>0</v>
      </c>
      <c r="K280" s="19" t="str">
        <f t="shared" si="33"/>
        <v xml:space="preserve"> No Issue</v>
      </c>
      <c r="L280" s="1" t="str">
        <f t="shared" si="34"/>
        <v>No Issue</v>
      </c>
      <c r="M280" s="1" t="str">
        <f t="shared" si="35"/>
        <v>No Issue</v>
      </c>
      <c r="N280" s="1" t="str">
        <f t="shared" si="36"/>
        <v>No Issue</v>
      </c>
      <c r="O280" s="1" t="str">
        <f t="shared" si="37"/>
        <v>No Issue</v>
      </c>
      <c r="P280" s="1" t="str">
        <f t="shared" si="38"/>
        <v>NoIssue</v>
      </c>
    </row>
    <row r="281" spans="1:16" ht="22.5" customHeight="1">
      <c r="A281" s="20">
        <v>41</v>
      </c>
      <c r="B281" s="29" t="s">
        <v>61</v>
      </c>
      <c r="C281" s="21">
        <v>128.57</v>
      </c>
      <c r="D281" s="1"/>
      <c r="E281" s="1"/>
      <c r="F281" s="19"/>
      <c r="G281" s="19"/>
      <c r="H281" s="19"/>
      <c r="I281" s="1"/>
      <c r="J281" s="1">
        <f t="shared" si="32"/>
        <v>0</v>
      </c>
      <c r="K281" s="19" t="str">
        <f t="shared" si="33"/>
        <v xml:space="preserve"> No Issue</v>
      </c>
      <c r="L281" s="1" t="str">
        <f t="shared" si="34"/>
        <v>No Issue</v>
      </c>
      <c r="M281" s="1" t="str">
        <f t="shared" si="35"/>
        <v>No Issue</v>
      </c>
      <c r="N281" s="1" t="str">
        <f t="shared" si="36"/>
        <v>No Issue</v>
      </c>
      <c r="O281" s="1" t="str">
        <f t="shared" si="37"/>
        <v>No Issue</v>
      </c>
      <c r="P281" s="1" t="str">
        <f t="shared" si="38"/>
        <v>NoIssue</v>
      </c>
    </row>
    <row r="282" spans="1:16" ht="22.5" customHeight="1">
      <c r="A282" s="20">
        <v>42</v>
      </c>
      <c r="B282" s="21"/>
      <c r="C282" s="21"/>
      <c r="D282" s="1"/>
      <c r="E282" s="1"/>
      <c r="F282" s="19"/>
      <c r="G282" s="19"/>
      <c r="H282" s="19"/>
      <c r="I282" s="1"/>
      <c r="J282" s="1">
        <f t="shared" si="32"/>
        <v>0</v>
      </c>
      <c r="K282" s="19" t="str">
        <f t="shared" si="33"/>
        <v xml:space="preserve"> No Issue</v>
      </c>
      <c r="L282" s="1" t="str">
        <f t="shared" si="34"/>
        <v>No Issue</v>
      </c>
      <c r="M282" s="1" t="str">
        <f t="shared" si="35"/>
        <v>No Issue</v>
      </c>
      <c r="N282" s="1" t="str">
        <f t="shared" si="36"/>
        <v>No Issue</v>
      </c>
      <c r="O282" s="1" t="str">
        <f t="shared" si="37"/>
        <v>No Issue</v>
      </c>
      <c r="P282" s="1" t="str">
        <f t="shared" si="38"/>
        <v>NoIssue</v>
      </c>
    </row>
    <row r="283" spans="1:16" ht="22.5" customHeight="1">
      <c r="A283" s="20">
        <v>43</v>
      </c>
      <c r="B283" s="30"/>
      <c r="C283" s="30"/>
      <c r="D283" s="1"/>
      <c r="E283" s="1"/>
      <c r="F283" s="19"/>
      <c r="G283" s="19"/>
      <c r="H283" s="19"/>
      <c r="I283" s="1"/>
      <c r="J283" s="1">
        <f t="shared" si="32"/>
        <v>0</v>
      </c>
      <c r="K283" s="19" t="str">
        <f t="shared" si="33"/>
        <v xml:space="preserve"> No Issue</v>
      </c>
      <c r="L283" s="1" t="str">
        <f t="shared" si="34"/>
        <v>No Issue</v>
      </c>
      <c r="M283" s="1" t="str">
        <f t="shared" si="35"/>
        <v>No Issue</v>
      </c>
      <c r="N283" s="1" t="str">
        <f t="shared" si="36"/>
        <v>No Issue</v>
      </c>
      <c r="O283" s="1" t="str">
        <f t="shared" si="37"/>
        <v>No Issue</v>
      </c>
      <c r="P283" s="1" t="str">
        <f t="shared" si="38"/>
        <v>NoIssue</v>
      </c>
    </row>
    <row r="284" spans="1:16" ht="22.5" customHeight="1">
      <c r="A284" s="20">
        <v>44</v>
      </c>
      <c r="B284" s="30"/>
      <c r="C284" s="30"/>
      <c r="D284" s="1"/>
      <c r="E284" s="1"/>
      <c r="F284" s="19"/>
      <c r="G284" s="19"/>
      <c r="H284" s="19"/>
      <c r="I284" s="1"/>
      <c r="J284" s="1">
        <f t="shared" si="32"/>
        <v>0</v>
      </c>
      <c r="K284" s="19" t="str">
        <f t="shared" si="33"/>
        <v xml:space="preserve"> No Issue</v>
      </c>
      <c r="L284" s="1" t="str">
        <f t="shared" si="34"/>
        <v>No Issue</v>
      </c>
      <c r="M284" s="1" t="str">
        <f t="shared" si="35"/>
        <v>No Issue</v>
      </c>
      <c r="N284" s="1" t="str">
        <f t="shared" si="36"/>
        <v>No Issue</v>
      </c>
      <c r="O284" s="1" t="str">
        <f t="shared" si="37"/>
        <v>No Issue</v>
      </c>
      <c r="P284" s="1" t="str">
        <f t="shared" si="38"/>
        <v>NoIssue</v>
      </c>
    </row>
    <row r="285" spans="1:16" ht="22.5" customHeight="1">
      <c r="A285" s="20">
        <v>45</v>
      </c>
      <c r="B285" s="30"/>
      <c r="C285" s="30"/>
      <c r="D285" s="1"/>
      <c r="E285" s="1"/>
      <c r="F285" s="19"/>
      <c r="G285" s="19"/>
      <c r="H285" s="19"/>
      <c r="I285" s="1"/>
      <c r="J285" s="1">
        <f t="shared" si="32"/>
        <v>0</v>
      </c>
      <c r="K285" s="19" t="str">
        <f t="shared" si="33"/>
        <v xml:space="preserve"> No Issue</v>
      </c>
      <c r="L285" s="1" t="str">
        <f t="shared" si="34"/>
        <v>No Issue</v>
      </c>
      <c r="M285" s="1" t="str">
        <f t="shared" si="35"/>
        <v>No Issue</v>
      </c>
      <c r="N285" s="1" t="str">
        <f t="shared" si="36"/>
        <v>No Issue</v>
      </c>
      <c r="O285" s="1" t="str">
        <f t="shared" si="37"/>
        <v>No Issue</v>
      </c>
      <c r="P285" s="1" t="str">
        <f t="shared" si="38"/>
        <v>NoIssue</v>
      </c>
    </row>
    <row r="286" spans="1:16" ht="22.5" customHeight="1">
      <c r="A286" s="20">
        <v>46</v>
      </c>
      <c r="B286" s="30"/>
      <c r="C286" s="30"/>
      <c r="D286" s="1"/>
      <c r="E286" s="1"/>
      <c r="F286" s="19"/>
      <c r="G286" s="19"/>
      <c r="H286" s="19"/>
      <c r="I286" s="1"/>
      <c r="J286" s="1">
        <f t="shared" si="32"/>
        <v>0</v>
      </c>
      <c r="K286" s="19" t="str">
        <f t="shared" si="33"/>
        <v xml:space="preserve"> No Issue</v>
      </c>
      <c r="L286" s="1" t="str">
        <f t="shared" si="34"/>
        <v>No Issue</v>
      </c>
      <c r="M286" s="1" t="str">
        <f t="shared" si="35"/>
        <v>No Issue</v>
      </c>
      <c r="N286" s="1" t="str">
        <f t="shared" si="36"/>
        <v>No Issue</v>
      </c>
      <c r="O286" s="1" t="str">
        <f t="shared" si="37"/>
        <v>No Issue</v>
      </c>
      <c r="P286" s="1" t="str">
        <f t="shared" si="38"/>
        <v>NoIssue</v>
      </c>
    </row>
    <row r="287" spans="1:16" ht="22.5" customHeight="1">
      <c r="A287" s="20">
        <v>47</v>
      </c>
      <c r="B287" s="31"/>
      <c r="C287" s="32"/>
      <c r="D287" s="1"/>
      <c r="E287" s="1"/>
      <c r="F287" s="19"/>
      <c r="G287" s="19"/>
      <c r="H287" s="19"/>
      <c r="I287" s="1"/>
      <c r="J287" s="1">
        <f t="shared" si="32"/>
        <v>0</v>
      </c>
      <c r="K287" s="19" t="str">
        <f t="shared" si="33"/>
        <v xml:space="preserve"> No Issue</v>
      </c>
      <c r="L287" s="1" t="str">
        <f t="shared" si="34"/>
        <v>No Issue</v>
      </c>
      <c r="M287" s="1" t="str">
        <f t="shared" si="35"/>
        <v>No Issue</v>
      </c>
      <c r="N287" s="1" t="str">
        <f t="shared" si="36"/>
        <v>No Issue</v>
      </c>
      <c r="O287" s="1" t="str">
        <f t="shared" si="37"/>
        <v>No Issue</v>
      </c>
      <c r="P287" s="1" t="str">
        <f t="shared" si="38"/>
        <v>NoIssue</v>
      </c>
    </row>
    <row r="288" spans="1:16" ht="22.5" customHeight="1">
      <c r="A288" s="20">
        <v>48</v>
      </c>
      <c r="B288" s="31"/>
      <c r="C288" s="32"/>
      <c r="D288" s="1"/>
      <c r="E288" s="1"/>
      <c r="F288" s="19"/>
      <c r="G288" s="19"/>
      <c r="H288" s="19"/>
      <c r="I288" s="1"/>
      <c r="J288" s="1">
        <f t="shared" si="32"/>
        <v>0</v>
      </c>
      <c r="K288" s="19" t="str">
        <f t="shared" si="33"/>
        <v xml:space="preserve"> No Issue</v>
      </c>
      <c r="L288" s="1" t="str">
        <f t="shared" si="34"/>
        <v>No Issue</v>
      </c>
      <c r="M288" s="1" t="str">
        <f t="shared" si="35"/>
        <v>No Issue</v>
      </c>
      <c r="N288" s="1" t="str">
        <f t="shared" si="36"/>
        <v>No Issue</v>
      </c>
      <c r="O288" s="1" t="str">
        <f t="shared" si="37"/>
        <v>No Issue</v>
      </c>
      <c r="P288" s="1" t="str">
        <f t="shared" si="38"/>
        <v>NoIssue</v>
      </c>
    </row>
    <row r="289" spans="1:16" ht="22.5" customHeight="1">
      <c r="A289" s="20">
        <v>49</v>
      </c>
      <c r="B289" s="31"/>
      <c r="C289" s="32"/>
      <c r="D289" s="1"/>
      <c r="E289" s="1"/>
      <c r="F289" s="19"/>
      <c r="G289" s="19"/>
      <c r="H289" s="19"/>
      <c r="I289" s="1"/>
      <c r="J289" s="1">
        <f t="shared" si="32"/>
        <v>0</v>
      </c>
      <c r="K289" s="19" t="str">
        <f t="shared" si="33"/>
        <v xml:space="preserve"> No Issue</v>
      </c>
      <c r="L289" s="1" t="str">
        <f t="shared" si="34"/>
        <v>No Issue</v>
      </c>
      <c r="M289" s="1" t="str">
        <f t="shared" si="35"/>
        <v>No Issue</v>
      </c>
      <c r="N289" s="1" t="str">
        <f t="shared" si="36"/>
        <v>No Issue</v>
      </c>
      <c r="O289" s="1" t="str">
        <f t="shared" si="37"/>
        <v>No Issue</v>
      </c>
      <c r="P289" s="1" t="str">
        <f t="shared" si="38"/>
        <v>NoIssue</v>
      </c>
    </row>
    <row r="290" spans="1:16" ht="22.5" customHeight="1">
      <c r="A290" s="20">
        <v>50</v>
      </c>
      <c r="B290" s="31"/>
      <c r="C290" s="32"/>
      <c r="D290" s="1"/>
      <c r="E290" s="1"/>
      <c r="F290" s="19"/>
      <c r="G290" s="19"/>
      <c r="H290" s="19"/>
      <c r="I290" s="1"/>
      <c r="J290" s="1">
        <f t="shared" si="32"/>
        <v>0</v>
      </c>
      <c r="K290" s="19" t="str">
        <f t="shared" si="33"/>
        <v xml:space="preserve"> No Issue</v>
      </c>
      <c r="L290" s="1" t="str">
        <f t="shared" si="34"/>
        <v>No Issue</v>
      </c>
      <c r="M290" s="1" t="str">
        <f t="shared" si="35"/>
        <v>No Issue</v>
      </c>
      <c r="N290" s="1" t="str">
        <f t="shared" si="36"/>
        <v>No Issue</v>
      </c>
      <c r="O290" s="1" t="str">
        <f t="shared" si="37"/>
        <v>No Issue</v>
      </c>
      <c r="P290" s="1" t="str">
        <f t="shared" si="38"/>
        <v>NoIssue</v>
      </c>
    </row>
    <row r="291" spans="1:16" ht="22.5" customHeight="1">
      <c r="A291" s="20">
        <v>51</v>
      </c>
      <c r="B291" s="31"/>
      <c r="C291" s="32"/>
      <c r="D291" s="1"/>
      <c r="E291" s="1"/>
      <c r="F291" s="19"/>
      <c r="G291" s="19"/>
      <c r="H291" s="19"/>
      <c r="I291" s="1"/>
      <c r="J291" s="1">
        <f t="shared" si="32"/>
        <v>0</v>
      </c>
      <c r="K291" s="19" t="str">
        <f t="shared" si="33"/>
        <v xml:space="preserve"> No Issue</v>
      </c>
      <c r="L291" s="1" t="str">
        <f t="shared" si="34"/>
        <v>No Issue</v>
      </c>
      <c r="M291" s="1" t="str">
        <f t="shared" si="35"/>
        <v>No Issue</v>
      </c>
      <c r="N291" s="1" t="str">
        <f t="shared" si="36"/>
        <v>No Issue</v>
      </c>
      <c r="O291" s="1" t="str">
        <f t="shared" si="37"/>
        <v>No Issue</v>
      </c>
      <c r="P291" s="1" t="str">
        <f t="shared" si="38"/>
        <v>NoIssue</v>
      </c>
    </row>
    <row r="292" spans="1:16" ht="22.5" customHeight="1">
      <c r="A292" s="20">
        <v>52</v>
      </c>
      <c r="B292" s="31"/>
      <c r="C292" s="32"/>
      <c r="D292" s="1"/>
      <c r="E292" s="1"/>
      <c r="F292" s="19"/>
      <c r="G292" s="19"/>
      <c r="H292" s="19"/>
      <c r="I292" s="1"/>
      <c r="J292" s="1">
        <f t="shared" si="32"/>
        <v>0</v>
      </c>
      <c r="K292" s="19" t="str">
        <f t="shared" si="33"/>
        <v xml:space="preserve"> No Issue</v>
      </c>
      <c r="L292" s="1" t="str">
        <f t="shared" si="34"/>
        <v>No Issue</v>
      </c>
      <c r="M292" s="1" t="str">
        <f t="shared" si="35"/>
        <v>No Issue</v>
      </c>
      <c r="N292" s="1" t="str">
        <f t="shared" si="36"/>
        <v>No Issue</v>
      </c>
      <c r="O292" s="1" t="str">
        <f t="shared" si="37"/>
        <v>No Issue</v>
      </c>
      <c r="P292" s="1" t="str">
        <f t="shared" si="38"/>
        <v>NoIssue</v>
      </c>
    </row>
    <row r="293" spans="1:16" ht="22.5" customHeight="1">
      <c r="A293" s="20">
        <v>53</v>
      </c>
      <c r="B293" s="31"/>
      <c r="C293" s="32"/>
      <c r="D293" s="1"/>
      <c r="E293" s="1"/>
      <c r="F293" s="19"/>
      <c r="G293" s="19"/>
      <c r="H293" s="19"/>
      <c r="I293" s="1"/>
      <c r="J293" s="1">
        <f t="shared" si="32"/>
        <v>0</v>
      </c>
      <c r="K293" s="19" t="str">
        <f t="shared" si="33"/>
        <v xml:space="preserve"> No Issue</v>
      </c>
      <c r="L293" s="1" t="str">
        <f t="shared" si="34"/>
        <v>No Issue</v>
      </c>
      <c r="M293" s="1" t="str">
        <f t="shared" si="35"/>
        <v>No Issue</v>
      </c>
      <c r="N293" s="1" t="str">
        <f t="shared" si="36"/>
        <v>No Issue</v>
      </c>
      <c r="O293" s="1" t="str">
        <f t="shared" si="37"/>
        <v>No Issue</v>
      </c>
      <c r="P293" s="1" t="str">
        <f t="shared" si="38"/>
        <v>NoIssue</v>
      </c>
    </row>
    <row r="294" spans="1:16" ht="22.5" customHeight="1">
      <c r="A294" s="20">
        <v>54</v>
      </c>
      <c r="B294" s="30"/>
      <c r="C294" s="30"/>
      <c r="D294" s="1"/>
      <c r="E294" s="1"/>
      <c r="F294" s="19"/>
      <c r="G294" s="19"/>
      <c r="H294" s="19"/>
      <c r="I294" s="1"/>
      <c r="J294" s="1">
        <f t="shared" si="32"/>
        <v>0</v>
      </c>
      <c r="K294" s="19" t="str">
        <f t="shared" si="33"/>
        <v xml:space="preserve"> No Issue</v>
      </c>
      <c r="L294" s="1" t="str">
        <f t="shared" si="34"/>
        <v>No Issue</v>
      </c>
      <c r="M294" s="1" t="str">
        <f t="shared" si="35"/>
        <v>No Issue</v>
      </c>
      <c r="N294" s="1" t="str">
        <f t="shared" si="36"/>
        <v>No Issue</v>
      </c>
      <c r="O294" s="1" t="str">
        <f t="shared" si="37"/>
        <v>No Issue</v>
      </c>
      <c r="P294" s="1" t="str">
        <f t="shared" si="38"/>
        <v>NoIssue</v>
      </c>
    </row>
    <row r="295" spans="1:16" ht="22.5" customHeight="1">
      <c r="A295" s="20">
        <v>55</v>
      </c>
      <c r="B295" s="31"/>
      <c r="C295" s="32"/>
      <c r="D295" s="1"/>
      <c r="E295" s="1"/>
      <c r="F295" s="19"/>
      <c r="G295" s="19"/>
      <c r="H295" s="19"/>
      <c r="I295" s="1"/>
      <c r="J295" s="1">
        <f t="shared" si="32"/>
        <v>0</v>
      </c>
      <c r="K295" s="19" t="str">
        <f t="shared" si="33"/>
        <v xml:space="preserve"> No Issue</v>
      </c>
      <c r="L295" s="1" t="str">
        <f t="shared" si="34"/>
        <v>No Issue</v>
      </c>
      <c r="M295" s="1" t="str">
        <f t="shared" si="35"/>
        <v>No Issue</v>
      </c>
      <c r="N295" s="1" t="str">
        <f t="shared" si="36"/>
        <v>No Issue</v>
      </c>
      <c r="O295" s="1" t="str">
        <f t="shared" si="37"/>
        <v>No Issue</v>
      </c>
      <c r="P295" s="1" t="str">
        <f t="shared" si="38"/>
        <v>NoIssue</v>
      </c>
    </row>
    <row r="296" spans="1:16" ht="22.5" customHeight="1">
      <c r="A296" s="20">
        <v>56</v>
      </c>
      <c r="B296" s="31"/>
      <c r="C296" s="32"/>
      <c r="D296" s="1"/>
      <c r="E296" s="1"/>
      <c r="F296" s="19"/>
      <c r="G296" s="19"/>
      <c r="H296" s="19"/>
      <c r="I296" s="1"/>
      <c r="J296" s="1">
        <f t="shared" si="32"/>
        <v>0</v>
      </c>
      <c r="K296" s="19" t="str">
        <f t="shared" si="33"/>
        <v xml:space="preserve"> No Issue</v>
      </c>
      <c r="L296" s="1" t="str">
        <f t="shared" si="34"/>
        <v>No Issue</v>
      </c>
      <c r="M296" s="1" t="str">
        <f t="shared" si="35"/>
        <v>No Issue</v>
      </c>
      <c r="N296" s="1" t="str">
        <f t="shared" si="36"/>
        <v>No Issue</v>
      </c>
      <c r="O296" s="1" t="str">
        <f t="shared" si="37"/>
        <v>No Issue</v>
      </c>
      <c r="P296" s="1" t="str">
        <f t="shared" si="38"/>
        <v>NoIssue</v>
      </c>
    </row>
    <row r="297" spans="1:16" ht="22.5" customHeight="1">
      <c r="A297" s="20"/>
      <c r="B297" s="1" t="s">
        <v>62</v>
      </c>
      <c r="C297" s="31"/>
      <c r="D297" s="1">
        <f t="shared" ref="D297:I297" si="39">SUMPRODUCT(D241:D296,$C241:$C296)</f>
        <v>0</v>
      </c>
      <c r="E297" s="1">
        <f t="shared" si="39"/>
        <v>0</v>
      </c>
      <c r="F297" s="1">
        <f t="shared" si="39"/>
        <v>0</v>
      </c>
      <c r="G297" s="1">
        <f t="shared" si="39"/>
        <v>0</v>
      </c>
      <c r="H297" s="1">
        <f t="shared" si="39"/>
        <v>0</v>
      </c>
      <c r="I297" s="1">
        <f t="shared" si="39"/>
        <v>0</v>
      </c>
      <c r="J297" s="1">
        <f t="shared" si="32"/>
        <v>0</v>
      </c>
      <c r="K297" s="19" t="str">
        <f t="shared" si="33"/>
        <v xml:space="preserve"> No Issue</v>
      </c>
      <c r="L297" s="1" t="str">
        <f t="shared" si="34"/>
        <v>No Issue</v>
      </c>
      <c r="M297" s="1" t="str">
        <f t="shared" si="35"/>
        <v>No Issue</v>
      </c>
      <c r="N297" s="1" t="str">
        <f t="shared" si="36"/>
        <v>No Issue</v>
      </c>
      <c r="O297" s="1" t="str">
        <f t="shared" si="37"/>
        <v>No Issue</v>
      </c>
      <c r="P297" s="1" t="str">
        <f t="shared" si="38"/>
        <v>NoIssue</v>
      </c>
    </row>
    <row r="298" spans="1:16" ht="22.5" customHeight="1">
      <c r="A298" s="8"/>
      <c r="B298" s="9" t="s">
        <v>3</v>
      </c>
      <c r="C298" s="10"/>
      <c r="D298" s="11"/>
      <c r="E298" s="9"/>
      <c r="F298" s="12"/>
      <c r="G298" s="46"/>
      <c r="H298" s="47"/>
      <c r="I298" s="12"/>
      <c r="J298" s="13"/>
      <c r="K298" s="48" t="s">
        <v>4</v>
      </c>
      <c r="L298" s="49"/>
      <c r="M298" s="49"/>
      <c r="N298" s="49"/>
      <c r="O298" s="49"/>
      <c r="P298" s="50"/>
    </row>
    <row r="299" spans="1:16" ht="22.5" customHeight="1">
      <c r="A299" s="35" t="s">
        <v>5</v>
      </c>
      <c r="B299" s="19" t="s">
        <v>6</v>
      </c>
      <c r="C299" s="19" t="s">
        <v>7</v>
      </c>
      <c r="D299" s="18" t="s">
        <v>8</v>
      </c>
      <c r="E299" s="18" t="s">
        <v>9</v>
      </c>
      <c r="F299" s="18" t="s">
        <v>10</v>
      </c>
      <c r="G299" s="18" t="s">
        <v>11</v>
      </c>
      <c r="H299" s="18" t="s">
        <v>12</v>
      </c>
      <c r="I299" s="18" t="s">
        <v>13</v>
      </c>
      <c r="J299" s="18" t="s">
        <v>14</v>
      </c>
      <c r="K299" s="19" t="s">
        <v>15</v>
      </c>
      <c r="L299" s="19" t="s">
        <v>16</v>
      </c>
      <c r="M299" s="19" t="s">
        <v>17</v>
      </c>
      <c r="N299" s="19" t="s">
        <v>18</v>
      </c>
      <c r="O299" s="19" t="s">
        <v>19</v>
      </c>
      <c r="P299" s="19" t="s">
        <v>20</v>
      </c>
    </row>
    <row r="300" spans="1:16" ht="22.5" customHeight="1">
      <c r="A300" s="20">
        <v>1</v>
      </c>
      <c r="B300" s="21" t="s">
        <v>21</v>
      </c>
      <c r="C300" s="22">
        <v>192.17</v>
      </c>
      <c r="D300" s="1"/>
      <c r="E300" s="1"/>
      <c r="F300" s="1"/>
      <c r="G300" s="1"/>
      <c r="H300" s="1"/>
      <c r="I300" s="1"/>
      <c r="J300" s="1">
        <f t="shared" ref="J300:J356" si="40">D300+E300-F300-G300+H300</f>
        <v>0</v>
      </c>
      <c r="K300" s="19" t="str">
        <f t="shared" ref="K300:K356" si="41">IF(I300&lt;&gt;(D300+E300-F300-G300+H300),"Closing stock Not Correct-Problem"," No Issue")</f>
        <v xml:space="preserve"> No Issue</v>
      </c>
      <c r="L300" s="1" t="str">
        <f t="shared" ref="L300:L356" si="42">IF((D300+E300)&lt;F300,"High Sale and Less Stock-Problem","No Issue")</f>
        <v>No Issue</v>
      </c>
      <c r="M300" s="1" t="str">
        <f t="shared" ref="M300:M356" si="43">IF(AND((D300+E300+I300)=0,F300&gt;0),"No Stock Sale Present Problem","No Issue")</f>
        <v>No Issue</v>
      </c>
      <c r="N300" s="1" t="str">
        <f t="shared" ref="N300:N356" si="44">IF(AND(SUM(D300:H300)=0,I300&gt;0),"Only Closing Entered Other Parameters No Entired Problem","No Issue")</f>
        <v>No Issue</v>
      </c>
      <c r="O300" s="1" t="str">
        <f t="shared" ref="O300:O356" si="45">IF(F300&gt;5000,"Check Once Sales quantity or Value Problem","No Issue")</f>
        <v>No Issue</v>
      </c>
      <c r="P300" s="1" t="str">
        <f t="shared" ref="P300:P356" si="46">IF(I300&gt;5000,"Check Once Closing quantity or Value Problem","NoIssue")</f>
        <v>NoIssue</v>
      </c>
    </row>
    <row r="301" spans="1:16" ht="22.5" customHeight="1">
      <c r="A301" s="20">
        <v>2</v>
      </c>
      <c r="B301" s="21" t="s">
        <v>22</v>
      </c>
      <c r="C301" s="22">
        <v>9.26</v>
      </c>
      <c r="D301" s="1"/>
      <c r="E301" s="1"/>
      <c r="F301" s="1"/>
      <c r="G301" s="1"/>
      <c r="H301" s="1"/>
      <c r="I301" s="1"/>
      <c r="J301" s="1">
        <f t="shared" si="40"/>
        <v>0</v>
      </c>
      <c r="K301" s="19" t="str">
        <f t="shared" si="41"/>
        <v xml:space="preserve"> No Issue</v>
      </c>
      <c r="L301" s="1" t="str">
        <f t="shared" si="42"/>
        <v>No Issue</v>
      </c>
      <c r="M301" s="1" t="str">
        <f t="shared" si="43"/>
        <v>No Issue</v>
      </c>
      <c r="N301" s="1" t="str">
        <f t="shared" si="44"/>
        <v>No Issue</v>
      </c>
      <c r="O301" s="1" t="str">
        <f t="shared" si="45"/>
        <v>No Issue</v>
      </c>
      <c r="P301" s="1" t="str">
        <f t="shared" si="46"/>
        <v>NoIssue</v>
      </c>
    </row>
    <row r="302" spans="1:16" ht="22.5" customHeight="1">
      <c r="A302" s="20">
        <v>3</v>
      </c>
      <c r="B302" s="21" t="s">
        <v>23</v>
      </c>
      <c r="C302" s="22">
        <v>87.79</v>
      </c>
      <c r="D302" s="1"/>
      <c r="E302" s="1"/>
      <c r="F302" s="1"/>
      <c r="G302" s="1"/>
      <c r="H302" s="1"/>
      <c r="I302" s="1"/>
      <c r="J302" s="1">
        <f t="shared" si="40"/>
        <v>0</v>
      </c>
      <c r="K302" s="19" t="str">
        <f t="shared" si="41"/>
        <v xml:space="preserve"> No Issue</v>
      </c>
      <c r="L302" s="1" t="str">
        <f t="shared" si="42"/>
        <v>No Issue</v>
      </c>
      <c r="M302" s="1" t="str">
        <f t="shared" si="43"/>
        <v>No Issue</v>
      </c>
      <c r="N302" s="1" t="str">
        <f t="shared" si="44"/>
        <v>No Issue</v>
      </c>
      <c r="O302" s="1" t="str">
        <f t="shared" si="45"/>
        <v>No Issue</v>
      </c>
      <c r="P302" s="1" t="str">
        <f t="shared" si="46"/>
        <v>NoIssue</v>
      </c>
    </row>
    <row r="303" spans="1:16" ht="22.5" customHeight="1">
      <c r="A303" s="20">
        <v>4</v>
      </c>
      <c r="B303" s="21" t="s">
        <v>24</v>
      </c>
      <c r="C303" s="22">
        <v>55.55</v>
      </c>
      <c r="D303" s="1"/>
      <c r="E303" s="1"/>
      <c r="F303" s="1"/>
      <c r="G303" s="1"/>
      <c r="H303" s="1"/>
      <c r="I303" s="1"/>
      <c r="J303" s="1">
        <f t="shared" si="40"/>
        <v>0</v>
      </c>
      <c r="K303" s="19" t="str">
        <f t="shared" si="41"/>
        <v xml:space="preserve"> No Issue</v>
      </c>
      <c r="L303" s="1" t="str">
        <f t="shared" si="42"/>
        <v>No Issue</v>
      </c>
      <c r="M303" s="1" t="str">
        <f t="shared" si="43"/>
        <v>No Issue</v>
      </c>
      <c r="N303" s="1" t="str">
        <f t="shared" si="44"/>
        <v>No Issue</v>
      </c>
      <c r="O303" s="1" t="str">
        <f t="shared" si="45"/>
        <v>No Issue</v>
      </c>
      <c r="P303" s="1" t="str">
        <f t="shared" si="46"/>
        <v>NoIssue</v>
      </c>
    </row>
    <row r="304" spans="1:16" ht="22.5" customHeight="1">
      <c r="A304" s="20">
        <v>5</v>
      </c>
      <c r="B304" s="21" t="s">
        <v>25</v>
      </c>
      <c r="C304" s="22">
        <v>70.010000000000005</v>
      </c>
      <c r="D304" s="1"/>
      <c r="E304" s="1"/>
      <c r="F304" s="1"/>
      <c r="G304" s="1"/>
      <c r="H304" s="1"/>
      <c r="I304" s="1"/>
      <c r="J304" s="1">
        <f t="shared" si="40"/>
        <v>0</v>
      </c>
      <c r="K304" s="19" t="str">
        <f t="shared" si="41"/>
        <v xml:space="preserve"> No Issue</v>
      </c>
      <c r="L304" s="1" t="str">
        <f t="shared" si="42"/>
        <v>No Issue</v>
      </c>
      <c r="M304" s="1" t="str">
        <f t="shared" si="43"/>
        <v>No Issue</v>
      </c>
      <c r="N304" s="1" t="str">
        <f t="shared" si="44"/>
        <v>No Issue</v>
      </c>
      <c r="O304" s="1" t="str">
        <f t="shared" si="45"/>
        <v>No Issue</v>
      </c>
      <c r="P304" s="1" t="str">
        <f t="shared" si="46"/>
        <v>NoIssue</v>
      </c>
    </row>
    <row r="305" spans="1:16" ht="22.5" customHeight="1">
      <c r="A305" s="20">
        <v>6</v>
      </c>
      <c r="B305" s="25" t="s">
        <v>26</v>
      </c>
      <c r="C305" s="22">
        <v>73.929999999999993</v>
      </c>
      <c r="D305" s="1"/>
      <c r="E305" s="1"/>
      <c r="F305" s="1"/>
      <c r="G305" s="1"/>
      <c r="H305" s="1"/>
      <c r="I305" s="1"/>
      <c r="J305" s="1">
        <f t="shared" si="40"/>
        <v>0</v>
      </c>
      <c r="K305" s="19" t="str">
        <f t="shared" si="41"/>
        <v xml:space="preserve"> No Issue</v>
      </c>
      <c r="L305" s="1" t="str">
        <f t="shared" si="42"/>
        <v>No Issue</v>
      </c>
      <c r="M305" s="1" t="str">
        <f t="shared" si="43"/>
        <v>No Issue</v>
      </c>
      <c r="N305" s="1" t="str">
        <f t="shared" si="44"/>
        <v>No Issue</v>
      </c>
      <c r="O305" s="1" t="str">
        <f t="shared" si="45"/>
        <v>No Issue</v>
      </c>
      <c r="P305" s="1" t="str">
        <f t="shared" si="46"/>
        <v>NoIssue</v>
      </c>
    </row>
    <row r="306" spans="1:16" ht="22.5" customHeight="1">
      <c r="A306" s="20">
        <v>7</v>
      </c>
      <c r="B306" s="21" t="s">
        <v>27</v>
      </c>
      <c r="C306" s="26">
        <v>13.91</v>
      </c>
      <c r="D306" s="1"/>
      <c r="E306" s="1"/>
      <c r="F306" s="1"/>
      <c r="G306" s="1"/>
      <c r="H306" s="1"/>
      <c r="I306" s="1"/>
      <c r="J306" s="1">
        <f t="shared" si="40"/>
        <v>0</v>
      </c>
      <c r="K306" s="19" t="str">
        <f t="shared" si="41"/>
        <v xml:space="preserve"> No Issue</v>
      </c>
      <c r="L306" s="1" t="str">
        <f t="shared" si="42"/>
        <v>No Issue</v>
      </c>
      <c r="M306" s="1" t="str">
        <f t="shared" si="43"/>
        <v>No Issue</v>
      </c>
      <c r="N306" s="1" t="str">
        <f t="shared" si="44"/>
        <v>No Issue</v>
      </c>
      <c r="O306" s="1" t="str">
        <f t="shared" si="45"/>
        <v>No Issue</v>
      </c>
      <c r="P306" s="1" t="str">
        <f t="shared" si="46"/>
        <v>NoIssue</v>
      </c>
    </row>
    <row r="307" spans="1:16" ht="22.5" customHeight="1">
      <c r="A307" s="20">
        <v>8</v>
      </c>
      <c r="B307" s="21" t="s">
        <v>28</v>
      </c>
      <c r="C307" s="26">
        <v>19.5</v>
      </c>
      <c r="D307" s="1"/>
      <c r="E307" s="1"/>
      <c r="F307" s="1"/>
      <c r="G307" s="1"/>
      <c r="H307" s="1"/>
      <c r="I307" s="1"/>
      <c r="J307" s="1">
        <f t="shared" si="40"/>
        <v>0</v>
      </c>
      <c r="K307" s="19" t="str">
        <f t="shared" si="41"/>
        <v xml:space="preserve"> No Issue</v>
      </c>
      <c r="L307" s="1" t="str">
        <f t="shared" si="42"/>
        <v>No Issue</v>
      </c>
      <c r="M307" s="1" t="str">
        <f t="shared" si="43"/>
        <v>No Issue</v>
      </c>
      <c r="N307" s="1" t="str">
        <f t="shared" si="44"/>
        <v>No Issue</v>
      </c>
      <c r="O307" s="1" t="str">
        <f t="shared" si="45"/>
        <v>No Issue</v>
      </c>
      <c r="P307" s="1" t="str">
        <f t="shared" si="46"/>
        <v>NoIssue</v>
      </c>
    </row>
    <row r="308" spans="1:16" ht="22.5" customHeight="1">
      <c r="A308" s="20">
        <v>9</v>
      </c>
      <c r="B308" s="21" t="s">
        <v>29</v>
      </c>
      <c r="C308" s="26">
        <v>28.83</v>
      </c>
      <c r="D308" s="1"/>
      <c r="E308" s="1"/>
      <c r="F308" s="1"/>
      <c r="G308" s="1"/>
      <c r="H308" s="1"/>
      <c r="I308" s="1"/>
      <c r="J308" s="1">
        <f t="shared" si="40"/>
        <v>0</v>
      </c>
      <c r="K308" s="19" t="str">
        <f t="shared" si="41"/>
        <v xml:space="preserve"> No Issue</v>
      </c>
      <c r="L308" s="1" t="str">
        <f t="shared" si="42"/>
        <v>No Issue</v>
      </c>
      <c r="M308" s="1" t="str">
        <f t="shared" si="43"/>
        <v>No Issue</v>
      </c>
      <c r="N308" s="1" t="str">
        <f t="shared" si="44"/>
        <v>No Issue</v>
      </c>
      <c r="O308" s="1" t="str">
        <f t="shared" si="45"/>
        <v>No Issue</v>
      </c>
      <c r="P308" s="1" t="str">
        <f t="shared" si="46"/>
        <v>NoIssue</v>
      </c>
    </row>
    <row r="309" spans="1:16" ht="22.5" customHeight="1">
      <c r="A309" s="20">
        <v>10</v>
      </c>
      <c r="B309" s="21" t="s">
        <v>30</v>
      </c>
      <c r="C309" s="26">
        <v>8.51</v>
      </c>
      <c r="D309" s="1"/>
      <c r="E309" s="1"/>
      <c r="F309" s="1"/>
      <c r="G309" s="1"/>
      <c r="H309" s="1"/>
      <c r="I309" s="1"/>
      <c r="J309" s="1">
        <f t="shared" si="40"/>
        <v>0</v>
      </c>
      <c r="K309" s="19" t="str">
        <f t="shared" si="41"/>
        <v xml:space="preserve"> No Issue</v>
      </c>
      <c r="L309" s="1" t="str">
        <f t="shared" si="42"/>
        <v>No Issue</v>
      </c>
      <c r="M309" s="1" t="str">
        <f t="shared" si="43"/>
        <v>No Issue</v>
      </c>
      <c r="N309" s="1" t="str">
        <f t="shared" si="44"/>
        <v>No Issue</v>
      </c>
      <c r="O309" s="1" t="str">
        <f t="shared" si="45"/>
        <v>No Issue</v>
      </c>
      <c r="P309" s="1" t="str">
        <f t="shared" si="46"/>
        <v>NoIssue</v>
      </c>
    </row>
    <row r="310" spans="1:16" ht="22.5" customHeight="1">
      <c r="A310" s="20">
        <v>11</v>
      </c>
      <c r="B310" s="21" t="s">
        <v>31</v>
      </c>
      <c r="C310" s="26">
        <v>102.17</v>
      </c>
      <c r="D310" s="1"/>
      <c r="E310" s="1"/>
      <c r="F310" s="1"/>
      <c r="G310" s="1"/>
      <c r="H310" s="1"/>
      <c r="I310" s="1"/>
      <c r="J310" s="1">
        <f t="shared" si="40"/>
        <v>0</v>
      </c>
      <c r="K310" s="19" t="str">
        <f t="shared" si="41"/>
        <v xml:space="preserve"> No Issue</v>
      </c>
      <c r="L310" s="1" t="str">
        <f t="shared" si="42"/>
        <v>No Issue</v>
      </c>
      <c r="M310" s="1" t="str">
        <f t="shared" si="43"/>
        <v>No Issue</v>
      </c>
      <c r="N310" s="1" t="str">
        <f t="shared" si="44"/>
        <v>No Issue</v>
      </c>
      <c r="O310" s="1" t="str">
        <f t="shared" si="45"/>
        <v>No Issue</v>
      </c>
      <c r="P310" s="1" t="str">
        <f t="shared" si="46"/>
        <v>NoIssue</v>
      </c>
    </row>
    <row r="311" spans="1:16" ht="22.5" customHeight="1">
      <c r="A311" s="20">
        <v>12</v>
      </c>
      <c r="B311" s="21" t="s">
        <v>32</v>
      </c>
      <c r="C311" s="26">
        <v>59.93</v>
      </c>
      <c r="D311" s="1"/>
      <c r="E311" s="1"/>
      <c r="F311" s="1"/>
      <c r="G311" s="1"/>
      <c r="H311" s="1"/>
      <c r="I311" s="1"/>
      <c r="J311" s="1">
        <f t="shared" si="40"/>
        <v>0</v>
      </c>
      <c r="K311" s="19" t="str">
        <f t="shared" si="41"/>
        <v xml:space="preserve"> No Issue</v>
      </c>
      <c r="L311" s="1" t="str">
        <f t="shared" si="42"/>
        <v>No Issue</v>
      </c>
      <c r="M311" s="1" t="str">
        <f t="shared" si="43"/>
        <v>No Issue</v>
      </c>
      <c r="N311" s="1" t="str">
        <f t="shared" si="44"/>
        <v>No Issue</v>
      </c>
      <c r="O311" s="1" t="str">
        <f t="shared" si="45"/>
        <v>No Issue</v>
      </c>
      <c r="P311" s="1" t="str">
        <f t="shared" si="46"/>
        <v>NoIssue</v>
      </c>
    </row>
    <row r="312" spans="1:16" ht="22.5" customHeight="1">
      <c r="A312" s="20">
        <v>13</v>
      </c>
      <c r="B312" s="21" t="s">
        <v>33</v>
      </c>
      <c r="C312" s="26">
        <v>118</v>
      </c>
      <c r="D312" s="1"/>
      <c r="E312" s="1"/>
      <c r="F312" s="1"/>
      <c r="G312" s="1"/>
      <c r="H312" s="1"/>
      <c r="I312" s="1"/>
      <c r="J312" s="1">
        <f t="shared" si="40"/>
        <v>0</v>
      </c>
      <c r="K312" s="19" t="str">
        <f t="shared" si="41"/>
        <v xml:space="preserve"> No Issue</v>
      </c>
      <c r="L312" s="1" t="str">
        <f t="shared" si="42"/>
        <v>No Issue</v>
      </c>
      <c r="M312" s="1" t="str">
        <f t="shared" si="43"/>
        <v>No Issue</v>
      </c>
      <c r="N312" s="1" t="str">
        <f t="shared" si="44"/>
        <v>No Issue</v>
      </c>
      <c r="O312" s="1" t="str">
        <f t="shared" si="45"/>
        <v>No Issue</v>
      </c>
      <c r="P312" s="1" t="str">
        <f t="shared" si="46"/>
        <v>NoIssue</v>
      </c>
    </row>
    <row r="313" spans="1:16" ht="22.5" customHeight="1">
      <c r="A313" s="20">
        <v>14</v>
      </c>
      <c r="B313" s="21" t="s">
        <v>34</v>
      </c>
      <c r="C313" s="26">
        <v>52.83</v>
      </c>
      <c r="D313" s="1"/>
      <c r="E313" s="1"/>
      <c r="F313" s="1"/>
      <c r="G313" s="1"/>
      <c r="H313" s="1"/>
      <c r="I313" s="1"/>
      <c r="J313" s="1">
        <f t="shared" si="40"/>
        <v>0</v>
      </c>
      <c r="K313" s="19" t="str">
        <f t="shared" si="41"/>
        <v xml:space="preserve"> No Issue</v>
      </c>
      <c r="L313" s="1" t="str">
        <f t="shared" si="42"/>
        <v>No Issue</v>
      </c>
      <c r="M313" s="1" t="str">
        <f t="shared" si="43"/>
        <v>No Issue</v>
      </c>
      <c r="N313" s="1" t="str">
        <f t="shared" si="44"/>
        <v>No Issue</v>
      </c>
      <c r="O313" s="1" t="str">
        <f t="shared" si="45"/>
        <v>No Issue</v>
      </c>
      <c r="P313" s="1" t="str">
        <f t="shared" si="46"/>
        <v>NoIssue</v>
      </c>
    </row>
    <row r="314" spans="1:16" ht="22.5" customHeight="1">
      <c r="A314" s="20">
        <v>15</v>
      </c>
      <c r="B314" s="21" t="s">
        <v>35</v>
      </c>
      <c r="C314" s="26">
        <v>93.2</v>
      </c>
      <c r="D314" s="1"/>
      <c r="E314" s="1"/>
      <c r="F314" s="1"/>
      <c r="G314" s="1"/>
      <c r="H314" s="1"/>
      <c r="I314" s="1"/>
      <c r="J314" s="1">
        <f t="shared" si="40"/>
        <v>0</v>
      </c>
      <c r="K314" s="19" t="str">
        <f t="shared" si="41"/>
        <v xml:space="preserve"> No Issue</v>
      </c>
      <c r="L314" s="1" t="str">
        <f t="shared" si="42"/>
        <v>No Issue</v>
      </c>
      <c r="M314" s="1" t="str">
        <f t="shared" si="43"/>
        <v>No Issue</v>
      </c>
      <c r="N314" s="1" t="str">
        <f t="shared" si="44"/>
        <v>No Issue</v>
      </c>
      <c r="O314" s="1" t="str">
        <f t="shared" si="45"/>
        <v>No Issue</v>
      </c>
      <c r="P314" s="1" t="str">
        <f t="shared" si="46"/>
        <v>NoIssue</v>
      </c>
    </row>
    <row r="315" spans="1:16" ht="22.5" customHeight="1">
      <c r="A315" s="20">
        <v>16</v>
      </c>
      <c r="B315" s="21" t="s">
        <v>36</v>
      </c>
      <c r="C315" s="26">
        <v>61.02</v>
      </c>
      <c r="D315" s="1"/>
      <c r="E315" s="1"/>
      <c r="F315" s="1"/>
      <c r="G315" s="1"/>
      <c r="H315" s="1"/>
      <c r="I315" s="1"/>
      <c r="J315" s="1">
        <f t="shared" si="40"/>
        <v>0</v>
      </c>
      <c r="K315" s="19" t="str">
        <f t="shared" si="41"/>
        <v xml:space="preserve"> No Issue</v>
      </c>
      <c r="L315" s="1" t="str">
        <f t="shared" si="42"/>
        <v>No Issue</v>
      </c>
      <c r="M315" s="1" t="str">
        <f t="shared" si="43"/>
        <v>No Issue</v>
      </c>
      <c r="N315" s="1" t="str">
        <f t="shared" si="44"/>
        <v>No Issue</v>
      </c>
      <c r="O315" s="1" t="str">
        <f t="shared" si="45"/>
        <v>No Issue</v>
      </c>
      <c r="P315" s="1" t="str">
        <f t="shared" si="46"/>
        <v>NoIssue</v>
      </c>
    </row>
    <row r="316" spans="1:16" ht="22.5" customHeight="1">
      <c r="A316" s="20">
        <v>17</v>
      </c>
      <c r="B316" s="21" t="s">
        <v>37</v>
      </c>
      <c r="C316" s="26">
        <v>36.619999999999997</v>
      </c>
      <c r="D316" s="1"/>
      <c r="E316" s="1"/>
      <c r="F316" s="1"/>
      <c r="G316" s="1"/>
      <c r="H316" s="1"/>
      <c r="I316" s="1"/>
      <c r="J316" s="1">
        <f t="shared" si="40"/>
        <v>0</v>
      </c>
      <c r="K316" s="19" t="str">
        <f t="shared" si="41"/>
        <v xml:space="preserve"> No Issue</v>
      </c>
      <c r="L316" s="1" t="str">
        <f t="shared" si="42"/>
        <v>No Issue</v>
      </c>
      <c r="M316" s="1" t="str">
        <f t="shared" si="43"/>
        <v>No Issue</v>
      </c>
      <c r="N316" s="1" t="str">
        <f t="shared" si="44"/>
        <v>No Issue</v>
      </c>
      <c r="O316" s="1" t="str">
        <f t="shared" si="45"/>
        <v>No Issue</v>
      </c>
      <c r="P316" s="1" t="str">
        <f t="shared" si="46"/>
        <v>NoIssue</v>
      </c>
    </row>
    <row r="317" spans="1:16" ht="22.5" customHeight="1">
      <c r="A317" s="20">
        <v>18</v>
      </c>
      <c r="B317" s="21" t="s">
        <v>38</v>
      </c>
      <c r="C317" s="26">
        <v>80.36</v>
      </c>
      <c r="D317" s="1"/>
      <c r="E317" s="1"/>
      <c r="F317" s="1"/>
      <c r="G317" s="1"/>
      <c r="H317" s="1"/>
      <c r="I317" s="1"/>
      <c r="J317" s="1">
        <f t="shared" si="40"/>
        <v>0</v>
      </c>
      <c r="K317" s="19" t="str">
        <f t="shared" si="41"/>
        <v xml:space="preserve"> No Issue</v>
      </c>
      <c r="L317" s="1" t="str">
        <f t="shared" si="42"/>
        <v>No Issue</v>
      </c>
      <c r="M317" s="1" t="str">
        <f t="shared" si="43"/>
        <v>No Issue</v>
      </c>
      <c r="N317" s="1" t="str">
        <f t="shared" si="44"/>
        <v>No Issue</v>
      </c>
      <c r="O317" s="1" t="str">
        <f t="shared" si="45"/>
        <v>No Issue</v>
      </c>
      <c r="P317" s="1" t="str">
        <f t="shared" si="46"/>
        <v>NoIssue</v>
      </c>
    </row>
    <row r="318" spans="1:16" ht="22.5" customHeight="1">
      <c r="A318" s="20">
        <v>19</v>
      </c>
      <c r="B318" s="21" t="s">
        <v>39</v>
      </c>
      <c r="C318" s="26">
        <v>160.56</v>
      </c>
      <c r="D318" s="1"/>
      <c r="E318" s="1"/>
      <c r="F318" s="1"/>
      <c r="G318" s="1"/>
      <c r="H318" s="1"/>
      <c r="I318" s="1"/>
      <c r="J318" s="1">
        <f t="shared" si="40"/>
        <v>0</v>
      </c>
      <c r="K318" s="19" t="str">
        <f t="shared" si="41"/>
        <v xml:space="preserve"> No Issue</v>
      </c>
      <c r="L318" s="1" t="str">
        <f t="shared" si="42"/>
        <v>No Issue</v>
      </c>
      <c r="M318" s="1" t="str">
        <f t="shared" si="43"/>
        <v>No Issue</v>
      </c>
      <c r="N318" s="1" t="str">
        <f t="shared" si="44"/>
        <v>No Issue</v>
      </c>
      <c r="O318" s="1" t="str">
        <f t="shared" si="45"/>
        <v>No Issue</v>
      </c>
      <c r="P318" s="1" t="str">
        <f t="shared" si="46"/>
        <v>NoIssue</v>
      </c>
    </row>
    <row r="319" spans="1:16" ht="22.5" customHeight="1">
      <c r="A319" s="20">
        <v>20</v>
      </c>
      <c r="B319" s="21" t="s">
        <v>40</v>
      </c>
      <c r="C319" s="26">
        <v>186.44</v>
      </c>
      <c r="D319" s="1"/>
      <c r="E319" s="1"/>
      <c r="F319" s="1"/>
      <c r="G319" s="1"/>
      <c r="H319" s="1"/>
      <c r="I319" s="1"/>
      <c r="J319" s="1">
        <f t="shared" si="40"/>
        <v>0</v>
      </c>
      <c r="K319" s="19" t="str">
        <f t="shared" si="41"/>
        <v xml:space="preserve"> No Issue</v>
      </c>
      <c r="L319" s="1" t="str">
        <f t="shared" si="42"/>
        <v>No Issue</v>
      </c>
      <c r="M319" s="1" t="str">
        <f t="shared" si="43"/>
        <v>No Issue</v>
      </c>
      <c r="N319" s="1" t="str">
        <f t="shared" si="44"/>
        <v>No Issue</v>
      </c>
      <c r="O319" s="1" t="str">
        <f t="shared" si="45"/>
        <v>No Issue</v>
      </c>
      <c r="P319" s="1" t="str">
        <f t="shared" si="46"/>
        <v>NoIssue</v>
      </c>
    </row>
    <row r="320" spans="1:16" ht="22.5" customHeight="1">
      <c r="A320" s="20">
        <v>21</v>
      </c>
      <c r="B320" s="21" t="s">
        <v>41</v>
      </c>
      <c r="C320" s="26">
        <v>92.59</v>
      </c>
      <c r="D320" s="1"/>
      <c r="E320" s="1"/>
      <c r="F320" s="1"/>
      <c r="G320" s="1"/>
      <c r="H320" s="1"/>
      <c r="I320" s="1"/>
      <c r="J320" s="1">
        <f t="shared" si="40"/>
        <v>0</v>
      </c>
      <c r="K320" s="19" t="str">
        <f t="shared" si="41"/>
        <v xml:space="preserve"> No Issue</v>
      </c>
      <c r="L320" s="1" t="str">
        <f t="shared" si="42"/>
        <v>No Issue</v>
      </c>
      <c r="M320" s="1" t="str">
        <f t="shared" si="43"/>
        <v>No Issue</v>
      </c>
      <c r="N320" s="1" t="str">
        <f t="shared" si="44"/>
        <v>No Issue</v>
      </c>
      <c r="O320" s="1" t="str">
        <f t="shared" si="45"/>
        <v>No Issue</v>
      </c>
      <c r="P320" s="1" t="str">
        <f t="shared" si="46"/>
        <v>NoIssue</v>
      </c>
    </row>
    <row r="321" spans="1:16" ht="22.5" customHeight="1">
      <c r="A321" s="20">
        <v>22</v>
      </c>
      <c r="B321" s="21" t="s">
        <v>42</v>
      </c>
      <c r="C321" s="26">
        <v>95.17</v>
      </c>
      <c r="D321" s="1"/>
      <c r="E321" s="1"/>
      <c r="F321" s="1"/>
      <c r="G321" s="1"/>
      <c r="H321" s="1"/>
      <c r="I321" s="1"/>
      <c r="J321" s="1">
        <f t="shared" si="40"/>
        <v>0</v>
      </c>
      <c r="K321" s="19" t="str">
        <f t="shared" si="41"/>
        <v xml:space="preserve"> No Issue</v>
      </c>
      <c r="L321" s="1" t="str">
        <f t="shared" si="42"/>
        <v>No Issue</v>
      </c>
      <c r="M321" s="1" t="str">
        <f t="shared" si="43"/>
        <v>No Issue</v>
      </c>
      <c r="N321" s="1" t="str">
        <f t="shared" si="44"/>
        <v>No Issue</v>
      </c>
      <c r="O321" s="1" t="str">
        <f t="shared" si="45"/>
        <v>No Issue</v>
      </c>
      <c r="P321" s="1" t="str">
        <f t="shared" si="46"/>
        <v>NoIssue</v>
      </c>
    </row>
    <row r="322" spans="1:16" ht="22.5" customHeight="1">
      <c r="A322" s="20">
        <v>23</v>
      </c>
      <c r="B322" s="21" t="s">
        <v>43</v>
      </c>
      <c r="C322" s="26">
        <v>92.94</v>
      </c>
      <c r="D322" s="1"/>
      <c r="E322" s="1"/>
      <c r="F322" s="1"/>
      <c r="G322" s="1"/>
      <c r="H322" s="1"/>
      <c r="I322" s="1"/>
      <c r="J322" s="1">
        <f t="shared" si="40"/>
        <v>0</v>
      </c>
      <c r="K322" s="19" t="str">
        <f t="shared" si="41"/>
        <v xml:space="preserve"> No Issue</v>
      </c>
      <c r="L322" s="1" t="str">
        <f t="shared" si="42"/>
        <v>No Issue</v>
      </c>
      <c r="M322" s="1" t="str">
        <f t="shared" si="43"/>
        <v>No Issue</v>
      </c>
      <c r="N322" s="1" t="str">
        <f t="shared" si="44"/>
        <v>No Issue</v>
      </c>
      <c r="O322" s="1" t="str">
        <f t="shared" si="45"/>
        <v>No Issue</v>
      </c>
      <c r="P322" s="1" t="str">
        <f t="shared" si="46"/>
        <v>NoIssue</v>
      </c>
    </row>
    <row r="323" spans="1:16" ht="22.5" customHeight="1">
      <c r="A323" s="20">
        <v>24</v>
      </c>
      <c r="B323" s="21" t="s">
        <v>44</v>
      </c>
      <c r="C323" s="26">
        <v>101.82</v>
      </c>
      <c r="D323" s="1"/>
      <c r="E323" s="1"/>
      <c r="F323" s="1"/>
      <c r="G323" s="1"/>
      <c r="H323" s="1"/>
      <c r="I323" s="1"/>
      <c r="J323" s="1">
        <f t="shared" si="40"/>
        <v>0</v>
      </c>
      <c r="K323" s="19" t="str">
        <f t="shared" si="41"/>
        <v xml:space="preserve"> No Issue</v>
      </c>
      <c r="L323" s="1" t="str">
        <f t="shared" si="42"/>
        <v>No Issue</v>
      </c>
      <c r="M323" s="1" t="str">
        <f t="shared" si="43"/>
        <v>No Issue</v>
      </c>
      <c r="N323" s="1" t="str">
        <f t="shared" si="44"/>
        <v>No Issue</v>
      </c>
      <c r="O323" s="1" t="str">
        <f t="shared" si="45"/>
        <v>No Issue</v>
      </c>
      <c r="P323" s="1" t="str">
        <f t="shared" si="46"/>
        <v>NoIssue</v>
      </c>
    </row>
    <row r="324" spans="1:16" ht="22.5" customHeight="1">
      <c r="A324" s="20">
        <v>25</v>
      </c>
      <c r="B324" s="21" t="s">
        <v>45</v>
      </c>
      <c r="C324" s="26">
        <v>53.49</v>
      </c>
      <c r="D324" s="1"/>
      <c r="E324" s="1"/>
      <c r="F324" s="1"/>
      <c r="G324" s="1"/>
      <c r="H324" s="1"/>
      <c r="I324" s="1"/>
      <c r="J324" s="1">
        <f t="shared" si="40"/>
        <v>0</v>
      </c>
      <c r="K324" s="19" t="str">
        <f t="shared" si="41"/>
        <v xml:space="preserve"> No Issue</v>
      </c>
      <c r="L324" s="1" t="str">
        <f t="shared" si="42"/>
        <v>No Issue</v>
      </c>
      <c r="M324" s="1" t="str">
        <f t="shared" si="43"/>
        <v>No Issue</v>
      </c>
      <c r="N324" s="1" t="str">
        <f t="shared" si="44"/>
        <v>No Issue</v>
      </c>
      <c r="O324" s="1" t="str">
        <f t="shared" si="45"/>
        <v>No Issue</v>
      </c>
      <c r="P324" s="1" t="str">
        <f t="shared" si="46"/>
        <v>NoIssue</v>
      </c>
    </row>
    <row r="325" spans="1:16" ht="22.5" customHeight="1">
      <c r="A325" s="20">
        <v>26</v>
      </c>
      <c r="B325" s="21" t="s">
        <v>46</v>
      </c>
      <c r="C325" s="26">
        <v>32.92</v>
      </c>
      <c r="D325" s="1"/>
      <c r="E325" s="1"/>
      <c r="F325" s="1"/>
      <c r="G325" s="1"/>
      <c r="H325" s="1"/>
      <c r="I325" s="1"/>
      <c r="J325" s="1">
        <f t="shared" si="40"/>
        <v>0</v>
      </c>
      <c r="K325" s="19" t="str">
        <f t="shared" si="41"/>
        <v xml:space="preserve"> No Issue</v>
      </c>
      <c r="L325" s="1" t="str">
        <f t="shared" si="42"/>
        <v>No Issue</v>
      </c>
      <c r="M325" s="1" t="str">
        <f t="shared" si="43"/>
        <v>No Issue</v>
      </c>
      <c r="N325" s="1" t="str">
        <f t="shared" si="44"/>
        <v>No Issue</v>
      </c>
      <c r="O325" s="1" t="str">
        <f t="shared" si="45"/>
        <v>No Issue</v>
      </c>
      <c r="P325" s="1" t="str">
        <f t="shared" si="46"/>
        <v>NoIssue</v>
      </c>
    </row>
    <row r="326" spans="1:16" ht="22.5" customHeight="1">
      <c r="A326" s="20">
        <v>27</v>
      </c>
      <c r="B326" s="21" t="s">
        <v>47</v>
      </c>
      <c r="C326" s="26">
        <v>116.68</v>
      </c>
      <c r="D326" s="1"/>
      <c r="E326" s="1"/>
      <c r="F326" s="1"/>
      <c r="G326" s="1"/>
      <c r="H326" s="1"/>
      <c r="I326" s="1"/>
      <c r="J326" s="1">
        <f t="shared" si="40"/>
        <v>0</v>
      </c>
      <c r="K326" s="19" t="str">
        <f t="shared" si="41"/>
        <v xml:space="preserve"> No Issue</v>
      </c>
      <c r="L326" s="1" t="str">
        <f t="shared" si="42"/>
        <v>No Issue</v>
      </c>
      <c r="M326" s="1" t="str">
        <f t="shared" si="43"/>
        <v>No Issue</v>
      </c>
      <c r="N326" s="1" t="str">
        <f t="shared" si="44"/>
        <v>No Issue</v>
      </c>
      <c r="O326" s="1" t="str">
        <f t="shared" si="45"/>
        <v>No Issue</v>
      </c>
      <c r="P326" s="1" t="str">
        <f t="shared" si="46"/>
        <v>NoIssue</v>
      </c>
    </row>
    <row r="327" spans="1:16" ht="22.5" customHeight="1">
      <c r="A327" s="20">
        <v>28</v>
      </c>
      <c r="B327" s="21" t="s">
        <v>48</v>
      </c>
      <c r="C327" s="26">
        <v>107.96</v>
      </c>
      <c r="D327" s="1"/>
      <c r="E327" s="1"/>
      <c r="F327" s="1"/>
      <c r="G327" s="1"/>
      <c r="H327" s="1"/>
      <c r="I327" s="1"/>
      <c r="J327" s="1">
        <f t="shared" si="40"/>
        <v>0</v>
      </c>
      <c r="K327" s="19" t="str">
        <f t="shared" si="41"/>
        <v xml:space="preserve"> No Issue</v>
      </c>
      <c r="L327" s="1" t="str">
        <f t="shared" si="42"/>
        <v>No Issue</v>
      </c>
      <c r="M327" s="1" t="str">
        <f t="shared" si="43"/>
        <v>No Issue</v>
      </c>
      <c r="N327" s="1" t="str">
        <f t="shared" si="44"/>
        <v>No Issue</v>
      </c>
      <c r="O327" s="1" t="str">
        <f t="shared" si="45"/>
        <v>No Issue</v>
      </c>
      <c r="P327" s="1" t="str">
        <f t="shared" si="46"/>
        <v>NoIssue</v>
      </c>
    </row>
    <row r="328" spans="1:16" ht="22.5" customHeight="1">
      <c r="A328" s="20">
        <v>29</v>
      </c>
      <c r="B328" s="21" t="s">
        <v>49</v>
      </c>
      <c r="C328" s="26">
        <v>248.89</v>
      </c>
      <c r="D328" s="1"/>
      <c r="E328" s="1"/>
      <c r="F328" s="1"/>
      <c r="G328" s="1"/>
      <c r="H328" s="1"/>
      <c r="I328" s="1"/>
      <c r="J328" s="1">
        <f t="shared" si="40"/>
        <v>0</v>
      </c>
      <c r="K328" s="19" t="str">
        <f t="shared" si="41"/>
        <v xml:space="preserve"> No Issue</v>
      </c>
      <c r="L328" s="1" t="str">
        <f t="shared" si="42"/>
        <v>No Issue</v>
      </c>
      <c r="M328" s="1" t="str">
        <f t="shared" si="43"/>
        <v>No Issue</v>
      </c>
      <c r="N328" s="1" t="str">
        <f t="shared" si="44"/>
        <v>No Issue</v>
      </c>
      <c r="O328" s="1" t="str">
        <f t="shared" si="45"/>
        <v>No Issue</v>
      </c>
      <c r="P328" s="1" t="str">
        <f t="shared" si="46"/>
        <v>NoIssue</v>
      </c>
    </row>
    <row r="329" spans="1:16" ht="22.5" customHeight="1">
      <c r="A329" s="20">
        <v>30</v>
      </c>
      <c r="B329" s="21" t="s">
        <v>50</v>
      </c>
      <c r="C329" s="26">
        <v>80.36</v>
      </c>
      <c r="D329" s="1"/>
      <c r="E329" s="1"/>
      <c r="F329" s="19"/>
      <c r="G329" s="19"/>
      <c r="H329" s="19"/>
      <c r="I329" s="1"/>
      <c r="J329" s="1">
        <f t="shared" si="40"/>
        <v>0</v>
      </c>
      <c r="K329" s="19" t="str">
        <f t="shared" si="41"/>
        <v xml:space="preserve"> No Issue</v>
      </c>
      <c r="L329" s="1" t="str">
        <f t="shared" si="42"/>
        <v>No Issue</v>
      </c>
      <c r="M329" s="1" t="str">
        <f t="shared" si="43"/>
        <v>No Issue</v>
      </c>
      <c r="N329" s="1" t="str">
        <f t="shared" si="44"/>
        <v>No Issue</v>
      </c>
      <c r="O329" s="1" t="str">
        <f t="shared" si="45"/>
        <v>No Issue</v>
      </c>
      <c r="P329" s="1" t="str">
        <f t="shared" si="46"/>
        <v>NoIssue</v>
      </c>
    </row>
    <row r="330" spans="1:16" ht="22.5" customHeight="1">
      <c r="A330" s="20">
        <v>31</v>
      </c>
      <c r="B330" s="21" t="s">
        <v>51</v>
      </c>
      <c r="C330" s="26">
        <v>52.46</v>
      </c>
      <c r="D330" s="1"/>
      <c r="E330" s="1"/>
      <c r="F330" s="19"/>
      <c r="G330" s="19"/>
      <c r="H330" s="19"/>
      <c r="I330" s="1"/>
      <c r="J330" s="1">
        <f t="shared" si="40"/>
        <v>0</v>
      </c>
      <c r="K330" s="19" t="str">
        <f t="shared" si="41"/>
        <v xml:space="preserve"> No Issue</v>
      </c>
      <c r="L330" s="1" t="str">
        <f t="shared" si="42"/>
        <v>No Issue</v>
      </c>
      <c r="M330" s="1" t="str">
        <f t="shared" si="43"/>
        <v>No Issue</v>
      </c>
      <c r="N330" s="1" t="str">
        <f t="shared" si="44"/>
        <v>No Issue</v>
      </c>
      <c r="O330" s="1" t="str">
        <f t="shared" si="45"/>
        <v>No Issue</v>
      </c>
      <c r="P330" s="1" t="str">
        <f t="shared" si="46"/>
        <v>NoIssue</v>
      </c>
    </row>
    <row r="331" spans="1:16" ht="22.5" customHeight="1">
      <c r="A331" s="20">
        <v>32</v>
      </c>
      <c r="B331" s="21" t="s">
        <v>52</v>
      </c>
      <c r="C331" s="26">
        <v>71.209999999999994</v>
      </c>
      <c r="D331" s="1"/>
      <c r="E331" s="1"/>
      <c r="F331" s="19"/>
      <c r="G331" s="19"/>
      <c r="H331" s="19"/>
      <c r="I331" s="1"/>
      <c r="J331" s="1">
        <f t="shared" si="40"/>
        <v>0</v>
      </c>
      <c r="K331" s="19" t="str">
        <f t="shared" si="41"/>
        <v xml:space="preserve"> No Issue</v>
      </c>
      <c r="L331" s="1" t="str">
        <f t="shared" si="42"/>
        <v>No Issue</v>
      </c>
      <c r="M331" s="1" t="str">
        <f t="shared" si="43"/>
        <v>No Issue</v>
      </c>
      <c r="N331" s="1" t="str">
        <f t="shared" si="44"/>
        <v>No Issue</v>
      </c>
      <c r="O331" s="1" t="str">
        <f t="shared" si="45"/>
        <v>No Issue</v>
      </c>
      <c r="P331" s="1" t="str">
        <f t="shared" si="46"/>
        <v>NoIssue</v>
      </c>
    </row>
    <row r="332" spans="1:16" ht="22.5" customHeight="1">
      <c r="A332" s="20">
        <v>33</v>
      </c>
      <c r="B332" s="21" t="s">
        <v>53</v>
      </c>
      <c r="C332" s="26">
        <v>80.349999999999994</v>
      </c>
      <c r="D332" s="1"/>
      <c r="E332" s="1"/>
      <c r="F332" s="19"/>
      <c r="G332" s="19"/>
      <c r="H332" s="19"/>
      <c r="I332" s="1"/>
      <c r="J332" s="1">
        <f t="shared" si="40"/>
        <v>0</v>
      </c>
      <c r="K332" s="19" t="str">
        <f t="shared" si="41"/>
        <v xml:space="preserve"> No Issue</v>
      </c>
      <c r="L332" s="1" t="str">
        <f t="shared" si="42"/>
        <v>No Issue</v>
      </c>
      <c r="M332" s="1" t="str">
        <f t="shared" si="43"/>
        <v>No Issue</v>
      </c>
      <c r="N332" s="1" t="str">
        <f t="shared" si="44"/>
        <v>No Issue</v>
      </c>
      <c r="O332" s="1" t="str">
        <f t="shared" si="45"/>
        <v>No Issue</v>
      </c>
      <c r="P332" s="1" t="str">
        <f t="shared" si="46"/>
        <v>NoIssue</v>
      </c>
    </row>
    <row r="333" spans="1:16" ht="22.5" customHeight="1">
      <c r="A333" s="20">
        <v>34</v>
      </c>
      <c r="B333" s="21" t="s">
        <v>54</v>
      </c>
      <c r="C333" s="26">
        <v>64.180000000000007</v>
      </c>
      <c r="D333" s="1"/>
      <c r="E333" s="1"/>
      <c r="F333" s="19"/>
      <c r="G333" s="19"/>
      <c r="H333" s="19"/>
      <c r="I333" s="1"/>
      <c r="J333" s="1">
        <f t="shared" si="40"/>
        <v>0</v>
      </c>
      <c r="K333" s="19" t="str">
        <f t="shared" si="41"/>
        <v xml:space="preserve"> No Issue</v>
      </c>
      <c r="L333" s="1" t="str">
        <f t="shared" si="42"/>
        <v>No Issue</v>
      </c>
      <c r="M333" s="1" t="str">
        <f t="shared" si="43"/>
        <v>No Issue</v>
      </c>
      <c r="N333" s="1" t="str">
        <f t="shared" si="44"/>
        <v>No Issue</v>
      </c>
      <c r="O333" s="1" t="str">
        <f t="shared" si="45"/>
        <v>No Issue</v>
      </c>
      <c r="P333" s="1" t="str">
        <f t="shared" si="46"/>
        <v>NoIssue</v>
      </c>
    </row>
    <row r="334" spans="1:16" ht="22.5" customHeight="1">
      <c r="A334" s="20">
        <v>35</v>
      </c>
      <c r="B334" s="21" t="s">
        <v>55</v>
      </c>
      <c r="C334" s="26">
        <v>36.9</v>
      </c>
      <c r="D334" s="1"/>
      <c r="E334" s="1"/>
      <c r="F334" s="19"/>
      <c r="G334" s="19"/>
      <c r="H334" s="19"/>
      <c r="I334" s="1"/>
      <c r="J334" s="1">
        <f t="shared" si="40"/>
        <v>0</v>
      </c>
      <c r="K334" s="19" t="str">
        <f t="shared" si="41"/>
        <v xml:space="preserve"> No Issue</v>
      </c>
      <c r="L334" s="1" t="str">
        <f t="shared" si="42"/>
        <v>No Issue</v>
      </c>
      <c r="M334" s="1" t="str">
        <f t="shared" si="43"/>
        <v>No Issue</v>
      </c>
      <c r="N334" s="1" t="str">
        <f t="shared" si="44"/>
        <v>No Issue</v>
      </c>
      <c r="O334" s="1" t="str">
        <f t="shared" si="45"/>
        <v>No Issue</v>
      </c>
      <c r="P334" s="1" t="str">
        <f t="shared" si="46"/>
        <v>NoIssue</v>
      </c>
    </row>
    <row r="335" spans="1:16" ht="22.5" customHeight="1">
      <c r="A335" s="20">
        <v>36</v>
      </c>
      <c r="B335" s="21" t="s">
        <v>56</v>
      </c>
      <c r="C335" s="26">
        <v>101.54</v>
      </c>
      <c r="D335" s="1"/>
      <c r="E335" s="1"/>
      <c r="F335" s="19"/>
      <c r="G335" s="19"/>
      <c r="H335" s="19"/>
      <c r="I335" s="1"/>
      <c r="J335" s="1">
        <f t="shared" si="40"/>
        <v>0</v>
      </c>
      <c r="K335" s="19" t="str">
        <f t="shared" si="41"/>
        <v xml:space="preserve"> No Issue</v>
      </c>
      <c r="L335" s="1" t="str">
        <f t="shared" si="42"/>
        <v>No Issue</v>
      </c>
      <c r="M335" s="1" t="str">
        <f t="shared" si="43"/>
        <v>No Issue</v>
      </c>
      <c r="N335" s="1" t="str">
        <f t="shared" si="44"/>
        <v>No Issue</v>
      </c>
      <c r="O335" s="1" t="str">
        <f t="shared" si="45"/>
        <v>No Issue</v>
      </c>
      <c r="P335" s="1" t="str">
        <f t="shared" si="46"/>
        <v>NoIssue</v>
      </c>
    </row>
    <row r="336" spans="1:16" ht="22.5" customHeight="1">
      <c r="A336" s="20">
        <v>37</v>
      </c>
      <c r="B336" s="21" t="s">
        <v>57</v>
      </c>
      <c r="C336" s="26">
        <v>40.5</v>
      </c>
      <c r="D336" s="1"/>
      <c r="E336" s="1"/>
      <c r="F336" s="19"/>
      <c r="G336" s="19"/>
      <c r="H336" s="19"/>
      <c r="I336" s="1"/>
      <c r="J336" s="1">
        <f t="shared" si="40"/>
        <v>0</v>
      </c>
      <c r="K336" s="19" t="str">
        <f t="shared" si="41"/>
        <v xml:space="preserve"> No Issue</v>
      </c>
      <c r="L336" s="1" t="str">
        <f t="shared" si="42"/>
        <v>No Issue</v>
      </c>
      <c r="M336" s="1" t="str">
        <f t="shared" si="43"/>
        <v>No Issue</v>
      </c>
      <c r="N336" s="1" t="str">
        <f t="shared" si="44"/>
        <v>No Issue</v>
      </c>
      <c r="O336" s="1" t="str">
        <f t="shared" si="45"/>
        <v>No Issue</v>
      </c>
      <c r="P336" s="1" t="str">
        <f t="shared" si="46"/>
        <v>NoIssue</v>
      </c>
    </row>
    <row r="337" spans="1:16" ht="22.5" customHeight="1">
      <c r="A337" s="20">
        <v>38</v>
      </c>
      <c r="B337" s="21" t="s">
        <v>58</v>
      </c>
      <c r="C337" s="26">
        <v>66.69</v>
      </c>
      <c r="D337" s="1"/>
      <c r="E337" s="1"/>
      <c r="F337" s="19"/>
      <c r="G337" s="19"/>
      <c r="H337" s="19"/>
      <c r="I337" s="1"/>
      <c r="J337" s="1">
        <f t="shared" si="40"/>
        <v>0</v>
      </c>
      <c r="K337" s="19" t="str">
        <f t="shared" si="41"/>
        <v xml:space="preserve"> No Issue</v>
      </c>
      <c r="L337" s="1" t="str">
        <f t="shared" si="42"/>
        <v>No Issue</v>
      </c>
      <c r="M337" s="1" t="str">
        <f t="shared" si="43"/>
        <v>No Issue</v>
      </c>
      <c r="N337" s="1" t="str">
        <f t="shared" si="44"/>
        <v>No Issue</v>
      </c>
      <c r="O337" s="1" t="str">
        <f t="shared" si="45"/>
        <v>No Issue</v>
      </c>
      <c r="P337" s="1" t="str">
        <f t="shared" si="46"/>
        <v>NoIssue</v>
      </c>
    </row>
    <row r="338" spans="1:16" ht="22.5" customHeight="1">
      <c r="A338" s="20">
        <v>39</v>
      </c>
      <c r="B338" s="21" t="s">
        <v>59</v>
      </c>
      <c r="C338" s="21">
        <v>150.85999999999999</v>
      </c>
      <c r="D338" s="1"/>
      <c r="E338" s="1"/>
      <c r="F338" s="19"/>
      <c r="G338" s="19"/>
      <c r="H338" s="19"/>
      <c r="I338" s="1"/>
      <c r="J338" s="1">
        <f t="shared" si="40"/>
        <v>0</v>
      </c>
      <c r="K338" s="19" t="str">
        <f t="shared" si="41"/>
        <v xml:space="preserve"> No Issue</v>
      </c>
      <c r="L338" s="1" t="str">
        <f t="shared" si="42"/>
        <v>No Issue</v>
      </c>
      <c r="M338" s="1" t="str">
        <f t="shared" si="43"/>
        <v>No Issue</v>
      </c>
      <c r="N338" s="1" t="str">
        <f t="shared" si="44"/>
        <v>No Issue</v>
      </c>
      <c r="O338" s="1" t="str">
        <f t="shared" si="45"/>
        <v>No Issue</v>
      </c>
      <c r="P338" s="1" t="str">
        <f t="shared" si="46"/>
        <v>NoIssue</v>
      </c>
    </row>
    <row r="339" spans="1:16" ht="22.5" customHeight="1">
      <c r="A339" s="20">
        <v>40</v>
      </c>
      <c r="B339" s="29" t="s">
        <v>60</v>
      </c>
      <c r="C339" s="26">
        <v>180</v>
      </c>
      <c r="D339" s="1"/>
      <c r="E339" s="1"/>
      <c r="F339" s="19"/>
      <c r="G339" s="19"/>
      <c r="H339" s="19"/>
      <c r="I339" s="1"/>
      <c r="J339" s="1">
        <f t="shared" si="40"/>
        <v>0</v>
      </c>
      <c r="K339" s="19" t="str">
        <f t="shared" si="41"/>
        <v xml:space="preserve"> No Issue</v>
      </c>
      <c r="L339" s="1" t="str">
        <f t="shared" si="42"/>
        <v>No Issue</v>
      </c>
      <c r="M339" s="1" t="str">
        <f t="shared" si="43"/>
        <v>No Issue</v>
      </c>
      <c r="N339" s="1" t="str">
        <f t="shared" si="44"/>
        <v>No Issue</v>
      </c>
      <c r="O339" s="1" t="str">
        <f t="shared" si="45"/>
        <v>No Issue</v>
      </c>
      <c r="P339" s="1" t="str">
        <f t="shared" si="46"/>
        <v>NoIssue</v>
      </c>
    </row>
    <row r="340" spans="1:16" ht="22.5" customHeight="1">
      <c r="A340" s="20">
        <v>41</v>
      </c>
      <c r="B340" s="29" t="s">
        <v>61</v>
      </c>
      <c r="C340" s="21">
        <v>128.57</v>
      </c>
      <c r="D340" s="1"/>
      <c r="E340" s="1"/>
      <c r="F340" s="19"/>
      <c r="G340" s="19"/>
      <c r="H340" s="19"/>
      <c r="I340" s="1"/>
      <c r="J340" s="1">
        <f t="shared" si="40"/>
        <v>0</v>
      </c>
      <c r="K340" s="19" t="str">
        <f t="shared" si="41"/>
        <v xml:space="preserve"> No Issue</v>
      </c>
      <c r="L340" s="1" t="str">
        <f t="shared" si="42"/>
        <v>No Issue</v>
      </c>
      <c r="M340" s="1" t="str">
        <f t="shared" si="43"/>
        <v>No Issue</v>
      </c>
      <c r="N340" s="1" t="str">
        <f t="shared" si="44"/>
        <v>No Issue</v>
      </c>
      <c r="O340" s="1" t="str">
        <f t="shared" si="45"/>
        <v>No Issue</v>
      </c>
      <c r="P340" s="1" t="str">
        <f t="shared" si="46"/>
        <v>NoIssue</v>
      </c>
    </row>
    <row r="341" spans="1:16" ht="22.5" customHeight="1">
      <c r="A341" s="20">
        <v>42</v>
      </c>
      <c r="B341" s="21"/>
      <c r="C341" s="21"/>
      <c r="D341" s="1"/>
      <c r="E341" s="1"/>
      <c r="F341" s="19"/>
      <c r="G341" s="19"/>
      <c r="H341" s="19"/>
      <c r="I341" s="1"/>
      <c r="J341" s="1">
        <f t="shared" si="40"/>
        <v>0</v>
      </c>
      <c r="K341" s="19" t="str">
        <f t="shared" si="41"/>
        <v xml:space="preserve"> No Issue</v>
      </c>
      <c r="L341" s="1" t="str">
        <f t="shared" si="42"/>
        <v>No Issue</v>
      </c>
      <c r="M341" s="1" t="str">
        <f t="shared" si="43"/>
        <v>No Issue</v>
      </c>
      <c r="N341" s="1" t="str">
        <f t="shared" si="44"/>
        <v>No Issue</v>
      </c>
      <c r="O341" s="1" t="str">
        <f t="shared" si="45"/>
        <v>No Issue</v>
      </c>
      <c r="P341" s="1" t="str">
        <f t="shared" si="46"/>
        <v>NoIssue</v>
      </c>
    </row>
    <row r="342" spans="1:16" ht="22.5" customHeight="1">
      <c r="A342" s="20">
        <v>43</v>
      </c>
      <c r="B342" s="30"/>
      <c r="C342" s="30"/>
      <c r="D342" s="1"/>
      <c r="E342" s="1"/>
      <c r="F342" s="19"/>
      <c r="G342" s="19"/>
      <c r="H342" s="19"/>
      <c r="I342" s="1"/>
      <c r="J342" s="1">
        <f t="shared" si="40"/>
        <v>0</v>
      </c>
      <c r="K342" s="19" t="str">
        <f t="shared" si="41"/>
        <v xml:space="preserve"> No Issue</v>
      </c>
      <c r="L342" s="1" t="str">
        <f t="shared" si="42"/>
        <v>No Issue</v>
      </c>
      <c r="M342" s="1" t="str">
        <f t="shared" si="43"/>
        <v>No Issue</v>
      </c>
      <c r="N342" s="1" t="str">
        <f t="shared" si="44"/>
        <v>No Issue</v>
      </c>
      <c r="O342" s="1" t="str">
        <f t="shared" si="45"/>
        <v>No Issue</v>
      </c>
      <c r="P342" s="1" t="str">
        <f t="shared" si="46"/>
        <v>NoIssue</v>
      </c>
    </row>
    <row r="343" spans="1:16" ht="22.5" customHeight="1">
      <c r="A343" s="20">
        <v>44</v>
      </c>
      <c r="B343" s="30"/>
      <c r="C343" s="30"/>
      <c r="D343" s="1"/>
      <c r="E343" s="1"/>
      <c r="F343" s="19"/>
      <c r="G343" s="19"/>
      <c r="H343" s="19"/>
      <c r="I343" s="1"/>
      <c r="J343" s="1">
        <f t="shared" si="40"/>
        <v>0</v>
      </c>
      <c r="K343" s="19" t="str">
        <f t="shared" si="41"/>
        <v xml:space="preserve"> No Issue</v>
      </c>
      <c r="L343" s="1" t="str">
        <f t="shared" si="42"/>
        <v>No Issue</v>
      </c>
      <c r="M343" s="1" t="str">
        <f t="shared" si="43"/>
        <v>No Issue</v>
      </c>
      <c r="N343" s="1" t="str">
        <f t="shared" si="44"/>
        <v>No Issue</v>
      </c>
      <c r="O343" s="1" t="str">
        <f t="shared" si="45"/>
        <v>No Issue</v>
      </c>
      <c r="P343" s="1" t="str">
        <f t="shared" si="46"/>
        <v>NoIssue</v>
      </c>
    </row>
    <row r="344" spans="1:16" ht="22.5" customHeight="1">
      <c r="A344" s="20">
        <v>45</v>
      </c>
      <c r="B344" s="30"/>
      <c r="C344" s="30"/>
      <c r="D344" s="1"/>
      <c r="E344" s="1"/>
      <c r="F344" s="19"/>
      <c r="G344" s="19"/>
      <c r="H344" s="19"/>
      <c r="I344" s="1"/>
      <c r="J344" s="1">
        <f t="shared" si="40"/>
        <v>0</v>
      </c>
      <c r="K344" s="19" t="str">
        <f t="shared" si="41"/>
        <v xml:space="preserve"> No Issue</v>
      </c>
      <c r="L344" s="1" t="str">
        <f t="shared" si="42"/>
        <v>No Issue</v>
      </c>
      <c r="M344" s="1" t="str">
        <f t="shared" si="43"/>
        <v>No Issue</v>
      </c>
      <c r="N344" s="1" t="str">
        <f t="shared" si="44"/>
        <v>No Issue</v>
      </c>
      <c r="O344" s="1" t="str">
        <f t="shared" si="45"/>
        <v>No Issue</v>
      </c>
      <c r="P344" s="1" t="str">
        <f t="shared" si="46"/>
        <v>NoIssue</v>
      </c>
    </row>
    <row r="345" spans="1:16" ht="22.5" customHeight="1">
      <c r="A345" s="20">
        <v>46</v>
      </c>
      <c r="B345" s="30"/>
      <c r="C345" s="30"/>
      <c r="D345" s="1"/>
      <c r="E345" s="1"/>
      <c r="F345" s="19"/>
      <c r="G345" s="19"/>
      <c r="H345" s="19"/>
      <c r="I345" s="1"/>
      <c r="J345" s="1">
        <f t="shared" si="40"/>
        <v>0</v>
      </c>
      <c r="K345" s="19" t="str">
        <f t="shared" si="41"/>
        <v xml:space="preserve"> No Issue</v>
      </c>
      <c r="L345" s="1" t="str">
        <f t="shared" si="42"/>
        <v>No Issue</v>
      </c>
      <c r="M345" s="1" t="str">
        <f t="shared" si="43"/>
        <v>No Issue</v>
      </c>
      <c r="N345" s="1" t="str">
        <f t="shared" si="44"/>
        <v>No Issue</v>
      </c>
      <c r="O345" s="1" t="str">
        <f t="shared" si="45"/>
        <v>No Issue</v>
      </c>
      <c r="P345" s="1" t="str">
        <f t="shared" si="46"/>
        <v>NoIssue</v>
      </c>
    </row>
    <row r="346" spans="1:16" ht="22.5" customHeight="1">
      <c r="A346" s="20">
        <v>47</v>
      </c>
      <c r="B346" s="31"/>
      <c r="C346" s="32"/>
      <c r="D346" s="1"/>
      <c r="E346" s="1"/>
      <c r="F346" s="19"/>
      <c r="G346" s="19"/>
      <c r="H346" s="19"/>
      <c r="I346" s="1"/>
      <c r="J346" s="1">
        <f t="shared" si="40"/>
        <v>0</v>
      </c>
      <c r="K346" s="19" t="str">
        <f t="shared" si="41"/>
        <v xml:space="preserve"> No Issue</v>
      </c>
      <c r="L346" s="1" t="str">
        <f t="shared" si="42"/>
        <v>No Issue</v>
      </c>
      <c r="M346" s="1" t="str">
        <f t="shared" si="43"/>
        <v>No Issue</v>
      </c>
      <c r="N346" s="1" t="str">
        <f t="shared" si="44"/>
        <v>No Issue</v>
      </c>
      <c r="O346" s="1" t="str">
        <f t="shared" si="45"/>
        <v>No Issue</v>
      </c>
      <c r="P346" s="1" t="str">
        <f t="shared" si="46"/>
        <v>NoIssue</v>
      </c>
    </row>
    <row r="347" spans="1:16" ht="22.5" customHeight="1">
      <c r="A347" s="20">
        <v>48</v>
      </c>
      <c r="B347" s="31"/>
      <c r="C347" s="32"/>
      <c r="D347" s="1"/>
      <c r="E347" s="1"/>
      <c r="F347" s="19"/>
      <c r="G347" s="19"/>
      <c r="H347" s="19"/>
      <c r="I347" s="1"/>
      <c r="J347" s="1">
        <f t="shared" si="40"/>
        <v>0</v>
      </c>
      <c r="K347" s="19" t="str">
        <f t="shared" si="41"/>
        <v xml:space="preserve"> No Issue</v>
      </c>
      <c r="L347" s="1" t="str">
        <f t="shared" si="42"/>
        <v>No Issue</v>
      </c>
      <c r="M347" s="1" t="str">
        <f t="shared" si="43"/>
        <v>No Issue</v>
      </c>
      <c r="N347" s="1" t="str">
        <f t="shared" si="44"/>
        <v>No Issue</v>
      </c>
      <c r="O347" s="1" t="str">
        <f t="shared" si="45"/>
        <v>No Issue</v>
      </c>
      <c r="P347" s="1" t="str">
        <f t="shared" si="46"/>
        <v>NoIssue</v>
      </c>
    </row>
    <row r="348" spans="1:16" ht="22.5" customHeight="1">
      <c r="A348" s="20">
        <v>49</v>
      </c>
      <c r="B348" s="31"/>
      <c r="C348" s="32"/>
      <c r="D348" s="1"/>
      <c r="E348" s="1"/>
      <c r="F348" s="19"/>
      <c r="G348" s="19"/>
      <c r="H348" s="19"/>
      <c r="I348" s="1"/>
      <c r="J348" s="1">
        <f t="shared" si="40"/>
        <v>0</v>
      </c>
      <c r="K348" s="19" t="str">
        <f t="shared" si="41"/>
        <v xml:space="preserve"> No Issue</v>
      </c>
      <c r="L348" s="1" t="str">
        <f t="shared" si="42"/>
        <v>No Issue</v>
      </c>
      <c r="M348" s="1" t="str">
        <f t="shared" si="43"/>
        <v>No Issue</v>
      </c>
      <c r="N348" s="1" t="str">
        <f t="shared" si="44"/>
        <v>No Issue</v>
      </c>
      <c r="O348" s="1" t="str">
        <f t="shared" si="45"/>
        <v>No Issue</v>
      </c>
      <c r="P348" s="1" t="str">
        <f t="shared" si="46"/>
        <v>NoIssue</v>
      </c>
    </row>
    <row r="349" spans="1:16" ht="22.5" customHeight="1">
      <c r="A349" s="20">
        <v>50</v>
      </c>
      <c r="B349" s="31"/>
      <c r="C349" s="32"/>
      <c r="D349" s="1"/>
      <c r="E349" s="1"/>
      <c r="F349" s="19"/>
      <c r="G349" s="19"/>
      <c r="H349" s="19"/>
      <c r="I349" s="1"/>
      <c r="J349" s="1">
        <f t="shared" si="40"/>
        <v>0</v>
      </c>
      <c r="K349" s="19" t="str">
        <f t="shared" si="41"/>
        <v xml:space="preserve"> No Issue</v>
      </c>
      <c r="L349" s="1" t="str">
        <f t="shared" si="42"/>
        <v>No Issue</v>
      </c>
      <c r="M349" s="1" t="str">
        <f t="shared" si="43"/>
        <v>No Issue</v>
      </c>
      <c r="N349" s="1" t="str">
        <f t="shared" si="44"/>
        <v>No Issue</v>
      </c>
      <c r="O349" s="1" t="str">
        <f t="shared" si="45"/>
        <v>No Issue</v>
      </c>
      <c r="P349" s="1" t="str">
        <f t="shared" si="46"/>
        <v>NoIssue</v>
      </c>
    </row>
    <row r="350" spans="1:16" ht="22.5" customHeight="1">
      <c r="A350" s="20">
        <v>51</v>
      </c>
      <c r="B350" s="31"/>
      <c r="C350" s="32"/>
      <c r="D350" s="1"/>
      <c r="E350" s="1"/>
      <c r="F350" s="19"/>
      <c r="G350" s="19"/>
      <c r="H350" s="19"/>
      <c r="I350" s="1"/>
      <c r="J350" s="1">
        <f t="shared" si="40"/>
        <v>0</v>
      </c>
      <c r="K350" s="19" t="str">
        <f t="shared" si="41"/>
        <v xml:space="preserve"> No Issue</v>
      </c>
      <c r="L350" s="1" t="str">
        <f t="shared" si="42"/>
        <v>No Issue</v>
      </c>
      <c r="M350" s="1" t="str">
        <f t="shared" si="43"/>
        <v>No Issue</v>
      </c>
      <c r="N350" s="1" t="str">
        <f t="shared" si="44"/>
        <v>No Issue</v>
      </c>
      <c r="O350" s="1" t="str">
        <f t="shared" si="45"/>
        <v>No Issue</v>
      </c>
      <c r="P350" s="1" t="str">
        <f t="shared" si="46"/>
        <v>NoIssue</v>
      </c>
    </row>
    <row r="351" spans="1:16" ht="22.5" customHeight="1">
      <c r="A351" s="20">
        <v>52</v>
      </c>
      <c r="B351" s="31"/>
      <c r="C351" s="32"/>
      <c r="D351" s="1"/>
      <c r="E351" s="1"/>
      <c r="F351" s="19"/>
      <c r="G351" s="19"/>
      <c r="H351" s="19"/>
      <c r="I351" s="1"/>
      <c r="J351" s="1">
        <f t="shared" si="40"/>
        <v>0</v>
      </c>
      <c r="K351" s="19" t="str">
        <f t="shared" si="41"/>
        <v xml:space="preserve"> No Issue</v>
      </c>
      <c r="L351" s="1" t="str">
        <f t="shared" si="42"/>
        <v>No Issue</v>
      </c>
      <c r="M351" s="1" t="str">
        <f t="shared" si="43"/>
        <v>No Issue</v>
      </c>
      <c r="N351" s="1" t="str">
        <f t="shared" si="44"/>
        <v>No Issue</v>
      </c>
      <c r="O351" s="1" t="str">
        <f t="shared" si="45"/>
        <v>No Issue</v>
      </c>
      <c r="P351" s="1" t="str">
        <f t="shared" si="46"/>
        <v>NoIssue</v>
      </c>
    </row>
    <row r="352" spans="1:16" ht="22.5" customHeight="1">
      <c r="A352" s="20">
        <v>53</v>
      </c>
      <c r="B352" s="31"/>
      <c r="C352" s="32"/>
      <c r="D352" s="1"/>
      <c r="E352" s="1"/>
      <c r="F352" s="19"/>
      <c r="G352" s="19"/>
      <c r="H352" s="19"/>
      <c r="I352" s="1"/>
      <c r="J352" s="1">
        <f t="shared" si="40"/>
        <v>0</v>
      </c>
      <c r="K352" s="19" t="str">
        <f t="shared" si="41"/>
        <v xml:space="preserve"> No Issue</v>
      </c>
      <c r="L352" s="1" t="str">
        <f t="shared" si="42"/>
        <v>No Issue</v>
      </c>
      <c r="M352" s="1" t="str">
        <f t="shared" si="43"/>
        <v>No Issue</v>
      </c>
      <c r="N352" s="1" t="str">
        <f t="shared" si="44"/>
        <v>No Issue</v>
      </c>
      <c r="O352" s="1" t="str">
        <f t="shared" si="45"/>
        <v>No Issue</v>
      </c>
      <c r="P352" s="1" t="str">
        <f t="shared" si="46"/>
        <v>NoIssue</v>
      </c>
    </row>
    <row r="353" spans="1:16" ht="22.5" customHeight="1">
      <c r="A353" s="20">
        <v>54</v>
      </c>
      <c r="B353" s="30"/>
      <c r="C353" s="30"/>
      <c r="D353" s="1"/>
      <c r="E353" s="1"/>
      <c r="F353" s="19"/>
      <c r="G353" s="19"/>
      <c r="H353" s="19"/>
      <c r="I353" s="1"/>
      <c r="J353" s="1">
        <f t="shared" si="40"/>
        <v>0</v>
      </c>
      <c r="K353" s="19" t="str">
        <f t="shared" si="41"/>
        <v xml:space="preserve"> No Issue</v>
      </c>
      <c r="L353" s="1" t="str">
        <f t="shared" si="42"/>
        <v>No Issue</v>
      </c>
      <c r="M353" s="1" t="str">
        <f t="shared" si="43"/>
        <v>No Issue</v>
      </c>
      <c r="N353" s="1" t="str">
        <f t="shared" si="44"/>
        <v>No Issue</v>
      </c>
      <c r="O353" s="1" t="str">
        <f t="shared" si="45"/>
        <v>No Issue</v>
      </c>
      <c r="P353" s="1" t="str">
        <f t="shared" si="46"/>
        <v>NoIssue</v>
      </c>
    </row>
    <row r="354" spans="1:16" ht="22.5" customHeight="1">
      <c r="A354" s="20">
        <v>55</v>
      </c>
      <c r="B354" s="31"/>
      <c r="C354" s="32"/>
      <c r="D354" s="1"/>
      <c r="E354" s="1"/>
      <c r="F354" s="19"/>
      <c r="G354" s="19"/>
      <c r="H354" s="19"/>
      <c r="I354" s="1"/>
      <c r="J354" s="1">
        <f t="shared" si="40"/>
        <v>0</v>
      </c>
      <c r="K354" s="19" t="str">
        <f t="shared" si="41"/>
        <v xml:space="preserve"> No Issue</v>
      </c>
      <c r="L354" s="1" t="str">
        <f t="shared" si="42"/>
        <v>No Issue</v>
      </c>
      <c r="M354" s="1" t="str">
        <f t="shared" si="43"/>
        <v>No Issue</v>
      </c>
      <c r="N354" s="1" t="str">
        <f t="shared" si="44"/>
        <v>No Issue</v>
      </c>
      <c r="O354" s="1" t="str">
        <f t="shared" si="45"/>
        <v>No Issue</v>
      </c>
      <c r="P354" s="1" t="str">
        <f t="shared" si="46"/>
        <v>NoIssue</v>
      </c>
    </row>
    <row r="355" spans="1:16" ht="22.5" customHeight="1">
      <c r="A355" s="20">
        <v>56</v>
      </c>
      <c r="B355" s="31"/>
      <c r="C355" s="32"/>
      <c r="D355" s="1"/>
      <c r="E355" s="1"/>
      <c r="F355" s="19"/>
      <c r="G355" s="19"/>
      <c r="H355" s="19"/>
      <c r="I355" s="1"/>
      <c r="J355" s="1">
        <f t="shared" si="40"/>
        <v>0</v>
      </c>
      <c r="K355" s="19" t="str">
        <f t="shared" si="41"/>
        <v xml:space="preserve"> No Issue</v>
      </c>
      <c r="L355" s="1" t="str">
        <f t="shared" si="42"/>
        <v>No Issue</v>
      </c>
      <c r="M355" s="1" t="str">
        <f t="shared" si="43"/>
        <v>No Issue</v>
      </c>
      <c r="N355" s="1" t="str">
        <f t="shared" si="44"/>
        <v>No Issue</v>
      </c>
      <c r="O355" s="1" t="str">
        <f t="shared" si="45"/>
        <v>No Issue</v>
      </c>
      <c r="P355" s="1" t="str">
        <f t="shared" si="46"/>
        <v>NoIssue</v>
      </c>
    </row>
    <row r="356" spans="1:16" ht="22.5" customHeight="1">
      <c r="A356" s="20"/>
      <c r="B356" s="1" t="s">
        <v>62</v>
      </c>
      <c r="C356" s="31"/>
      <c r="D356" s="1">
        <f t="shared" ref="D356:I356" si="47">SUMPRODUCT(D300:D355,$C300:$C355)</f>
        <v>0</v>
      </c>
      <c r="E356" s="1">
        <f t="shared" si="47"/>
        <v>0</v>
      </c>
      <c r="F356" s="1">
        <f t="shared" si="47"/>
        <v>0</v>
      </c>
      <c r="G356" s="1">
        <f t="shared" si="47"/>
        <v>0</v>
      </c>
      <c r="H356" s="1">
        <f t="shared" si="47"/>
        <v>0</v>
      </c>
      <c r="I356" s="1">
        <f t="shared" si="47"/>
        <v>0</v>
      </c>
      <c r="J356" s="1">
        <f t="shared" si="40"/>
        <v>0</v>
      </c>
      <c r="K356" s="19" t="str">
        <f t="shared" si="41"/>
        <v xml:space="preserve"> No Issue</v>
      </c>
      <c r="L356" s="1" t="str">
        <f t="shared" si="42"/>
        <v>No Issue</v>
      </c>
      <c r="M356" s="1" t="str">
        <f t="shared" si="43"/>
        <v>No Issue</v>
      </c>
      <c r="N356" s="1" t="str">
        <f t="shared" si="44"/>
        <v>No Issue</v>
      </c>
      <c r="O356" s="1" t="str">
        <f t="shared" si="45"/>
        <v>No Issue</v>
      </c>
      <c r="P356" s="1" t="str">
        <f t="shared" si="46"/>
        <v>NoIssue</v>
      </c>
    </row>
    <row r="357" spans="1:16" ht="22.5" customHeight="1">
      <c r="A357" s="8"/>
      <c r="B357" s="9" t="s">
        <v>3</v>
      </c>
      <c r="C357" s="10"/>
      <c r="D357" s="11"/>
      <c r="E357" s="9"/>
      <c r="F357" s="12"/>
      <c r="G357" s="46"/>
      <c r="H357" s="47"/>
      <c r="I357" s="12"/>
      <c r="J357" s="13"/>
      <c r="K357" s="48" t="s">
        <v>4</v>
      </c>
      <c r="L357" s="49"/>
      <c r="M357" s="49"/>
      <c r="N357" s="49"/>
      <c r="O357" s="49"/>
      <c r="P357" s="50"/>
    </row>
    <row r="358" spans="1:16" ht="22.5" customHeight="1">
      <c r="A358" s="35" t="s">
        <v>5</v>
      </c>
      <c r="B358" s="19" t="s">
        <v>6</v>
      </c>
      <c r="C358" s="19" t="s">
        <v>7</v>
      </c>
      <c r="D358" s="18" t="s">
        <v>8</v>
      </c>
      <c r="E358" s="18" t="s">
        <v>9</v>
      </c>
      <c r="F358" s="18" t="s">
        <v>10</v>
      </c>
      <c r="G358" s="18" t="s">
        <v>11</v>
      </c>
      <c r="H358" s="18" t="s">
        <v>12</v>
      </c>
      <c r="I358" s="18" t="s">
        <v>13</v>
      </c>
      <c r="J358" s="18" t="s">
        <v>14</v>
      </c>
      <c r="K358" s="19" t="s">
        <v>15</v>
      </c>
      <c r="L358" s="19" t="s">
        <v>16</v>
      </c>
      <c r="M358" s="19" t="s">
        <v>17</v>
      </c>
      <c r="N358" s="19" t="s">
        <v>18</v>
      </c>
      <c r="O358" s="19" t="s">
        <v>19</v>
      </c>
      <c r="P358" s="19" t="s">
        <v>20</v>
      </c>
    </row>
    <row r="359" spans="1:16" ht="22.5" customHeight="1">
      <c r="A359" s="20">
        <v>1</v>
      </c>
      <c r="B359" s="21" t="s">
        <v>21</v>
      </c>
      <c r="C359" s="22">
        <v>192.17</v>
      </c>
      <c r="D359" s="1"/>
      <c r="E359" s="1"/>
      <c r="F359" s="1"/>
      <c r="G359" s="1"/>
      <c r="H359" s="1"/>
      <c r="I359" s="1"/>
      <c r="J359" s="1">
        <f t="shared" ref="J359:J415" si="48">D359+E359-F359-G359+H359</f>
        <v>0</v>
      </c>
      <c r="K359" s="19" t="str">
        <f t="shared" ref="K359:K415" si="49">IF(I359&lt;&gt;(D359+E359-F359-G359+H359),"Closing stock Not Correct-Problem"," No Issue")</f>
        <v xml:space="preserve"> No Issue</v>
      </c>
      <c r="L359" s="1" t="str">
        <f t="shared" ref="L359:L415" si="50">IF((D359+E359)&lt;F359,"High Sale and Less Stock-Problem","No Issue")</f>
        <v>No Issue</v>
      </c>
      <c r="M359" s="1" t="str">
        <f t="shared" ref="M359:M415" si="51">IF(AND((D359+E359+I359)=0,F359&gt;0),"No Stock Sale Present Problem","No Issue")</f>
        <v>No Issue</v>
      </c>
      <c r="N359" s="1" t="str">
        <f t="shared" ref="N359:N415" si="52">IF(AND(SUM(D359:H359)=0,I359&gt;0),"Only Closing Entered Other Parameters No Entired Problem","No Issue")</f>
        <v>No Issue</v>
      </c>
      <c r="O359" s="1" t="str">
        <f t="shared" ref="O359:O415" si="53">IF(F359&gt;5000,"Check Once Sales quantity or Value Problem","No Issue")</f>
        <v>No Issue</v>
      </c>
      <c r="P359" s="1" t="str">
        <f t="shared" ref="P359:P415" si="54">IF(I359&gt;5000,"Check Once Closing quantity or Value Problem","NoIssue")</f>
        <v>NoIssue</v>
      </c>
    </row>
    <row r="360" spans="1:16" ht="22.5" customHeight="1">
      <c r="A360" s="20">
        <v>2</v>
      </c>
      <c r="B360" s="21" t="s">
        <v>22</v>
      </c>
      <c r="C360" s="22">
        <v>9.26</v>
      </c>
      <c r="D360" s="1"/>
      <c r="E360" s="1"/>
      <c r="F360" s="1"/>
      <c r="G360" s="1"/>
      <c r="H360" s="1"/>
      <c r="I360" s="1"/>
      <c r="J360" s="1">
        <f t="shared" si="48"/>
        <v>0</v>
      </c>
      <c r="K360" s="19" t="str">
        <f t="shared" si="49"/>
        <v xml:space="preserve"> No Issue</v>
      </c>
      <c r="L360" s="1" t="str">
        <f t="shared" si="50"/>
        <v>No Issue</v>
      </c>
      <c r="M360" s="1" t="str">
        <f t="shared" si="51"/>
        <v>No Issue</v>
      </c>
      <c r="N360" s="1" t="str">
        <f t="shared" si="52"/>
        <v>No Issue</v>
      </c>
      <c r="O360" s="1" t="str">
        <f t="shared" si="53"/>
        <v>No Issue</v>
      </c>
      <c r="P360" s="1" t="str">
        <f t="shared" si="54"/>
        <v>NoIssue</v>
      </c>
    </row>
    <row r="361" spans="1:16" ht="22.5" customHeight="1">
      <c r="A361" s="20">
        <v>3</v>
      </c>
      <c r="B361" s="21" t="s">
        <v>23</v>
      </c>
      <c r="C361" s="22">
        <v>87.79</v>
      </c>
      <c r="D361" s="1"/>
      <c r="E361" s="1"/>
      <c r="F361" s="1"/>
      <c r="G361" s="1"/>
      <c r="H361" s="1"/>
      <c r="I361" s="1"/>
      <c r="J361" s="1">
        <f t="shared" si="48"/>
        <v>0</v>
      </c>
      <c r="K361" s="19" t="str">
        <f t="shared" si="49"/>
        <v xml:space="preserve"> No Issue</v>
      </c>
      <c r="L361" s="1" t="str">
        <f t="shared" si="50"/>
        <v>No Issue</v>
      </c>
      <c r="M361" s="1" t="str">
        <f t="shared" si="51"/>
        <v>No Issue</v>
      </c>
      <c r="N361" s="1" t="str">
        <f t="shared" si="52"/>
        <v>No Issue</v>
      </c>
      <c r="O361" s="1" t="str">
        <f t="shared" si="53"/>
        <v>No Issue</v>
      </c>
      <c r="P361" s="1" t="str">
        <f t="shared" si="54"/>
        <v>NoIssue</v>
      </c>
    </row>
    <row r="362" spans="1:16" ht="22.5" customHeight="1">
      <c r="A362" s="20">
        <v>4</v>
      </c>
      <c r="B362" s="21" t="s">
        <v>24</v>
      </c>
      <c r="C362" s="22">
        <v>55.55</v>
      </c>
      <c r="D362" s="1"/>
      <c r="E362" s="1"/>
      <c r="F362" s="1"/>
      <c r="G362" s="1"/>
      <c r="H362" s="1"/>
      <c r="I362" s="1"/>
      <c r="J362" s="1">
        <f t="shared" si="48"/>
        <v>0</v>
      </c>
      <c r="K362" s="19" t="str">
        <f t="shared" si="49"/>
        <v xml:space="preserve"> No Issue</v>
      </c>
      <c r="L362" s="1" t="str">
        <f t="shared" si="50"/>
        <v>No Issue</v>
      </c>
      <c r="M362" s="1" t="str">
        <f t="shared" si="51"/>
        <v>No Issue</v>
      </c>
      <c r="N362" s="1" t="str">
        <f t="shared" si="52"/>
        <v>No Issue</v>
      </c>
      <c r="O362" s="1" t="str">
        <f t="shared" si="53"/>
        <v>No Issue</v>
      </c>
      <c r="P362" s="1" t="str">
        <f t="shared" si="54"/>
        <v>NoIssue</v>
      </c>
    </row>
    <row r="363" spans="1:16" ht="22.5" customHeight="1">
      <c r="A363" s="20">
        <v>5</v>
      </c>
      <c r="B363" s="21" t="s">
        <v>25</v>
      </c>
      <c r="C363" s="22">
        <v>70.010000000000005</v>
      </c>
      <c r="D363" s="1"/>
      <c r="E363" s="1"/>
      <c r="F363" s="1"/>
      <c r="G363" s="1"/>
      <c r="H363" s="1"/>
      <c r="I363" s="1"/>
      <c r="J363" s="1">
        <f t="shared" si="48"/>
        <v>0</v>
      </c>
      <c r="K363" s="19" t="str">
        <f t="shared" si="49"/>
        <v xml:space="preserve"> No Issue</v>
      </c>
      <c r="L363" s="1" t="str">
        <f t="shared" si="50"/>
        <v>No Issue</v>
      </c>
      <c r="M363" s="1" t="str">
        <f t="shared" si="51"/>
        <v>No Issue</v>
      </c>
      <c r="N363" s="1" t="str">
        <f t="shared" si="52"/>
        <v>No Issue</v>
      </c>
      <c r="O363" s="1" t="str">
        <f t="shared" si="53"/>
        <v>No Issue</v>
      </c>
      <c r="P363" s="1" t="str">
        <f t="shared" si="54"/>
        <v>NoIssue</v>
      </c>
    </row>
    <row r="364" spans="1:16" ht="22.5" customHeight="1">
      <c r="A364" s="20">
        <v>6</v>
      </c>
      <c r="B364" s="25" t="s">
        <v>26</v>
      </c>
      <c r="C364" s="22">
        <v>73.929999999999993</v>
      </c>
      <c r="D364" s="1"/>
      <c r="E364" s="1"/>
      <c r="F364" s="1"/>
      <c r="G364" s="1"/>
      <c r="H364" s="1"/>
      <c r="I364" s="1"/>
      <c r="J364" s="1">
        <f t="shared" si="48"/>
        <v>0</v>
      </c>
      <c r="K364" s="19" t="str">
        <f t="shared" si="49"/>
        <v xml:space="preserve"> No Issue</v>
      </c>
      <c r="L364" s="1" t="str">
        <f t="shared" si="50"/>
        <v>No Issue</v>
      </c>
      <c r="M364" s="1" t="str">
        <f t="shared" si="51"/>
        <v>No Issue</v>
      </c>
      <c r="N364" s="1" t="str">
        <f t="shared" si="52"/>
        <v>No Issue</v>
      </c>
      <c r="O364" s="1" t="str">
        <f t="shared" si="53"/>
        <v>No Issue</v>
      </c>
      <c r="P364" s="1" t="str">
        <f t="shared" si="54"/>
        <v>NoIssue</v>
      </c>
    </row>
    <row r="365" spans="1:16" ht="22.5" customHeight="1">
      <c r="A365" s="20">
        <v>7</v>
      </c>
      <c r="B365" s="21" t="s">
        <v>27</v>
      </c>
      <c r="C365" s="26">
        <v>13.91</v>
      </c>
      <c r="D365" s="1"/>
      <c r="E365" s="1"/>
      <c r="F365" s="1"/>
      <c r="G365" s="1"/>
      <c r="H365" s="1"/>
      <c r="I365" s="1"/>
      <c r="J365" s="1">
        <f t="shared" si="48"/>
        <v>0</v>
      </c>
      <c r="K365" s="19" t="str">
        <f t="shared" si="49"/>
        <v xml:space="preserve"> No Issue</v>
      </c>
      <c r="L365" s="1" t="str">
        <f t="shared" si="50"/>
        <v>No Issue</v>
      </c>
      <c r="M365" s="1" t="str">
        <f t="shared" si="51"/>
        <v>No Issue</v>
      </c>
      <c r="N365" s="1" t="str">
        <f t="shared" si="52"/>
        <v>No Issue</v>
      </c>
      <c r="O365" s="1" t="str">
        <f t="shared" si="53"/>
        <v>No Issue</v>
      </c>
      <c r="P365" s="1" t="str">
        <f t="shared" si="54"/>
        <v>NoIssue</v>
      </c>
    </row>
    <row r="366" spans="1:16" ht="22.5" customHeight="1">
      <c r="A366" s="20">
        <v>8</v>
      </c>
      <c r="B366" s="21" t="s">
        <v>28</v>
      </c>
      <c r="C366" s="26">
        <v>19.5</v>
      </c>
      <c r="D366" s="1"/>
      <c r="E366" s="1"/>
      <c r="F366" s="1"/>
      <c r="G366" s="1"/>
      <c r="H366" s="1"/>
      <c r="I366" s="1"/>
      <c r="J366" s="1">
        <f t="shared" si="48"/>
        <v>0</v>
      </c>
      <c r="K366" s="19" t="str">
        <f t="shared" si="49"/>
        <v xml:space="preserve"> No Issue</v>
      </c>
      <c r="L366" s="1" t="str">
        <f t="shared" si="50"/>
        <v>No Issue</v>
      </c>
      <c r="M366" s="1" t="str">
        <f t="shared" si="51"/>
        <v>No Issue</v>
      </c>
      <c r="N366" s="1" t="str">
        <f t="shared" si="52"/>
        <v>No Issue</v>
      </c>
      <c r="O366" s="1" t="str">
        <f t="shared" si="53"/>
        <v>No Issue</v>
      </c>
      <c r="P366" s="1" t="str">
        <f t="shared" si="54"/>
        <v>NoIssue</v>
      </c>
    </row>
    <row r="367" spans="1:16" ht="22.5" customHeight="1">
      <c r="A367" s="20">
        <v>9</v>
      </c>
      <c r="B367" s="21" t="s">
        <v>29</v>
      </c>
      <c r="C367" s="26">
        <v>28.83</v>
      </c>
      <c r="D367" s="1"/>
      <c r="E367" s="1"/>
      <c r="F367" s="1"/>
      <c r="G367" s="1"/>
      <c r="H367" s="1"/>
      <c r="I367" s="1"/>
      <c r="J367" s="1">
        <f t="shared" si="48"/>
        <v>0</v>
      </c>
      <c r="K367" s="19" t="str">
        <f t="shared" si="49"/>
        <v xml:space="preserve"> No Issue</v>
      </c>
      <c r="L367" s="1" t="str">
        <f t="shared" si="50"/>
        <v>No Issue</v>
      </c>
      <c r="M367" s="1" t="str">
        <f t="shared" si="51"/>
        <v>No Issue</v>
      </c>
      <c r="N367" s="1" t="str">
        <f t="shared" si="52"/>
        <v>No Issue</v>
      </c>
      <c r="O367" s="1" t="str">
        <f t="shared" si="53"/>
        <v>No Issue</v>
      </c>
      <c r="P367" s="1" t="str">
        <f t="shared" si="54"/>
        <v>NoIssue</v>
      </c>
    </row>
    <row r="368" spans="1:16" ht="22.5" customHeight="1">
      <c r="A368" s="20">
        <v>10</v>
      </c>
      <c r="B368" s="21" t="s">
        <v>30</v>
      </c>
      <c r="C368" s="26">
        <v>8.51</v>
      </c>
      <c r="D368" s="1"/>
      <c r="E368" s="1"/>
      <c r="F368" s="1"/>
      <c r="G368" s="1"/>
      <c r="H368" s="1"/>
      <c r="I368" s="1"/>
      <c r="J368" s="1">
        <f t="shared" si="48"/>
        <v>0</v>
      </c>
      <c r="K368" s="19" t="str">
        <f t="shared" si="49"/>
        <v xml:space="preserve"> No Issue</v>
      </c>
      <c r="L368" s="1" t="str">
        <f t="shared" si="50"/>
        <v>No Issue</v>
      </c>
      <c r="M368" s="1" t="str">
        <f t="shared" si="51"/>
        <v>No Issue</v>
      </c>
      <c r="N368" s="1" t="str">
        <f t="shared" si="52"/>
        <v>No Issue</v>
      </c>
      <c r="O368" s="1" t="str">
        <f t="shared" si="53"/>
        <v>No Issue</v>
      </c>
      <c r="P368" s="1" t="str">
        <f t="shared" si="54"/>
        <v>NoIssue</v>
      </c>
    </row>
    <row r="369" spans="1:16" ht="22.5" customHeight="1">
      <c r="A369" s="20">
        <v>11</v>
      </c>
      <c r="B369" s="21" t="s">
        <v>31</v>
      </c>
      <c r="C369" s="26">
        <v>102.17</v>
      </c>
      <c r="D369" s="1"/>
      <c r="E369" s="1"/>
      <c r="F369" s="1"/>
      <c r="G369" s="1"/>
      <c r="H369" s="1"/>
      <c r="I369" s="1"/>
      <c r="J369" s="1">
        <f t="shared" si="48"/>
        <v>0</v>
      </c>
      <c r="K369" s="19" t="str">
        <f t="shared" si="49"/>
        <v xml:space="preserve"> No Issue</v>
      </c>
      <c r="L369" s="1" t="str">
        <f t="shared" si="50"/>
        <v>No Issue</v>
      </c>
      <c r="M369" s="1" t="str">
        <f t="shared" si="51"/>
        <v>No Issue</v>
      </c>
      <c r="N369" s="1" t="str">
        <f t="shared" si="52"/>
        <v>No Issue</v>
      </c>
      <c r="O369" s="1" t="str">
        <f t="shared" si="53"/>
        <v>No Issue</v>
      </c>
      <c r="P369" s="1" t="str">
        <f t="shared" si="54"/>
        <v>NoIssue</v>
      </c>
    </row>
    <row r="370" spans="1:16" ht="22.5" customHeight="1">
      <c r="A370" s="20">
        <v>12</v>
      </c>
      <c r="B370" s="21" t="s">
        <v>32</v>
      </c>
      <c r="C370" s="26">
        <v>59.93</v>
      </c>
      <c r="D370" s="1"/>
      <c r="E370" s="1"/>
      <c r="F370" s="1"/>
      <c r="G370" s="1"/>
      <c r="H370" s="1"/>
      <c r="I370" s="1"/>
      <c r="J370" s="1">
        <f t="shared" si="48"/>
        <v>0</v>
      </c>
      <c r="K370" s="19" t="str">
        <f t="shared" si="49"/>
        <v xml:space="preserve"> No Issue</v>
      </c>
      <c r="L370" s="1" t="str">
        <f t="shared" si="50"/>
        <v>No Issue</v>
      </c>
      <c r="M370" s="1" t="str">
        <f t="shared" si="51"/>
        <v>No Issue</v>
      </c>
      <c r="N370" s="1" t="str">
        <f t="shared" si="52"/>
        <v>No Issue</v>
      </c>
      <c r="O370" s="1" t="str">
        <f t="shared" si="53"/>
        <v>No Issue</v>
      </c>
      <c r="P370" s="1" t="str">
        <f t="shared" si="54"/>
        <v>NoIssue</v>
      </c>
    </row>
    <row r="371" spans="1:16" ht="22.5" customHeight="1">
      <c r="A371" s="20">
        <v>13</v>
      </c>
      <c r="B371" s="21" t="s">
        <v>33</v>
      </c>
      <c r="C371" s="26">
        <v>118</v>
      </c>
      <c r="D371" s="1"/>
      <c r="E371" s="1"/>
      <c r="F371" s="1"/>
      <c r="G371" s="1"/>
      <c r="H371" s="1"/>
      <c r="I371" s="1"/>
      <c r="J371" s="1">
        <f t="shared" si="48"/>
        <v>0</v>
      </c>
      <c r="K371" s="19" t="str">
        <f t="shared" si="49"/>
        <v xml:space="preserve"> No Issue</v>
      </c>
      <c r="L371" s="1" t="str">
        <f t="shared" si="50"/>
        <v>No Issue</v>
      </c>
      <c r="M371" s="1" t="str">
        <f t="shared" si="51"/>
        <v>No Issue</v>
      </c>
      <c r="N371" s="1" t="str">
        <f t="shared" si="52"/>
        <v>No Issue</v>
      </c>
      <c r="O371" s="1" t="str">
        <f t="shared" si="53"/>
        <v>No Issue</v>
      </c>
      <c r="P371" s="1" t="str">
        <f t="shared" si="54"/>
        <v>NoIssue</v>
      </c>
    </row>
    <row r="372" spans="1:16" ht="22.5" customHeight="1">
      <c r="A372" s="20">
        <v>14</v>
      </c>
      <c r="B372" s="21" t="s">
        <v>34</v>
      </c>
      <c r="C372" s="26">
        <v>52.83</v>
      </c>
      <c r="D372" s="1"/>
      <c r="E372" s="1"/>
      <c r="F372" s="1"/>
      <c r="G372" s="1"/>
      <c r="H372" s="1"/>
      <c r="I372" s="1"/>
      <c r="J372" s="1">
        <f t="shared" si="48"/>
        <v>0</v>
      </c>
      <c r="K372" s="19" t="str">
        <f t="shared" si="49"/>
        <v xml:space="preserve"> No Issue</v>
      </c>
      <c r="L372" s="1" t="str">
        <f t="shared" si="50"/>
        <v>No Issue</v>
      </c>
      <c r="M372" s="1" t="str">
        <f t="shared" si="51"/>
        <v>No Issue</v>
      </c>
      <c r="N372" s="1" t="str">
        <f t="shared" si="52"/>
        <v>No Issue</v>
      </c>
      <c r="O372" s="1" t="str">
        <f t="shared" si="53"/>
        <v>No Issue</v>
      </c>
      <c r="P372" s="1" t="str">
        <f t="shared" si="54"/>
        <v>NoIssue</v>
      </c>
    </row>
    <row r="373" spans="1:16" ht="22.5" customHeight="1">
      <c r="A373" s="20">
        <v>15</v>
      </c>
      <c r="B373" s="21" t="s">
        <v>35</v>
      </c>
      <c r="C373" s="26">
        <v>93.2</v>
      </c>
      <c r="D373" s="1"/>
      <c r="E373" s="1"/>
      <c r="F373" s="1"/>
      <c r="G373" s="1"/>
      <c r="H373" s="1"/>
      <c r="I373" s="1"/>
      <c r="J373" s="1">
        <f t="shared" si="48"/>
        <v>0</v>
      </c>
      <c r="K373" s="19" t="str">
        <f t="shared" si="49"/>
        <v xml:space="preserve"> No Issue</v>
      </c>
      <c r="L373" s="1" t="str">
        <f t="shared" si="50"/>
        <v>No Issue</v>
      </c>
      <c r="M373" s="1" t="str">
        <f t="shared" si="51"/>
        <v>No Issue</v>
      </c>
      <c r="N373" s="1" t="str">
        <f t="shared" si="52"/>
        <v>No Issue</v>
      </c>
      <c r="O373" s="1" t="str">
        <f t="shared" si="53"/>
        <v>No Issue</v>
      </c>
      <c r="P373" s="1" t="str">
        <f t="shared" si="54"/>
        <v>NoIssue</v>
      </c>
    </row>
    <row r="374" spans="1:16" ht="22.5" customHeight="1">
      <c r="A374" s="20">
        <v>16</v>
      </c>
      <c r="B374" s="21" t="s">
        <v>36</v>
      </c>
      <c r="C374" s="26">
        <v>61.02</v>
      </c>
      <c r="D374" s="1"/>
      <c r="E374" s="1"/>
      <c r="F374" s="1"/>
      <c r="G374" s="1"/>
      <c r="H374" s="1"/>
      <c r="I374" s="1"/>
      <c r="J374" s="1">
        <f t="shared" si="48"/>
        <v>0</v>
      </c>
      <c r="K374" s="19" t="str">
        <f t="shared" si="49"/>
        <v xml:space="preserve"> No Issue</v>
      </c>
      <c r="L374" s="1" t="str">
        <f t="shared" si="50"/>
        <v>No Issue</v>
      </c>
      <c r="M374" s="1" t="str">
        <f t="shared" si="51"/>
        <v>No Issue</v>
      </c>
      <c r="N374" s="1" t="str">
        <f t="shared" si="52"/>
        <v>No Issue</v>
      </c>
      <c r="O374" s="1" t="str">
        <f t="shared" si="53"/>
        <v>No Issue</v>
      </c>
      <c r="P374" s="1" t="str">
        <f t="shared" si="54"/>
        <v>NoIssue</v>
      </c>
    </row>
    <row r="375" spans="1:16" ht="22.5" customHeight="1">
      <c r="A375" s="20">
        <v>17</v>
      </c>
      <c r="B375" s="21" t="s">
        <v>37</v>
      </c>
      <c r="C375" s="26">
        <v>36.619999999999997</v>
      </c>
      <c r="D375" s="1"/>
      <c r="E375" s="1"/>
      <c r="F375" s="1"/>
      <c r="G375" s="1"/>
      <c r="H375" s="1"/>
      <c r="I375" s="1"/>
      <c r="J375" s="1">
        <f t="shared" si="48"/>
        <v>0</v>
      </c>
      <c r="K375" s="19" t="str">
        <f t="shared" si="49"/>
        <v xml:space="preserve"> No Issue</v>
      </c>
      <c r="L375" s="1" t="str">
        <f t="shared" si="50"/>
        <v>No Issue</v>
      </c>
      <c r="M375" s="1" t="str">
        <f t="shared" si="51"/>
        <v>No Issue</v>
      </c>
      <c r="N375" s="1" t="str">
        <f t="shared" si="52"/>
        <v>No Issue</v>
      </c>
      <c r="O375" s="1" t="str">
        <f t="shared" si="53"/>
        <v>No Issue</v>
      </c>
      <c r="P375" s="1" t="str">
        <f t="shared" si="54"/>
        <v>NoIssue</v>
      </c>
    </row>
    <row r="376" spans="1:16" ht="22.5" customHeight="1">
      <c r="A376" s="20">
        <v>18</v>
      </c>
      <c r="B376" s="21" t="s">
        <v>38</v>
      </c>
      <c r="C376" s="26">
        <v>80.36</v>
      </c>
      <c r="D376" s="1"/>
      <c r="E376" s="1"/>
      <c r="F376" s="1"/>
      <c r="G376" s="1"/>
      <c r="H376" s="1"/>
      <c r="I376" s="1"/>
      <c r="J376" s="1">
        <f t="shared" si="48"/>
        <v>0</v>
      </c>
      <c r="K376" s="19" t="str">
        <f t="shared" si="49"/>
        <v xml:space="preserve"> No Issue</v>
      </c>
      <c r="L376" s="1" t="str">
        <f t="shared" si="50"/>
        <v>No Issue</v>
      </c>
      <c r="M376" s="1" t="str">
        <f t="shared" si="51"/>
        <v>No Issue</v>
      </c>
      <c r="N376" s="1" t="str">
        <f t="shared" si="52"/>
        <v>No Issue</v>
      </c>
      <c r="O376" s="1" t="str">
        <f t="shared" si="53"/>
        <v>No Issue</v>
      </c>
      <c r="P376" s="1" t="str">
        <f t="shared" si="54"/>
        <v>NoIssue</v>
      </c>
    </row>
    <row r="377" spans="1:16" ht="22.5" customHeight="1">
      <c r="A377" s="20">
        <v>19</v>
      </c>
      <c r="B377" s="21" t="s">
        <v>39</v>
      </c>
      <c r="C377" s="26">
        <v>160.56</v>
      </c>
      <c r="D377" s="1"/>
      <c r="E377" s="1"/>
      <c r="F377" s="1"/>
      <c r="G377" s="1"/>
      <c r="H377" s="1"/>
      <c r="I377" s="1"/>
      <c r="J377" s="1">
        <f t="shared" si="48"/>
        <v>0</v>
      </c>
      <c r="K377" s="19" t="str">
        <f t="shared" si="49"/>
        <v xml:space="preserve"> No Issue</v>
      </c>
      <c r="L377" s="1" t="str">
        <f t="shared" si="50"/>
        <v>No Issue</v>
      </c>
      <c r="M377" s="1" t="str">
        <f t="shared" si="51"/>
        <v>No Issue</v>
      </c>
      <c r="N377" s="1" t="str">
        <f t="shared" si="52"/>
        <v>No Issue</v>
      </c>
      <c r="O377" s="1" t="str">
        <f t="shared" si="53"/>
        <v>No Issue</v>
      </c>
      <c r="P377" s="1" t="str">
        <f t="shared" si="54"/>
        <v>NoIssue</v>
      </c>
    </row>
    <row r="378" spans="1:16" ht="22.5" customHeight="1">
      <c r="A378" s="20">
        <v>20</v>
      </c>
      <c r="B378" s="21" t="s">
        <v>40</v>
      </c>
      <c r="C378" s="26">
        <v>186.44</v>
      </c>
      <c r="D378" s="1"/>
      <c r="E378" s="1"/>
      <c r="F378" s="1"/>
      <c r="G378" s="1"/>
      <c r="H378" s="1"/>
      <c r="I378" s="1"/>
      <c r="J378" s="1">
        <f t="shared" si="48"/>
        <v>0</v>
      </c>
      <c r="K378" s="19" t="str">
        <f t="shared" si="49"/>
        <v xml:space="preserve"> No Issue</v>
      </c>
      <c r="L378" s="1" t="str">
        <f t="shared" si="50"/>
        <v>No Issue</v>
      </c>
      <c r="M378" s="1" t="str">
        <f t="shared" si="51"/>
        <v>No Issue</v>
      </c>
      <c r="N378" s="1" t="str">
        <f t="shared" si="52"/>
        <v>No Issue</v>
      </c>
      <c r="O378" s="1" t="str">
        <f t="shared" si="53"/>
        <v>No Issue</v>
      </c>
      <c r="P378" s="1" t="str">
        <f t="shared" si="54"/>
        <v>NoIssue</v>
      </c>
    </row>
    <row r="379" spans="1:16" ht="22.5" customHeight="1">
      <c r="A379" s="20">
        <v>21</v>
      </c>
      <c r="B379" s="21" t="s">
        <v>41</v>
      </c>
      <c r="C379" s="26">
        <v>92.59</v>
      </c>
      <c r="D379" s="1"/>
      <c r="E379" s="1"/>
      <c r="F379" s="1"/>
      <c r="G379" s="1"/>
      <c r="H379" s="1"/>
      <c r="I379" s="1"/>
      <c r="J379" s="1">
        <f t="shared" si="48"/>
        <v>0</v>
      </c>
      <c r="K379" s="19" t="str">
        <f t="shared" si="49"/>
        <v xml:space="preserve"> No Issue</v>
      </c>
      <c r="L379" s="1" t="str">
        <f t="shared" si="50"/>
        <v>No Issue</v>
      </c>
      <c r="M379" s="1" t="str">
        <f t="shared" si="51"/>
        <v>No Issue</v>
      </c>
      <c r="N379" s="1" t="str">
        <f t="shared" si="52"/>
        <v>No Issue</v>
      </c>
      <c r="O379" s="1" t="str">
        <f t="shared" si="53"/>
        <v>No Issue</v>
      </c>
      <c r="P379" s="1" t="str">
        <f t="shared" si="54"/>
        <v>NoIssue</v>
      </c>
    </row>
    <row r="380" spans="1:16" ht="22.5" customHeight="1">
      <c r="A380" s="20">
        <v>22</v>
      </c>
      <c r="B380" s="21" t="s">
        <v>42</v>
      </c>
      <c r="C380" s="26">
        <v>95.17</v>
      </c>
      <c r="D380" s="1"/>
      <c r="E380" s="1"/>
      <c r="F380" s="1"/>
      <c r="G380" s="1"/>
      <c r="H380" s="1"/>
      <c r="I380" s="1"/>
      <c r="J380" s="1">
        <f t="shared" si="48"/>
        <v>0</v>
      </c>
      <c r="K380" s="19" t="str">
        <f t="shared" si="49"/>
        <v xml:space="preserve"> No Issue</v>
      </c>
      <c r="L380" s="1" t="str">
        <f t="shared" si="50"/>
        <v>No Issue</v>
      </c>
      <c r="M380" s="1" t="str">
        <f t="shared" si="51"/>
        <v>No Issue</v>
      </c>
      <c r="N380" s="1" t="str">
        <f t="shared" si="52"/>
        <v>No Issue</v>
      </c>
      <c r="O380" s="1" t="str">
        <f t="shared" si="53"/>
        <v>No Issue</v>
      </c>
      <c r="P380" s="1" t="str">
        <f t="shared" si="54"/>
        <v>NoIssue</v>
      </c>
    </row>
    <row r="381" spans="1:16" ht="22.5" customHeight="1">
      <c r="A381" s="20">
        <v>23</v>
      </c>
      <c r="B381" s="21" t="s">
        <v>43</v>
      </c>
      <c r="C381" s="26">
        <v>92.94</v>
      </c>
      <c r="D381" s="1"/>
      <c r="E381" s="1"/>
      <c r="F381" s="1"/>
      <c r="G381" s="1"/>
      <c r="H381" s="1"/>
      <c r="I381" s="1"/>
      <c r="J381" s="1">
        <f t="shared" si="48"/>
        <v>0</v>
      </c>
      <c r="K381" s="19" t="str">
        <f t="shared" si="49"/>
        <v xml:space="preserve"> No Issue</v>
      </c>
      <c r="L381" s="1" t="str">
        <f t="shared" si="50"/>
        <v>No Issue</v>
      </c>
      <c r="M381" s="1" t="str">
        <f t="shared" si="51"/>
        <v>No Issue</v>
      </c>
      <c r="N381" s="1" t="str">
        <f t="shared" si="52"/>
        <v>No Issue</v>
      </c>
      <c r="O381" s="1" t="str">
        <f t="shared" si="53"/>
        <v>No Issue</v>
      </c>
      <c r="P381" s="1" t="str">
        <f t="shared" si="54"/>
        <v>NoIssue</v>
      </c>
    </row>
    <row r="382" spans="1:16" ht="22.5" customHeight="1">
      <c r="A382" s="20">
        <v>24</v>
      </c>
      <c r="B382" s="21" t="s">
        <v>44</v>
      </c>
      <c r="C382" s="26">
        <v>101.82</v>
      </c>
      <c r="D382" s="1"/>
      <c r="E382" s="1"/>
      <c r="F382" s="1"/>
      <c r="G382" s="1"/>
      <c r="H382" s="1"/>
      <c r="I382" s="1"/>
      <c r="J382" s="1">
        <f t="shared" si="48"/>
        <v>0</v>
      </c>
      <c r="K382" s="19" t="str">
        <f t="shared" si="49"/>
        <v xml:space="preserve"> No Issue</v>
      </c>
      <c r="L382" s="1" t="str">
        <f t="shared" si="50"/>
        <v>No Issue</v>
      </c>
      <c r="M382" s="1" t="str">
        <f t="shared" si="51"/>
        <v>No Issue</v>
      </c>
      <c r="N382" s="1" t="str">
        <f t="shared" si="52"/>
        <v>No Issue</v>
      </c>
      <c r="O382" s="1" t="str">
        <f t="shared" si="53"/>
        <v>No Issue</v>
      </c>
      <c r="P382" s="1" t="str">
        <f t="shared" si="54"/>
        <v>NoIssue</v>
      </c>
    </row>
    <row r="383" spans="1:16" ht="22.5" customHeight="1">
      <c r="A383" s="20">
        <v>25</v>
      </c>
      <c r="B383" s="21" t="s">
        <v>45</v>
      </c>
      <c r="C383" s="26">
        <v>53.49</v>
      </c>
      <c r="D383" s="1"/>
      <c r="E383" s="1"/>
      <c r="F383" s="1"/>
      <c r="G383" s="1"/>
      <c r="H383" s="1"/>
      <c r="I383" s="1"/>
      <c r="J383" s="1">
        <f t="shared" si="48"/>
        <v>0</v>
      </c>
      <c r="K383" s="19" t="str">
        <f t="shared" si="49"/>
        <v xml:space="preserve"> No Issue</v>
      </c>
      <c r="L383" s="1" t="str">
        <f t="shared" si="50"/>
        <v>No Issue</v>
      </c>
      <c r="M383" s="1" t="str">
        <f t="shared" si="51"/>
        <v>No Issue</v>
      </c>
      <c r="N383" s="1" t="str">
        <f t="shared" si="52"/>
        <v>No Issue</v>
      </c>
      <c r="O383" s="1" t="str">
        <f t="shared" si="53"/>
        <v>No Issue</v>
      </c>
      <c r="P383" s="1" t="str">
        <f t="shared" si="54"/>
        <v>NoIssue</v>
      </c>
    </row>
    <row r="384" spans="1:16" ht="22.5" customHeight="1">
      <c r="A384" s="20">
        <v>26</v>
      </c>
      <c r="B384" s="21" t="s">
        <v>46</v>
      </c>
      <c r="C384" s="26">
        <v>32.92</v>
      </c>
      <c r="D384" s="1"/>
      <c r="E384" s="1"/>
      <c r="F384" s="1"/>
      <c r="G384" s="1"/>
      <c r="H384" s="1"/>
      <c r="I384" s="1"/>
      <c r="J384" s="1">
        <f t="shared" si="48"/>
        <v>0</v>
      </c>
      <c r="K384" s="19" t="str">
        <f t="shared" si="49"/>
        <v xml:space="preserve"> No Issue</v>
      </c>
      <c r="L384" s="1" t="str">
        <f t="shared" si="50"/>
        <v>No Issue</v>
      </c>
      <c r="M384" s="1" t="str">
        <f t="shared" si="51"/>
        <v>No Issue</v>
      </c>
      <c r="N384" s="1" t="str">
        <f t="shared" si="52"/>
        <v>No Issue</v>
      </c>
      <c r="O384" s="1" t="str">
        <f t="shared" si="53"/>
        <v>No Issue</v>
      </c>
      <c r="P384" s="1" t="str">
        <f t="shared" si="54"/>
        <v>NoIssue</v>
      </c>
    </row>
    <row r="385" spans="1:16" ht="22.5" customHeight="1">
      <c r="A385" s="20">
        <v>27</v>
      </c>
      <c r="B385" s="21" t="s">
        <v>47</v>
      </c>
      <c r="C385" s="26">
        <v>116.68</v>
      </c>
      <c r="D385" s="1"/>
      <c r="E385" s="1"/>
      <c r="F385" s="1"/>
      <c r="G385" s="1"/>
      <c r="H385" s="1"/>
      <c r="I385" s="1"/>
      <c r="J385" s="1">
        <f t="shared" si="48"/>
        <v>0</v>
      </c>
      <c r="K385" s="19" t="str">
        <f t="shared" si="49"/>
        <v xml:space="preserve"> No Issue</v>
      </c>
      <c r="L385" s="1" t="str">
        <f t="shared" si="50"/>
        <v>No Issue</v>
      </c>
      <c r="M385" s="1" t="str">
        <f t="shared" si="51"/>
        <v>No Issue</v>
      </c>
      <c r="N385" s="1" t="str">
        <f t="shared" si="52"/>
        <v>No Issue</v>
      </c>
      <c r="O385" s="1" t="str">
        <f t="shared" si="53"/>
        <v>No Issue</v>
      </c>
      <c r="P385" s="1" t="str">
        <f t="shared" si="54"/>
        <v>NoIssue</v>
      </c>
    </row>
    <row r="386" spans="1:16" ht="22.5" customHeight="1">
      <c r="A386" s="20">
        <v>28</v>
      </c>
      <c r="B386" s="21" t="s">
        <v>48</v>
      </c>
      <c r="C386" s="26">
        <v>107.96</v>
      </c>
      <c r="D386" s="1"/>
      <c r="E386" s="1"/>
      <c r="F386" s="1"/>
      <c r="G386" s="1"/>
      <c r="H386" s="1"/>
      <c r="I386" s="1"/>
      <c r="J386" s="1">
        <f t="shared" si="48"/>
        <v>0</v>
      </c>
      <c r="K386" s="19" t="str">
        <f t="shared" si="49"/>
        <v xml:space="preserve"> No Issue</v>
      </c>
      <c r="L386" s="1" t="str">
        <f t="shared" si="50"/>
        <v>No Issue</v>
      </c>
      <c r="M386" s="1" t="str">
        <f t="shared" si="51"/>
        <v>No Issue</v>
      </c>
      <c r="N386" s="1" t="str">
        <f t="shared" si="52"/>
        <v>No Issue</v>
      </c>
      <c r="O386" s="1" t="str">
        <f t="shared" si="53"/>
        <v>No Issue</v>
      </c>
      <c r="P386" s="1" t="str">
        <f t="shared" si="54"/>
        <v>NoIssue</v>
      </c>
    </row>
    <row r="387" spans="1:16" ht="22.5" customHeight="1">
      <c r="A387" s="20">
        <v>29</v>
      </c>
      <c r="B387" s="21" t="s">
        <v>49</v>
      </c>
      <c r="C387" s="26">
        <v>248.89</v>
      </c>
      <c r="D387" s="1"/>
      <c r="E387" s="1"/>
      <c r="F387" s="1"/>
      <c r="G387" s="1"/>
      <c r="H387" s="1"/>
      <c r="I387" s="1"/>
      <c r="J387" s="1">
        <f t="shared" si="48"/>
        <v>0</v>
      </c>
      <c r="K387" s="19" t="str">
        <f t="shared" si="49"/>
        <v xml:space="preserve"> No Issue</v>
      </c>
      <c r="L387" s="1" t="str">
        <f t="shared" si="50"/>
        <v>No Issue</v>
      </c>
      <c r="M387" s="1" t="str">
        <f t="shared" si="51"/>
        <v>No Issue</v>
      </c>
      <c r="N387" s="1" t="str">
        <f t="shared" si="52"/>
        <v>No Issue</v>
      </c>
      <c r="O387" s="1" t="str">
        <f t="shared" si="53"/>
        <v>No Issue</v>
      </c>
      <c r="P387" s="1" t="str">
        <f t="shared" si="54"/>
        <v>NoIssue</v>
      </c>
    </row>
    <row r="388" spans="1:16" ht="22.5" customHeight="1">
      <c r="A388" s="20">
        <v>30</v>
      </c>
      <c r="B388" s="21" t="s">
        <v>50</v>
      </c>
      <c r="C388" s="26">
        <v>80.36</v>
      </c>
      <c r="D388" s="1"/>
      <c r="E388" s="1"/>
      <c r="F388" s="19"/>
      <c r="G388" s="19"/>
      <c r="H388" s="19"/>
      <c r="I388" s="1"/>
      <c r="J388" s="1">
        <f t="shared" si="48"/>
        <v>0</v>
      </c>
      <c r="K388" s="19" t="str">
        <f t="shared" si="49"/>
        <v xml:space="preserve"> No Issue</v>
      </c>
      <c r="L388" s="1" t="str">
        <f t="shared" si="50"/>
        <v>No Issue</v>
      </c>
      <c r="M388" s="1" t="str">
        <f t="shared" si="51"/>
        <v>No Issue</v>
      </c>
      <c r="N388" s="1" t="str">
        <f t="shared" si="52"/>
        <v>No Issue</v>
      </c>
      <c r="O388" s="1" t="str">
        <f t="shared" si="53"/>
        <v>No Issue</v>
      </c>
      <c r="P388" s="1" t="str">
        <f t="shared" si="54"/>
        <v>NoIssue</v>
      </c>
    </row>
    <row r="389" spans="1:16" ht="22.5" customHeight="1">
      <c r="A389" s="20">
        <v>31</v>
      </c>
      <c r="B389" s="21" t="s">
        <v>51</v>
      </c>
      <c r="C389" s="26">
        <v>52.46</v>
      </c>
      <c r="D389" s="1"/>
      <c r="E389" s="1"/>
      <c r="F389" s="19"/>
      <c r="G389" s="19"/>
      <c r="H389" s="19"/>
      <c r="I389" s="1"/>
      <c r="J389" s="1">
        <f t="shared" si="48"/>
        <v>0</v>
      </c>
      <c r="K389" s="19" t="str">
        <f t="shared" si="49"/>
        <v xml:space="preserve"> No Issue</v>
      </c>
      <c r="L389" s="1" t="str">
        <f t="shared" si="50"/>
        <v>No Issue</v>
      </c>
      <c r="M389" s="1" t="str">
        <f t="shared" si="51"/>
        <v>No Issue</v>
      </c>
      <c r="N389" s="1" t="str">
        <f t="shared" si="52"/>
        <v>No Issue</v>
      </c>
      <c r="O389" s="1" t="str">
        <f t="shared" si="53"/>
        <v>No Issue</v>
      </c>
      <c r="P389" s="1" t="str">
        <f t="shared" si="54"/>
        <v>NoIssue</v>
      </c>
    </row>
    <row r="390" spans="1:16" ht="22.5" customHeight="1">
      <c r="A390" s="20">
        <v>32</v>
      </c>
      <c r="B390" s="21" t="s">
        <v>52</v>
      </c>
      <c r="C390" s="26">
        <v>71.209999999999994</v>
      </c>
      <c r="D390" s="1"/>
      <c r="E390" s="1"/>
      <c r="F390" s="19"/>
      <c r="G390" s="19"/>
      <c r="H390" s="19"/>
      <c r="I390" s="1"/>
      <c r="J390" s="1">
        <f t="shared" si="48"/>
        <v>0</v>
      </c>
      <c r="K390" s="19" t="str">
        <f t="shared" si="49"/>
        <v xml:space="preserve"> No Issue</v>
      </c>
      <c r="L390" s="1" t="str">
        <f t="shared" si="50"/>
        <v>No Issue</v>
      </c>
      <c r="M390" s="1" t="str">
        <f t="shared" si="51"/>
        <v>No Issue</v>
      </c>
      <c r="N390" s="1" t="str">
        <f t="shared" si="52"/>
        <v>No Issue</v>
      </c>
      <c r="O390" s="1" t="str">
        <f t="shared" si="53"/>
        <v>No Issue</v>
      </c>
      <c r="P390" s="1" t="str">
        <f t="shared" si="54"/>
        <v>NoIssue</v>
      </c>
    </row>
    <row r="391" spans="1:16" ht="22.5" customHeight="1">
      <c r="A391" s="20">
        <v>33</v>
      </c>
      <c r="B391" s="21" t="s">
        <v>53</v>
      </c>
      <c r="C391" s="26">
        <v>80.349999999999994</v>
      </c>
      <c r="D391" s="1"/>
      <c r="E391" s="1"/>
      <c r="F391" s="19"/>
      <c r="G391" s="19"/>
      <c r="H391" s="19"/>
      <c r="I391" s="1"/>
      <c r="J391" s="1">
        <f t="shared" si="48"/>
        <v>0</v>
      </c>
      <c r="K391" s="19" t="str">
        <f t="shared" si="49"/>
        <v xml:space="preserve"> No Issue</v>
      </c>
      <c r="L391" s="1" t="str">
        <f t="shared" si="50"/>
        <v>No Issue</v>
      </c>
      <c r="M391" s="1" t="str">
        <f t="shared" si="51"/>
        <v>No Issue</v>
      </c>
      <c r="N391" s="1" t="str">
        <f t="shared" si="52"/>
        <v>No Issue</v>
      </c>
      <c r="O391" s="1" t="str">
        <f t="shared" si="53"/>
        <v>No Issue</v>
      </c>
      <c r="P391" s="1" t="str">
        <f t="shared" si="54"/>
        <v>NoIssue</v>
      </c>
    </row>
    <row r="392" spans="1:16" ht="22.5" customHeight="1">
      <c r="A392" s="20">
        <v>34</v>
      </c>
      <c r="B392" s="21" t="s">
        <v>54</v>
      </c>
      <c r="C392" s="26">
        <v>64.180000000000007</v>
      </c>
      <c r="D392" s="1"/>
      <c r="E392" s="1"/>
      <c r="F392" s="19"/>
      <c r="G392" s="19"/>
      <c r="H392" s="19"/>
      <c r="I392" s="1"/>
      <c r="J392" s="1">
        <f t="shared" si="48"/>
        <v>0</v>
      </c>
      <c r="K392" s="19" t="str">
        <f t="shared" si="49"/>
        <v xml:space="preserve"> No Issue</v>
      </c>
      <c r="L392" s="1" t="str">
        <f t="shared" si="50"/>
        <v>No Issue</v>
      </c>
      <c r="M392" s="1" t="str">
        <f t="shared" si="51"/>
        <v>No Issue</v>
      </c>
      <c r="N392" s="1" t="str">
        <f t="shared" si="52"/>
        <v>No Issue</v>
      </c>
      <c r="O392" s="1" t="str">
        <f t="shared" si="53"/>
        <v>No Issue</v>
      </c>
      <c r="P392" s="1" t="str">
        <f t="shared" si="54"/>
        <v>NoIssue</v>
      </c>
    </row>
    <row r="393" spans="1:16" ht="22.5" customHeight="1">
      <c r="A393" s="20">
        <v>35</v>
      </c>
      <c r="B393" s="21" t="s">
        <v>55</v>
      </c>
      <c r="C393" s="26">
        <v>36.9</v>
      </c>
      <c r="D393" s="1"/>
      <c r="E393" s="1"/>
      <c r="F393" s="19"/>
      <c r="G393" s="19"/>
      <c r="H393" s="19"/>
      <c r="I393" s="1"/>
      <c r="J393" s="1">
        <f t="shared" si="48"/>
        <v>0</v>
      </c>
      <c r="K393" s="19" t="str">
        <f t="shared" si="49"/>
        <v xml:space="preserve"> No Issue</v>
      </c>
      <c r="L393" s="1" t="str">
        <f t="shared" si="50"/>
        <v>No Issue</v>
      </c>
      <c r="M393" s="1" t="str">
        <f t="shared" si="51"/>
        <v>No Issue</v>
      </c>
      <c r="N393" s="1" t="str">
        <f t="shared" si="52"/>
        <v>No Issue</v>
      </c>
      <c r="O393" s="1" t="str">
        <f t="shared" si="53"/>
        <v>No Issue</v>
      </c>
      <c r="P393" s="1" t="str">
        <f t="shared" si="54"/>
        <v>NoIssue</v>
      </c>
    </row>
    <row r="394" spans="1:16" ht="22.5" customHeight="1">
      <c r="A394" s="20">
        <v>36</v>
      </c>
      <c r="B394" s="21" t="s">
        <v>56</v>
      </c>
      <c r="C394" s="26">
        <v>101.54</v>
      </c>
      <c r="D394" s="1"/>
      <c r="E394" s="1"/>
      <c r="F394" s="19"/>
      <c r="G394" s="19"/>
      <c r="H394" s="19"/>
      <c r="I394" s="1"/>
      <c r="J394" s="1">
        <f t="shared" si="48"/>
        <v>0</v>
      </c>
      <c r="K394" s="19" t="str">
        <f t="shared" si="49"/>
        <v xml:space="preserve"> No Issue</v>
      </c>
      <c r="L394" s="1" t="str">
        <f t="shared" si="50"/>
        <v>No Issue</v>
      </c>
      <c r="M394" s="1" t="str">
        <f t="shared" si="51"/>
        <v>No Issue</v>
      </c>
      <c r="N394" s="1" t="str">
        <f t="shared" si="52"/>
        <v>No Issue</v>
      </c>
      <c r="O394" s="1" t="str">
        <f t="shared" si="53"/>
        <v>No Issue</v>
      </c>
      <c r="P394" s="1" t="str">
        <f t="shared" si="54"/>
        <v>NoIssue</v>
      </c>
    </row>
    <row r="395" spans="1:16" ht="22.5" customHeight="1">
      <c r="A395" s="20">
        <v>37</v>
      </c>
      <c r="B395" s="21" t="s">
        <v>57</v>
      </c>
      <c r="C395" s="26">
        <v>40.5</v>
      </c>
      <c r="D395" s="1"/>
      <c r="E395" s="1"/>
      <c r="F395" s="19"/>
      <c r="G395" s="19"/>
      <c r="H395" s="19"/>
      <c r="I395" s="1"/>
      <c r="J395" s="1">
        <f t="shared" si="48"/>
        <v>0</v>
      </c>
      <c r="K395" s="19" t="str">
        <f t="shared" si="49"/>
        <v xml:space="preserve"> No Issue</v>
      </c>
      <c r="L395" s="1" t="str">
        <f t="shared" si="50"/>
        <v>No Issue</v>
      </c>
      <c r="M395" s="1" t="str">
        <f t="shared" si="51"/>
        <v>No Issue</v>
      </c>
      <c r="N395" s="1" t="str">
        <f t="shared" si="52"/>
        <v>No Issue</v>
      </c>
      <c r="O395" s="1" t="str">
        <f t="shared" si="53"/>
        <v>No Issue</v>
      </c>
      <c r="P395" s="1" t="str">
        <f t="shared" si="54"/>
        <v>NoIssue</v>
      </c>
    </row>
    <row r="396" spans="1:16" ht="22.5" customHeight="1">
      <c r="A396" s="20">
        <v>38</v>
      </c>
      <c r="B396" s="21" t="s">
        <v>58</v>
      </c>
      <c r="C396" s="26">
        <v>66.69</v>
      </c>
      <c r="D396" s="1"/>
      <c r="E396" s="1"/>
      <c r="F396" s="19"/>
      <c r="G396" s="19"/>
      <c r="H396" s="19"/>
      <c r="I396" s="1"/>
      <c r="J396" s="1">
        <f t="shared" si="48"/>
        <v>0</v>
      </c>
      <c r="K396" s="19" t="str">
        <f t="shared" si="49"/>
        <v xml:space="preserve"> No Issue</v>
      </c>
      <c r="L396" s="1" t="str">
        <f t="shared" si="50"/>
        <v>No Issue</v>
      </c>
      <c r="M396" s="1" t="str">
        <f t="shared" si="51"/>
        <v>No Issue</v>
      </c>
      <c r="N396" s="1" t="str">
        <f t="shared" si="52"/>
        <v>No Issue</v>
      </c>
      <c r="O396" s="1" t="str">
        <f t="shared" si="53"/>
        <v>No Issue</v>
      </c>
      <c r="P396" s="1" t="str">
        <f t="shared" si="54"/>
        <v>NoIssue</v>
      </c>
    </row>
    <row r="397" spans="1:16" ht="22.5" customHeight="1">
      <c r="A397" s="20">
        <v>39</v>
      </c>
      <c r="B397" s="21" t="s">
        <v>59</v>
      </c>
      <c r="C397" s="21">
        <v>150.85999999999999</v>
      </c>
      <c r="D397" s="1"/>
      <c r="E397" s="1"/>
      <c r="F397" s="19"/>
      <c r="G397" s="19"/>
      <c r="H397" s="19"/>
      <c r="I397" s="1"/>
      <c r="J397" s="1">
        <f t="shared" si="48"/>
        <v>0</v>
      </c>
      <c r="K397" s="19" t="str">
        <f t="shared" si="49"/>
        <v xml:space="preserve"> No Issue</v>
      </c>
      <c r="L397" s="1" t="str">
        <f t="shared" si="50"/>
        <v>No Issue</v>
      </c>
      <c r="M397" s="1" t="str">
        <f t="shared" si="51"/>
        <v>No Issue</v>
      </c>
      <c r="N397" s="1" t="str">
        <f t="shared" si="52"/>
        <v>No Issue</v>
      </c>
      <c r="O397" s="1" t="str">
        <f t="shared" si="53"/>
        <v>No Issue</v>
      </c>
      <c r="P397" s="1" t="str">
        <f t="shared" si="54"/>
        <v>NoIssue</v>
      </c>
    </row>
    <row r="398" spans="1:16" ht="22.5" customHeight="1">
      <c r="A398" s="20">
        <v>40</v>
      </c>
      <c r="B398" s="29" t="s">
        <v>60</v>
      </c>
      <c r="C398" s="26">
        <v>180</v>
      </c>
      <c r="D398" s="1"/>
      <c r="E398" s="1"/>
      <c r="F398" s="19"/>
      <c r="G398" s="19"/>
      <c r="H398" s="19"/>
      <c r="I398" s="1"/>
      <c r="J398" s="1">
        <f t="shared" si="48"/>
        <v>0</v>
      </c>
      <c r="K398" s="19" t="str">
        <f t="shared" si="49"/>
        <v xml:space="preserve"> No Issue</v>
      </c>
      <c r="L398" s="1" t="str">
        <f t="shared" si="50"/>
        <v>No Issue</v>
      </c>
      <c r="M398" s="1" t="str">
        <f t="shared" si="51"/>
        <v>No Issue</v>
      </c>
      <c r="N398" s="1" t="str">
        <f t="shared" si="52"/>
        <v>No Issue</v>
      </c>
      <c r="O398" s="1" t="str">
        <f t="shared" si="53"/>
        <v>No Issue</v>
      </c>
      <c r="P398" s="1" t="str">
        <f t="shared" si="54"/>
        <v>NoIssue</v>
      </c>
    </row>
    <row r="399" spans="1:16" ht="22.5" customHeight="1">
      <c r="A399" s="20">
        <v>41</v>
      </c>
      <c r="B399" s="29" t="s">
        <v>61</v>
      </c>
      <c r="C399" s="21">
        <v>128.57</v>
      </c>
      <c r="D399" s="1"/>
      <c r="E399" s="1"/>
      <c r="F399" s="19"/>
      <c r="G399" s="19"/>
      <c r="H399" s="19"/>
      <c r="I399" s="1"/>
      <c r="J399" s="1">
        <f t="shared" si="48"/>
        <v>0</v>
      </c>
      <c r="K399" s="19" t="str">
        <f t="shared" si="49"/>
        <v xml:space="preserve"> No Issue</v>
      </c>
      <c r="L399" s="1" t="str">
        <f t="shared" si="50"/>
        <v>No Issue</v>
      </c>
      <c r="M399" s="1" t="str">
        <f t="shared" si="51"/>
        <v>No Issue</v>
      </c>
      <c r="N399" s="1" t="str">
        <f t="shared" si="52"/>
        <v>No Issue</v>
      </c>
      <c r="O399" s="1" t="str">
        <f t="shared" si="53"/>
        <v>No Issue</v>
      </c>
      <c r="P399" s="1" t="str">
        <f t="shared" si="54"/>
        <v>NoIssue</v>
      </c>
    </row>
    <row r="400" spans="1:16" ht="22.5" customHeight="1">
      <c r="A400" s="20">
        <v>42</v>
      </c>
      <c r="B400" s="21"/>
      <c r="C400" s="21"/>
      <c r="D400" s="1"/>
      <c r="E400" s="1"/>
      <c r="F400" s="19"/>
      <c r="G400" s="19"/>
      <c r="H400" s="19"/>
      <c r="I400" s="1"/>
      <c r="J400" s="1">
        <f t="shared" si="48"/>
        <v>0</v>
      </c>
      <c r="K400" s="19" t="str">
        <f t="shared" si="49"/>
        <v xml:space="preserve"> No Issue</v>
      </c>
      <c r="L400" s="1" t="str">
        <f t="shared" si="50"/>
        <v>No Issue</v>
      </c>
      <c r="M400" s="1" t="str">
        <f t="shared" si="51"/>
        <v>No Issue</v>
      </c>
      <c r="N400" s="1" t="str">
        <f t="shared" si="52"/>
        <v>No Issue</v>
      </c>
      <c r="O400" s="1" t="str">
        <f t="shared" si="53"/>
        <v>No Issue</v>
      </c>
      <c r="P400" s="1" t="str">
        <f t="shared" si="54"/>
        <v>NoIssue</v>
      </c>
    </row>
    <row r="401" spans="1:16" ht="22.5" customHeight="1">
      <c r="A401" s="20">
        <v>43</v>
      </c>
      <c r="B401" s="30"/>
      <c r="C401" s="30"/>
      <c r="D401" s="1"/>
      <c r="E401" s="1"/>
      <c r="F401" s="19"/>
      <c r="G401" s="19"/>
      <c r="H401" s="19"/>
      <c r="I401" s="1"/>
      <c r="J401" s="1">
        <f t="shared" si="48"/>
        <v>0</v>
      </c>
      <c r="K401" s="19" t="str">
        <f t="shared" si="49"/>
        <v xml:space="preserve"> No Issue</v>
      </c>
      <c r="L401" s="1" t="str">
        <f t="shared" si="50"/>
        <v>No Issue</v>
      </c>
      <c r="M401" s="1" t="str">
        <f t="shared" si="51"/>
        <v>No Issue</v>
      </c>
      <c r="N401" s="1" t="str">
        <f t="shared" si="52"/>
        <v>No Issue</v>
      </c>
      <c r="O401" s="1" t="str">
        <f t="shared" si="53"/>
        <v>No Issue</v>
      </c>
      <c r="P401" s="1" t="str">
        <f t="shared" si="54"/>
        <v>NoIssue</v>
      </c>
    </row>
    <row r="402" spans="1:16" ht="22.5" customHeight="1">
      <c r="A402" s="20">
        <v>44</v>
      </c>
      <c r="B402" s="30"/>
      <c r="C402" s="30"/>
      <c r="D402" s="1"/>
      <c r="E402" s="1"/>
      <c r="F402" s="19"/>
      <c r="G402" s="19"/>
      <c r="H402" s="19"/>
      <c r="I402" s="1"/>
      <c r="J402" s="1">
        <f t="shared" si="48"/>
        <v>0</v>
      </c>
      <c r="K402" s="19" t="str">
        <f t="shared" si="49"/>
        <v xml:space="preserve"> No Issue</v>
      </c>
      <c r="L402" s="1" t="str">
        <f t="shared" si="50"/>
        <v>No Issue</v>
      </c>
      <c r="M402" s="1" t="str">
        <f t="shared" si="51"/>
        <v>No Issue</v>
      </c>
      <c r="N402" s="1" t="str">
        <f t="shared" si="52"/>
        <v>No Issue</v>
      </c>
      <c r="O402" s="1" t="str">
        <f t="shared" si="53"/>
        <v>No Issue</v>
      </c>
      <c r="P402" s="1" t="str">
        <f t="shared" si="54"/>
        <v>NoIssue</v>
      </c>
    </row>
    <row r="403" spans="1:16" ht="22.5" customHeight="1">
      <c r="A403" s="20">
        <v>45</v>
      </c>
      <c r="B403" s="30"/>
      <c r="C403" s="30"/>
      <c r="D403" s="1"/>
      <c r="E403" s="1"/>
      <c r="F403" s="19"/>
      <c r="G403" s="19"/>
      <c r="H403" s="19"/>
      <c r="I403" s="1"/>
      <c r="J403" s="1">
        <f t="shared" si="48"/>
        <v>0</v>
      </c>
      <c r="K403" s="19" t="str">
        <f t="shared" si="49"/>
        <v xml:space="preserve"> No Issue</v>
      </c>
      <c r="L403" s="1" t="str">
        <f t="shared" si="50"/>
        <v>No Issue</v>
      </c>
      <c r="M403" s="1" t="str">
        <f t="shared" si="51"/>
        <v>No Issue</v>
      </c>
      <c r="N403" s="1" t="str">
        <f t="shared" si="52"/>
        <v>No Issue</v>
      </c>
      <c r="O403" s="1" t="str">
        <f t="shared" si="53"/>
        <v>No Issue</v>
      </c>
      <c r="P403" s="1" t="str">
        <f t="shared" si="54"/>
        <v>NoIssue</v>
      </c>
    </row>
    <row r="404" spans="1:16" ht="22.5" customHeight="1">
      <c r="A404" s="20">
        <v>46</v>
      </c>
      <c r="B404" s="30"/>
      <c r="C404" s="30"/>
      <c r="D404" s="1"/>
      <c r="E404" s="1"/>
      <c r="F404" s="19"/>
      <c r="G404" s="19"/>
      <c r="H404" s="19"/>
      <c r="I404" s="1"/>
      <c r="J404" s="1">
        <f t="shared" si="48"/>
        <v>0</v>
      </c>
      <c r="K404" s="19" t="str">
        <f t="shared" si="49"/>
        <v xml:space="preserve"> No Issue</v>
      </c>
      <c r="L404" s="1" t="str">
        <f t="shared" si="50"/>
        <v>No Issue</v>
      </c>
      <c r="M404" s="1" t="str">
        <f t="shared" si="51"/>
        <v>No Issue</v>
      </c>
      <c r="N404" s="1" t="str">
        <f t="shared" si="52"/>
        <v>No Issue</v>
      </c>
      <c r="O404" s="1" t="str">
        <f t="shared" si="53"/>
        <v>No Issue</v>
      </c>
      <c r="P404" s="1" t="str">
        <f t="shared" si="54"/>
        <v>NoIssue</v>
      </c>
    </row>
    <row r="405" spans="1:16" ht="22.5" customHeight="1">
      <c r="A405" s="20">
        <v>47</v>
      </c>
      <c r="B405" s="31"/>
      <c r="C405" s="32"/>
      <c r="D405" s="1"/>
      <c r="E405" s="1"/>
      <c r="F405" s="19"/>
      <c r="G405" s="19"/>
      <c r="H405" s="19"/>
      <c r="I405" s="1"/>
      <c r="J405" s="1">
        <f t="shared" si="48"/>
        <v>0</v>
      </c>
      <c r="K405" s="19" t="str">
        <f t="shared" si="49"/>
        <v xml:space="preserve"> No Issue</v>
      </c>
      <c r="L405" s="1" t="str">
        <f t="shared" si="50"/>
        <v>No Issue</v>
      </c>
      <c r="M405" s="1" t="str">
        <f t="shared" si="51"/>
        <v>No Issue</v>
      </c>
      <c r="N405" s="1" t="str">
        <f t="shared" si="52"/>
        <v>No Issue</v>
      </c>
      <c r="O405" s="1" t="str">
        <f t="shared" si="53"/>
        <v>No Issue</v>
      </c>
      <c r="P405" s="1" t="str">
        <f t="shared" si="54"/>
        <v>NoIssue</v>
      </c>
    </row>
    <row r="406" spans="1:16" ht="22.5" customHeight="1">
      <c r="A406" s="20">
        <v>48</v>
      </c>
      <c r="B406" s="31"/>
      <c r="C406" s="32"/>
      <c r="D406" s="1"/>
      <c r="E406" s="1"/>
      <c r="F406" s="19"/>
      <c r="G406" s="19"/>
      <c r="H406" s="19"/>
      <c r="I406" s="1"/>
      <c r="J406" s="1">
        <f t="shared" si="48"/>
        <v>0</v>
      </c>
      <c r="K406" s="19" t="str">
        <f t="shared" si="49"/>
        <v xml:space="preserve"> No Issue</v>
      </c>
      <c r="L406" s="1" t="str">
        <f t="shared" si="50"/>
        <v>No Issue</v>
      </c>
      <c r="M406" s="1" t="str">
        <f t="shared" si="51"/>
        <v>No Issue</v>
      </c>
      <c r="N406" s="1" t="str">
        <f t="shared" si="52"/>
        <v>No Issue</v>
      </c>
      <c r="O406" s="1" t="str">
        <f t="shared" si="53"/>
        <v>No Issue</v>
      </c>
      <c r="P406" s="1" t="str">
        <f t="shared" si="54"/>
        <v>NoIssue</v>
      </c>
    </row>
    <row r="407" spans="1:16" ht="22.5" customHeight="1">
      <c r="A407" s="20">
        <v>49</v>
      </c>
      <c r="B407" s="31"/>
      <c r="C407" s="32"/>
      <c r="D407" s="1"/>
      <c r="E407" s="1"/>
      <c r="F407" s="19"/>
      <c r="G407" s="19"/>
      <c r="H407" s="19"/>
      <c r="I407" s="1"/>
      <c r="J407" s="1">
        <f t="shared" si="48"/>
        <v>0</v>
      </c>
      <c r="K407" s="19" t="str">
        <f t="shared" si="49"/>
        <v xml:space="preserve"> No Issue</v>
      </c>
      <c r="L407" s="1" t="str">
        <f t="shared" si="50"/>
        <v>No Issue</v>
      </c>
      <c r="M407" s="1" t="str">
        <f t="shared" si="51"/>
        <v>No Issue</v>
      </c>
      <c r="N407" s="1" t="str">
        <f t="shared" si="52"/>
        <v>No Issue</v>
      </c>
      <c r="O407" s="1" t="str">
        <f t="shared" si="53"/>
        <v>No Issue</v>
      </c>
      <c r="P407" s="1" t="str">
        <f t="shared" si="54"/>
        <v>NoIssue</v>
      </c>
    </row>
    <row r="408" spans="1:16" ht="22.5" customHeight="1">
      <c r="A408" s="20">
        <v>50</v>
      </c>
      <c r="B408" s="31"/>
      <c r="C408" s="32"/>
      <c r="D408" s="1"/>
      <c r="E408" s="1"/>
      <c r="F408" s="19"/>
      <c r="G408" s="19"/>
      <c r="H408" s="19"/>
      <c r="I408" s="1"/>
      <c r="J408" s="1">
        <f t="shared" si="48"/>
        <v>0</v>
      </c>
      <c r="K408" s="19" t="str">
        <f t="shared" si="49"/>
        <v xml:space="preserve"> No Issue</v>
      </c>
      <c r="L408" s="1" t="str">
        <f t="shared" si="50"/>
        <v>No Issue</v>
      </c>
      <c r="M408" s="1" t="str">
        <f t="shared" si="51"/>
        <v>No Issue</v>
      </c>
      <c r="N408" s="1" t="str">
        <f t="shared" si="52"/>
        <v>No Issue</v>
      </c>
      <c r="O408" s="1" t="str">
        <f t="shared" si="53"/>
        <v>No Issue</v>
      </c>
      <c r="P408" s="1" t="str">
        <f t="shared" si="54"/>
        <v>NoIssue</v>
      </c>
    </row>
    <row r="409" spans="1:16" ht="22.5" customHeight="1">
      <c r="A409" s="20">
        <v>51</v>
      </c>
      <c r="B409" s="31"/>
      <c r="C409" s="32"/>
      <c r="D409" s="1"/>
      <c r="E409" s="1"/>
      <c r="F409" s="19"/>
      <c r="G409" s="19"/>
      <c r="H409" s="19"/>
      <c r="I409" s="1"/>
      <c r="J409" s="1">
        <f t="shared" si="48"/>
        <v>0</v>
      </c>
      <c r="K409" s="19" t="str">
        <f t="shared" si="49"/>
        <v xml:space="preserve"> No Issue</v>
      </c>
      <c r="L409" s="1" t="str">
        <f t="shared" si="50"/>
        <v>No Issue</v>
      </c>
      <c r="M409" s="1" t="str">
        <f t="shared" si="51"/>
        <v>No Issue</v>
      </c>
      <c r="N409" s="1" t="str">
        <f t="shared" si="52"/>
        <v>No Issue</v>
      </c>
      <c r="O409" s="1" t="str">
        <f t="shared" si="53"/>
        <v>No Issue</v>
      </c>
      <c r="P409" s="1" t="str">
        <f t="shared" si="54"/>
        <v>NoIssue</v>
      </c>
    </row>
    <row r="410" spans="1:16" ht="22.5" customHeight="1">
      <c r="A410" s="20">
        <v>52</v>
      </c>
      <c r="B410" s="31"/>
      <c r="C410" s="32"/>
      <c r="D410" s="1"/>
      <c r="E410" s="1"/>
      <c r="F410" s="19"/>
      <c r="G410" s="19"/>
      <c r="H410" s="19"/>
      <c r="I410" s="1"/>
      <c r="J410" s="1">
        <f t="shared" si="48"/>
        <v>0</v>
      </c>
      <c r="K410" s="19" t="str">
        <f t="shared" si="49"/>
        <v xml:space="preserve"> No Issue</v>
      </c>
      <c r="L410" s="1" t="str">
        <f t="shared" si="50"/>
        <v>No Issue</v>
      </c>
      <c r="M410" s="1" t="str">
        <f t="shared" si="51"/>
        <v>No Issue</v>
      </c>
      <c r="N410" s="1" t="str">
        <f t="shared" si="52"/>
        <v>No Issue</v>
      </c>
      <c r="O410" s="1" t="str">
        <f t="shared" si="53"/>
        <v>No Issue</v>
      </c>
      <c r="P410" s="1" t="str">
        <f t="shared" si="54"/>
        <v>NoIssue</v>
      </c>
    </row>
    <row r="411" spans="1:16" ht="22.5" customHeight="1">
      <c r="A411" s="20">
        <v>53</v>
      </c>
      <c r="B411" s="31"/>
      <c r="C411" s="32"/>
      <c r="D411" s="1"/>
      <c r="E411" s="1"/>
      <c r="F411" s="19"/>
      <c r="G411" s="19"/>
      <c r="H411" s="19"/>
      <c r="I411" s="1"/>
      <c r="J411" s="1">
        <f t="shared" si="48"/>
        <v>0</v>
      </c>
      <c r="K411" s="19" t="str">
        <f t="shared" si="49"/>
        <v xml:space="preserve"> No Issue</v>
      </c>
      <c r="L411" s="1" t="str">
        <f t="shared" si="50"/>
        <v>No Issue</v>
      </c>
      <c r="M411" s="1" t="str">
        <f t="shared" si="51"/>
        <v>No Issue</v>
      </c>
      <c r="N411" s="1" t="str">
        <f t="shared" si="52"/>
        <v>No Issue</v>
      </c>
      <c r="O411" s="1" t="str">
        <f t="shared" si="53"/>
        <v>No Issue</v>
      </c>
      <c r="P411" s="1" t="str">
        <f t="shared" si="54"/>
        <v>NoIssue</v>
      </c>
    </row>
    <row r="412" spans="1:16" ht="22.5" customHeight="1">
      <c r="A412" s="20">
        <v>54</v>
      </c>
      <c r="B412" s="30"/>
      <c r="C412" s="30"/>
      <c r="D412" s="1"/>
      <c r="E412" s="1"/>
      <c r="F412" s="19"/>
      <c r="G412" s="19"/>
      <c r="H412" s="19"/>
      <c r="I412" s="1"/>
      <c r="J412" s="1">
        <f t="shared" si="48"/>
        <v>0</v>
      </c>
      <c r="K412" s="19" t="str">
        <f t="shared" si="49"/>
        <v xml:space="preserve"> No Issue</v>
      </c>
      <c r="L412" s="1" t="str">
        <f t="shared" si="50"/>
        <v>No Issue</v>
      </c>
      <c r="M412" s="1" t="str">
        <f t="shared" si="51"/>
        <v>No Issue</v>
      </c>
      <c r="N412" s="1" t="str">
        <f t="shared" si="52"/>
        <v>No Issue</v>
      </c>
      <c r="O412" s="1" t="str">
        <f t="shared" si="53"/>
        <v>No Issue</v>
      </c>
      <c r="P412" s="1" t="str">
        <f t="shared" si="54"/>
        <v>NoIssue</v>
      </c>
    </row>
    <row r="413" spans="1:16" ht="22.5" customHeight="1">
      <c r="A413" s="20">
        <v>55</v>
      </c>
      <c r="B413" s="31"/>
      <c r="C413" s="32"/>
      <c r="D413" s="1"/>
      <c r="E413" s="1"/>
      <c r="F413" s="19"/>
      <c r="G413" s="19"/>
      <c r="H413" s="19"/>
      <c r="I413" s="1"/>
      <c r="J413" s="1">
        <f t="shared" si="48"/>
        <v>0</v>
      </c>
      <c r="K413" s="19" t="str">
        <f t="shared" si="49"/>
        <v xml:space="preserve"> No Issue</v>
      </c>
      <c r="L413" s="1" t="str">
        <f t="shared" si="50"/>
        <v>No Issue</v>
      </c>
      <c r="M413" s="1" t="str">
        <f t="shared" si="51"/>
        <v>No Issue</v>
      </c>
      <c r="N413" s="1" t="str">
        <f t="shared" si="52"/>
        <v>No Issue</v>
      </c>
      <c r="O413" s="1" t="str">
        <f t="shared" si="53"/>
        <v>No Issue</v>
      </c>
      <c r="P413" s="1" t="str">
        <f t="shared" si="54"/>
        <v>NoIssue</v>
      </c>
    </row>
    <row r="414" spans="1:16" ht="22.5" customHeight="1">
      <c r="A414" s="20">
        <v>56</v>
      </c>
      <c r="B414" s="31"/>
      <c r="C414" s="32"/>
      <c r="D414" s="1"/>
      <c r="E414" s="1"/>
      <c r="F414" s="19"/>
      <c r="G414" s="19"/>
      <c r="H414" s="19"/>
      <c r="I414" s="1"/>
      <c r="J414" s="1">
        <f t="shared" si="48"/>
        <v>0</v>
      </c>
      <c r="K414" s="19" t="str">
        <f t="shared" si="49"/>
        <v xml:space="preserve"> No Issue</v>
      </c>
      <c r="L414" s="1" t="str">
        <f t="shared" si="50"/>
        <v>No Issue</v>
      </c>
      <c r="M414" s="1" t="str">
        <f t="shared" si="51"/>
        <v>No Issue</v>
      </c>
      <c r="N414" s="1" t="str">
        <f t="shared" si="52"/>
        <v>No Issue</v>
      </c>
      <c r="O414" s="1" t="str">
        <f t="shared" si="53"/>
        <v>No Issue</v>
      </c>
      <c r="P414" s="1" t="str">
        <f t="shared" si="54"/>
        <v>NoIssue</v>
      </c>
    </row>
    <row r="415" spans="1:16" ht="22.5" customHeight="1">
      <c r="A415" s="20"/>
      <c r="B415" s="1" t="s">
        <v>62</v>
      </c>
      <c r="C415" s="31"/>
      <c r="D415" s="1">
        <f t="shared" ref="D415:I415" si="55">SUMPRODUCT(D359:D414,$C359:$C414)</f>
        <v>0</v>
      </c>
      <c r="E415" s="1">
        <f t="shared" si="55"/>
        <v>0</v>
      </c>
      <c r="F415" s="1">
        <f t="shared" si="55"/>
        <v>0</v>
      </c>
      <c r="G415" s="1">
        <f t="shared" si="55"/>
        <v>0</v>
      </c>
      <c r="H415" s="1">
        <f t="shared" si="55"/>
        <v>0</v>
      </c>
      <c r="I415" s="1">
        <f t="shared" si="55"/>
        <v>0</v>
      </c>
      <c r="J415" s="1">
        <f t="shared" si="48"/>
        <v>0</v>
      </c>
      <c r="K415" s="19" t="str">
        <f t="shared" si="49"/>
        <v xml:space="preserve"> No Issue</v>
      </c>
      <c r="L415" s="1" t="str">
        <f t="shared" si="50"/>
        <v>No Issue</v>
      </c>
      <c r="M415" s="1" t="str">
        <f t="shared" si="51"/>
        <v>No Issue</v>
      </c>
      <c r="N415" s="1" t="str">
        <f t="shared" si="52"/>
        <v>No Issue</v>
      </c>
      <c r="O415" s="1" t="str">
        <f t="shared" si="53"/>
        <v>No Issue</v>
      </c>
      <c r="P415" s="1" t="str">
        <f t="shared" si="54"/>
        <v>NoIssue</v>
      </c>
    </row>
    <row r="416" spans="1:16" ht="22.5" customHeight="1">
      <c r="A416" s="8"/>
      <c r="B416" s="9" t="s">
        <v>3</v>
      </c>
      <c r="C416" s="10"/>
      <c r="D416" s="11"/>
      <c r="E416" s="9"/>
      <c r="F416" s="12"/>
      <c r="G416" s="46"/>
      <c r="H416" s="47"/>
      <c r="I416" s="12"/>
      <c r="J416" s="13"/>
      <c r="K416" s="48" t="s">
        <v>4</v>
      </c>
      <c r="L416" s="49"/>
      <c r="M416" s="49"/>
      <c r="N416" s="49"/>
      <c r="O416" s="49"/>
      <c r="P416" s="50"/>
    </row>
    <row r="417" spans="1:16" ht="22.5" customHeight="1">
      <c r="A417" s="35" t="s">
        <v>5</v>
      </c>
      <c r="B417" s="19" t="s">
        <v>6</v>
      </c>
      <c r="C417" s="19" t="s">
        <v>7</v>
      </c>
      <c r="D417" s="18" t="s">
        <v>8</v>
      </c>
      <c r="E417" s="18" t="s">
        <v>9</v>
      </c>
      <c r="F417" s="18" t="s">
        <v>10</v>
      </c>
      <c r="G417" s="18" t="s">
        <v>11</v>
      </c>
      <c r="H417" s="18" t="s">
        <v>12</v>
      </c>
      <c r="I417" s="18" t="s">
        <v>13</v>
      </c>
      <c r="J417" s="18" t="s">
        <v>14</v>
      </c>
      <c r="K417" s="19" t="s">
        <v>15</v>
      </c>
      <c r="L417" s="19" t="s">
        <v>16</v>
      </c>
      <c r="M417" s="19" t="s">
        <v>17</v>
      </c>
      <c r="N417" s="19" t="s">
        <v>18</v>
      </c>
      <c r="O417" s="19" t="s">
        <v>19</v>
      </c>
      <c r="P417" s="19" t="s">
        <v>20</v>
      </c>
    </row>
    <row r="418" spans="1:16" ht="22.5" customHeight="1">
      <c r="A418" s="20">
        <v>1</v>
      </c>
      <c r="B418" s="21" t="s">
        <v>21</v>
      </c>
      <c r="C418" s="22">
        <v>192.17</v>
      </c>
      <c r="D418" s="1"/>
      <c r="E418" s="1"/>
      <c r="F418" s="1"/>
      <c r="G418" s="1"/>
      <c r="H418" s="1"/>
      <c r="I418" s="1"/>
      <c r="J418" s="1">
        <f t="shared" ref="J418:J474" si="56">D418+E418-F418-G418+H418</f>
        <v>0</v>
      </c>
      <c r="K418" s="19" t="str">
        <f t="shared" ref="K418:K474" si="57">IF(I418&lt;&gt;(D418+E418-F418-G418+H418),"Closing stock Not Correct-Problem"," No Issue")</f>
        <v xml:space="preserve"> No Issue</v>
      </c>
      <c r="L418" s="1" t="str">
        <f t="shared" ref="L418:L474" si="58">IF((D418+E418)&lt;F418,"High Sale and Less Stock-Problem","No Issue")</f>
        <v>No Issue</v>
      </c>
      <c r="M418" s="1" t="str">
        <f t="shared" ref="M418:M474" si="59">IF(AND((D418+E418+I418)=0,F418&gt;0),"No Stock Sale Present Problem","No Issue")</f>
        <v>No Issue</v>
      </c>
      <c r="N418" s="1" t="str">
        <f t="shared" ref="N418:N474" si="60">IF(AND(SUM(D418:H418)=0,I418&gt;0),"Only Closing Entered Other Parameters No Entired Problem","No Issue")</f>
        <v>No Issue</v>
      </c>
      <c r="O418" s="1" t="str">
        <f t="shared" ref="O418:O474" si="61">IF(F418&gt;5000,"Check Once Sales quantity or Value Problem","No Issue")</f>
        <v>No Issue</v>
      </c>
      <c r="P418" s="1" t="str">
        <f t="shared" ref="P418:P474" si="62">IF(I418&gt;5000,"Check Once Closing quantity or Value Problem","NoIssue")</f>
        <v>NoIssue</v>
      </c>
    </row>
    <row r="419" spans="1:16" ht="22.5" customHeight="1">
      <c r="A419" s="20">
        <v>2</v>
      </c>
      <c r="B419" s="21" t="s">
        <v>22</v>
      </c>
      <c r="C419" s="22">
        <v>9.26</v>
      </c>
      <c r="D419" s="1"/>
      <c r="E419" s="1"/>
      <c r="F419" s="1"/>
      <c r="G419" s="1"/>
      <c r="H419" s="1"/>
      <c r="I419" s="1"/>
      <c r="J419" s="1">
        <f t="shared" si="56"/>
        <v>0</v>
      </c>
      <c r="K419" s="19" t="str">
        <f t="shared" si="57"/>
        <v xml:space="preserve"> No Issue</v>
      </c>
      <c r="L419" s="1" t="str">
        <f t="shared" si="58"/>
        <v>No Issue</v>
      </c>
      <c r="M419" s="1" t="str">
        <f t="shared" si="59"/>
        <v>No Issue</v>
      </c>
      <c r="N419" s="1" t="str">
        <f t="shared" si="60"/>
        <v>No Issue</v>
      </c>
      <c r="O419" s="1" t="str">
        <f t="shared" si="61"/>
        <v>No Issue</v>
      </c>
      <c r="P419" s="1" t="str">
        <f t="shared" si="62"/>
        <v>NoIssue</v>
      </c>
    </row>
    <row r="420" spans="1:16" ht="22.5" customHeight="1">
      <c r="A420" s="20">
        <v>3</v>
      </c>
      <c r="B420" s="21" t="s">
        <v>23</v>
      </c>
      <c r="C420" s="22">
        <v>87.79</v>
      </c>
      <c r="D420" s="1"/>
      <c r="E420" s="1"/>
      <c r="F420" s="1"/>
      <c r="G420" s="1"/>
      <c r="H420" s="1"/>
      <c r="I420" s="1"/>
      <c r="J420" s="1">
        <f t="shared" si="56"/>
        <v>0</v>
      </c>
      <c r="K420" s="19" t="str">
        <f t="shared" si="57"/>
        <v xml:space="preserve"> No Issue</v>
      </c>
      <c r="L420" s="1" t="str">
        <f t="shared" si="58"/>
        <v>No Issue</v>
      </c>
      <c r="M420" s="1" t="str">
        <f t="shared" si="59"/>
        <v>No Issue</v>
      </c>
      <c r="N420" s="1" t="str">
        <f t="shared" si="60"/>
        <v>No Issue</v>
      </c>
      <c r="O420" s="1" t="str">
        <f t="shared" si="61"/>
        <v>No Issue</v>
      </c>
      <c r="P420" s="1" t="str">
        <f t="shared" si="62"/>
        <v>NoIssue</v>
      </c>
    </row>
    <row r="421" spans="1:16" ht="22.5" customHeight="1">
      <c r="A421" s="20">
        <v>4</v>
      </c>
      <c r="B421" s="21" t="s">
        <v>24</v>
      </c>
      <c r="C421" s="22">
        <v>55.55</v>
      </c>
      <c r="D421" s="1"/>
      <c r="E421" s="1"/>
      <c r="F421" s="1"/>
      <c r="G421" s="1"/>
      <c r="H421" s="1"/>
      <c r="I421" s="1"/>
      <c r="J421" s="1">
        <f t="shared" si="56"/>
        <v>0</v>
      </c>
      <c r="K421" s="19" t="str">
        <f t="shared" si="57"/>
        <v xml:space="preserve"> No Issue</v>
      </c>
      <c r="L421" s="1" t="str">
        <f t="shared" si="58"/>
        <v>No Issue</v>
      </c>
      <c r="M421" s="1" t="str">
        <f t="shared" si="59"/>
        <v>No Issue</v>
      </c>
      <c r="N421" s="1" t="str">
        <f t="shared" si="60"/>
        <v>No Issue</v>
      </c>
      <c r="O421" s="1" t="str">
        <f t="shared" si="61"/>
        <v>No Issue</v>
      </c>
      <c r="P421" s="1" t="str">
        <f t="shared" si="62"/>
        <v>NoIssue</v>
      </c>
    </row>
    <row r="422" spans="1:16" ht="22.5" customHeight="1">
      <c r="A422" s="20">
        <v>5</v>
      </c>
      <c r="B422" s="21" t="s">
        <v>25</v>
      </c>
      <c r="C422" s="22">
        <v>70.010000000000005</v>
      </c>
      <c r="D422" s="1"/>
      <c r="E422" s="1"/>
      <c r="F422" s="1"/>
      <c r="G422" s="1"/>
      <c r="H422" s="1"/>
      <c r="I422" s="1"/>
      <c r="J422" s="1">
        <f t="shared" si="56"/>
        <v>0</v>
      </c>
      <c r="K422" s="19" t="str">
        <f t="shared" si="57"/>
        <v xml:space="preserve"> No Issue</v>
      </c>
      <c r="L422" s="1" t="str">
        <f t="shared" si="58"/>
        <v>No Issue</v>
      </c>
      <c r="M422" s="1" t="str">
        <f t="shared" si="59"/>
        <v>No Issue</v>
      </c>
      <c r="N422" s="1" t="str">
        <f t="shared" si="60"/>
        <v>No Issue</v>
      </c>
      <c r="O422" s="1" t="str">
        <f t="shared" si="61"/>
        <v>No Issue</v>
      </c>
      <c r="P422" s="1" t="str">
        <f t="shared" si="62"/>
        <v>NoIssue</v>
      </c>
    </row>
    <row r="423" spans="1:16" ht="22.5" customHeight="1">
      <c r="A423" s="20">
        <v>6</v>
      </c>
      <c r="B423" s="25" t="s">
        <v>26</v>
      </c>
      <c r="C423" s="22">
        <v>73.929999999999993</v>
      </c>
      <c r="D423" s="1"/>
      <c r="E423" s="1"/>
      <c r="F423" s="1"/>
      <c r="G423" s="1"/>
      <c r="H423" s="1"/>
      <c r="I423" s="1"/>
      <c r="J423" s="1">
        <f t="shared" si="56"/>
        <v>0</v>
      </c>
      <c r="K423" s="19" t="str">
        <f t="shared" si="57"/>
        <v xml:space="preserve"> No Issue</v>
      </c>
      <c r="L423" s="1" t="str">
        <f t="shared" si="58"/>
        <v>No Issue</v>
      </c>
      <c r="M423" s="1" t="str">
        <f t="shared" si="59"/>
        <v>No Issue</v>
      </c>
      <c r="N423" s="1" t="str">
        <f t="shared" si="60"/>
        <v>No Issue</v>
      </c>
      <c r="O423" s="1" t="str">
        <f t="shared" si="61"/>
        <v>No Issue</v>
      </c>
      <c r="P423" s="1" t="str">
        <f t="shared" si="62"/>
        <v>NoIssue</v>
      </c>
    </row>
    <row r="424" spans="1:16" ht="22.5" customHeight="1">
      <c r="A424" s="20">
        <v>7</v>
      </c>
      <c r="B424" s="21" t="s">
        <v>27</v>
      </c>
      <c r="C424" s="26">
        <v>13.91</v>
      </c>
      <c r="D424" s="1"/>
      <c r="E424" s="1"/>
      <c r="F424" s="1"/>
      <c r="G424" s="1"/>
      <c r="H424" s="1"/>
      <c r="I424" s="1"/>
      <c r="J424" s="1">
        <f t="shared" si="56"/>
        <v>0</v>
      </c>
      <c r="K424" s="19" t="str">
        <f t="shared" si="57"/>
        <v xml:space="preserve"> No Issue</v>
      </c>
      <c r="L424" s="1" t="str">
        <f t="shared" si="58"/>
        <v>No Issue</v>
      </c>
      <c r="M424" s="1" t="str">
        <f t="shared" si="59"/>
        <v>No Issue</v>
      </c>
      <c r="N424" s="1" t="str">
        <f t="shared" si="60"/>
        <v>No Issue</v>
      </c>
      <c r="O424" s="1" t="str">
        <f t="shared" si="61"/>
        <v>No Issue</v>
      </c>
      <c r="P424" s="1" t="str">
        <f t="shared" si="62"/>
        <v>NoIssue</v>
      </c>
    </row>
    <row r="425" spans="1:16" ht="22.5" customHeight="1">
      <c r="A425" s="20">
        <v>8</v>
      </c>
      <c r="B425" s="21" t="s">
        <v>28</v>
      </c>
      <c r="C425" s="26">
        <v>19.5</v>
      </c>
      <c r="D425" s="1"/>
      <c r="E425" s="1"/>
      <c r="F425" s="1"/>
      <c r="G425" s="1"/>
      <c r="H425" s="1"/>
      <c r="I425" s="1"/>
      <c r="J425" s="1">
        <f t="shared" si="56"/>
        <v>0</v>
      </c>
      <c r="K425" s="19" t="str">
        <f t="shared" si="57"/>
        <v xml:space="preserve"> No Issue</v>
      </c>
      <c r="L425" s="1" t="str">
        <f t="shared" si="58"/>
        <v>No Issue</v>
      </c>
      <c r="M425" s="1" t="str">
        <f t="shared" si="59"/>
        <v>No Issue</v>
      </c>
      <c r="N425" s="1" t="str">
        <f t="shared" si="60"/>
        <v>No Issue</v>
      </c>
      <c r="O425" s="1" t="str">
        <f t="shared" si="61"/>
        <v>No Issue</v>
      </c>
      <c r="P425" s="1" t="str">
        <f t="shared" si="62"/>
        <v>NoIssue</v>
      </c>
    </row>
    <row r="426" spans="1:16" ht="22.5" customHeight="1">
      <c r="A426" s="20">
        <v>9</v>
      </c>
      <c r="B426" s="21" t="s">
        <v>29</v>
      </c>
      <c r="C426" s="26">
        <v>28.83</v>
      </c>
      <c r="D426" s="1"/>
      <c r="E426" s="1"/>
      <c r="F426" s="1"/>
      <c r="G426" s="1"/>
      <c r="H426" s="1"/>
      <c r="I426" s="1"/>
      <c r="J426" s="1">
        <f t="shared" si="56"/>
        <v>0</v>
      </c>
      <c r="K426" s="19" t="str">
        <f t="shared" si="57"/>
        <v xml:space="preserve"> No Issue</v>
      </c>
      <c r="L426" s="1" t="str">
        <f t="shared" si="58"/>
        <v>No Issue</v>
      </c>
      <c r="M426" s="1" t="str">
        <f t="shared" si="59"/>
        <v>No Issue</v>
      </c>
      <c r="N426" s="1" t="str">
        <f t="shared" si="60"/>
        <v>No Issue</v>
      </c>
      <c r="O426" s="1" t="str">
        <f t="shared" si="61"/>
        <v>No Issue</v>
      </c>
      <c r="P426" s="1" t="str">
        <f t="shared" si="62"/>
        <v>NoIssue</v>
      </c>
    </row>
    <row r="427" spans="1:16" ht="22.5" customHeight="1">
      <c r="A427" s="20">
        <v>10</v>
      </c>
      <c r="B427" s="21" t="s">
        <v>30</v>
      </c>
      <c r="C427" s="26">
        <v>8.51</v>
      </c>
      <c r="D427" s="1"/>
      <c r="E427" s="1"/>
      <c r="F427" s="1"/>
      <c r="G427" s="1"/>
      <c r="H427" s="1"/>
      <c r="I427" s="1"/>
      <c r="J427" s="1">
        <f t="shared" si="56"/>
        <v>0</v>
      </c>
      <c r="K427" s="19" t="str">
        <f t="shared" si="57"/>
        <v xml:space="preserve"> No Issue</v>
      </c>
      <c r="L427" s="1" t="str">
        <f t="shared" si="58"/>
        <v>No Issue</v>
      </c>
      <c r="M427" s="1" t="str">
        <f t="shared" si="59"/>
        <v>No Issue</v>
      </c>
      <c r="N427" s="1" t="str">
        <f t="shared" si="60"/>
        <v>No Issue</v>
      </c>
      <c r="O427" s="1" t="str">
        <f t="shared" si="61"/>
        <v>No Issue</v>
      </c>
      <c r="P427" s="1" t="str">
        <f t="shared" si="62"/>
        <v>NoIssue</v>
      </c>
    </row>
    <row r="428" spans="1:16" ht="22.5" customHeight="1">
      <c r="A428" s="20">
        <v>11</v>
      </c>
      <c r="B428" s="21" t="s">
        <v>31</v>
      </c>
      <c r="C428" s="26">
        <v>102.17</v>
      </c>
      <c r="D428" s="1"/>
      <c r="E428" s="1"/>
      <c r="F428" s="1"/>
      <c r="G428" s="1"/>
      <c r="H428" s="1"/>
      <c r="I428" s="1"/>
      <c r="J428" s="1">
        <f t="shared" si="56"/>
        <v>0</v>
      </c>
      <c r="K428" s="19" t="str">
        <f t="shared" si="57"/>
        <v xml:space="preserve"> No Issue</v>
      </c>
      <c r="L428" s="1" t="str">
        <f t="shared" si="58"/>
        <v>No Issue</v>
      </c>
      <c r="M428" s="1" t="str">
        <f t="shared" si="59"/>
        <v>No Issue</v>
      </c>
      <c r="N428" s="1" t="str">
        <f t="shared" si="60"/>
        <v>No Issue</v>
      </c>
      <c r="O428" s="1" t="str">
        <f t="shared" si="61"/>
        <v>No Issue</v>
      </c>
      <c r="P428" s="1" t="str">
        <f t="shared" si="62"/>
        <v>NoIssue</v>
      </c>
    </row>
    <row r="429" spans="1:16" ht="22.5" customHeight="1">
      <c r="A429" s="20">
        <v>12</v>
      </c>
      <c r="B429" s="21" t="s">
        <v>32</v>
      </c>
      <c r="C429" s="26">
        <v>59.93</v>
      </c>
      <c r="D429" s="1"/>
      <c r="E429" s="1"/>
      <c r="F429" s="1"/>
      <c r="G429" s="1"/>
      <c r="H429" s="1"/>
      <c r="I429" s="1"/>
      <c r="J429" s="1">
        <f t="shared" si="56"/>
        <v>0</v>
      </c>
      <c r="K429" s="19" t="str">
        <f t="shared" si="57"/>
        <v xml:space="preserve"> No Issue</v>
      </c>
      <c r="L429" s="1" t="str">
        <f t="shared" si="58"/>
        <v>No Issue</v>
      </c>
      <c r="M429" s="1" t="str">
        <f t="shared" si="59"/>
        <v>No Issue</v>
      </c>
      <c r="N429" s="1" t="str">
        <f t="shared" si="60"/>
        <v>No Issue</v>
      </c>
      <c r="O429" s="1" t="str">
        <f t="shared" si="61"/>
        <v>No Issue</v>
      </c>
      <c r="P429" s="1" t="str">
        <f t="shared" si="62"/>
        <v>NoIssue</v>
      </c>
    </row>
    <row r="430" spans="1:16" ht="22.5" customHeight="1">
      <c r="A430" s="20">
        <v>13</v>
      </c>
      <c r="B430" s="21" t="s">
        <v>33</v>
      </c>
      <c r="C430" s="26">
        <v>118</v>
      </c>
      <c r="D430" s="1"/>
      <c r="E430" s="1"/>
      <c r="F430" s="1"/>
      <c r="G430" s="1"/>
      <c r="H430" s="1"/>
      <c r="I430" s="1"/>
      <c r="J430" s="1">
        <f t="shared" si="56"/>
        <v>0</v>
      </c>
      <c r="K430" s="19" t="str">
        <f t="shared" si="57"/>
        <v xml:space="preserve"> No Issue</v>
      </c>
      <c r="L430" s="1" t="str">
        <f t="shared" si="58"/>
        <v>No Issue</v>
      </c>
      <c r="M430" s="1" t="str">
        <f t="shared" si="59"/>
        <v>No Issue</v>
      </c>
      <c r="N430" s="1" t="str">
        <f t="shared" si="60"/>
        <v>No Issue</v>
      </c>
      <c r="O430" s="1" t="str">
        <f t="shared" si="61"/>
        <v>No Issue</v>
      </c>
      <c r="P430" s="1" t="str">
        <f t="shared" si="62"/>
        <v>NoIssue</v>
      </c>
    </row>
    <row r="431" spans="1:16" ht="22.5" customHeight="1">
      <c r="A431" s="20">
        <v>14</v>
      </c>
      <c r="B431" s="21" t="s">
        <v>34</v>
      </c>
      <c r="C431" s="26">
        <v>52.83</v>
      </c>
      <c r="D431" s="1"/>
      <c r="E431" s="1"/>
      <c r="F431" s="1"/>
      <c r="G431" s="1"/>
      <c r="H431" s="1"/>
      <c r="I431" s="1"/>
      <c r="J431" s="1">
        <f t="shared" si="56"/>
        <v>0</v>
      </c>
      <c r="K431" s="19" t="str">
        <f t="shared" si="57"/>
        <v xml:space="preserve"> No Issue</v>
      </c>
      <c r="L431" s="1" t="str">
        <f t="shared" si="58"/>
        <v>No Issue</v>
      </c>
      <c r="M431" s="1" t="str">
        <f t="shared" si="59"/>
        <v>No Issue</v>
      </c>
      <c r="N431" s="1" t="str">
        <f t="shared" si="60"/>
        <v>No Issue</v>
      </c>
      <c r="O431" s="1" t="str">
        <f t="shared" si="61"/>
        <v>No Issue</v>
      </c>
      <c r="P431" s="1" t="str">
        <f t="shared" si="62"/>
        <v>NoIssue</v>
      </c>
    </row>
    <row r="432" spans="1:16" ht="22.5" customHeight="1">
      <c r="A432" s="20">
        <v>15</v>
      </c>
      <c r="B432" s="21" t="s">
        <v>35</v>
      </c>
      <c r="C432" s="26">
        <v>93.2</v>
      </c>
      <c r="D432" s="1"/>
      <c r="E432" s="1"/>
      <c r="F432" s="1"/>
      <c r="G432" s="1"/>
      <c r="H432" s="1"/>
      <c r="I432" s="1"/>
      <c r="J432" s="1">
        <f t="shared" si="56"/>
        <v>0</v>
      </c>
      <c r="K432" s="19" t="str">
        <f t="shared" si="57"/>
        <v xml:space="preserve"> No Issue</v>
      </c>
      <c r="L432" s="1" t="str">
        <f t="shared" si="58"/>
        <v>No Issue</v>
      </c>
      <c r="M432" s="1" t="str">
        <f t="shared" si="59"/>
        <v>No Issue</v>
      </c>
      <c r="N432" s="1" t="str">
        <f t="shared" si="60"/>
        <v>No Issue</v>
      </c>
      <c r="O432" s="1" t="str">
        <f t="shared" si="61"/>
        <v>No Issue</v>
      </c>
      <c r="P432" s="1" t="str">
        <f t="shared" si="62"/>
        <v>NoIssue</v>
      </c>
    </row>
    <row r="433" spans="1:16" ht="22.5" customHeight="1">
      <c r="A433" s="20">
        <v>16</v>
      </c>
      <c r="B433" s="21" t="s">
        <v>36</v>
      </c>
      <c r="C433" s="26">
        <v>61.02</v>
      </c>
      <c r="D433" s="1"/>
      <c r="E433" s="1"/>
      <c r="F433" s="1"/>
      <c r="G433" s="1"/>
      <c r="H433" s="1"/>
      <c r="I433" s="1"/>
      <c r="J433" s="1">
        <f t="shared" si="56"/>
        <v>0</v>
      </c>
      <c r="K433" s="19" t="str">
        <f t="shared" si="57"/>
        <v xml:space="preserve"> No Issue</v>
      </c>
      <c r="L433" s="1" t="str">
        <f t="shared" si="58"/>
        <v>No Issue</v>
      </c>
      <c r="M433" s="1" t="str">
        <f t="shared" si="59"/>
        <v>No Issue</v>
      </c>
      <c r="N433" s="1" t="str">
        <f t="shared" si="60"/>
        <v>No Issue</v>
      </c>
      <c r="O433" s="1" t="str">
        <f t="shared" si="61"/>
        <v>No Issue</v>
      </c>
      <c r="P433" s="1" t="str">
        <f t="shared" si="62"/>
        <v>NoIssue</v>
      </c>
    </row>
    <row r="434" spans="1:16" ht="22.5" customHeight="1">
      <c r="A434" s="20">
        <v>17</v>
      </c>
      <c r="B434" s="21" t="s">
        <v>37</v>
      </c>
      <c r="C434" s="26">
        <v>36.619999999999997</v>
      </c>
      <c r="D434" s="1"/>
      <c r="E434" s="1"/>
      <c r="F434" s="1"/>
      <c r="G434" s="1"/>
      <c r="H434" s="1"/>
      <c r="I434" s="1"/>
      <c r="J434" s="1">
        <f t="shared" si="56"/>
        <v>0</v>
      </c>
      <c r="K434" s="19" t="str">
        <f t="shared" si="57"/>
        <v xml:space="preserve"> No Issue</v>
      </c>
      <c r="L434" s="1" t="str">
        <f t="shared" si="58"/>
        <v>No Issue</v>
      </c>
      <c r="M434" s="1" t="str">
        <f t="shared" si="59"/>
        <v>No Issue</v>
      </c>
      <c r="N434" s="1" t="str">
        <f t="shared" si="60"/>
        <v>No Issue</v>
      </c>
      <c r="O434" s="1" t="str">
        <f t="shared" si="61"/>
        <v>No Issue</v>
      </c>
      <c r="P434" s="1" t="str">
        <f t="shared" si="62"/>
        <v>NoIssue</v>
      </c>
    </row>
    <row r="435" spans="1:16" ht="22.5" customHeight="1">
      <c r="A435" s="20">
        <v>18</v>
      </c>
      <c r="B435" s="21" t="s">
        <v>38</v>
      </c>
      <c r="C435" s="26">
        <v>80.36</v>
      </c>
      <c r="D435" s="1"/>
      <c r="E435" s="1"/>
      <c r="F435" s="1"/>
      <c r="G435" s="1"/>
      <c r="H435" s="1"/>
      <c r="I435" s="1"/>
      <c r="J435" s="1">
        <f t="shared" si="56"/>
        <v>0</v>
      </c>
      <c r="K435" s="19" t="str">
        <f t="shared" si="57"/>
        <v xml:space="preserve"> No Issue</v>
      </c>
      <c r="L435" s="1" t="str">
        <f t="shared" si="58"/>
        <v>No Issue</v>
      </c>
      <c r="M435" s="1" t="str">
        <f t="shared" si="59"/>
        <v>No Issue</v>
      </c>
      <c r="N435" s="1" t="str">
        <f t="shared" si="60"/>
        <v>No Issue</v>
      </c>
      <c r="O435" s="1" t="str">
        <f t="shared" si="61"/>
        <v>No Issue</v>
      </c>
      <c r="P435" s="1" t="str">
        <f t="shared" si="62"/>
        <v>NoIssue</v>
      </c>
    </row>
    <row r="436" spans="1:16" ht="22.5" customHeight="1">
      <c r="A436" s="20">
        <v>19</v>
      </c>
      <c r="B436" s="21" t="s">
        <v>39</v>
      </c>
      <c r="C436" s="26">
        <v>160.56</v>
      </c>
      <c r="D436" s="1"/>
      <c r="E436" s="1"/>
      <c r="F436" s="1"/>
      <c r="G436" s="1"/>
      <c r="H436" s="1"/>
      <c r="I436" s="1"/>
      <c r="J436" s="1">
        <f t="shared" si="56"/>
        <v>0</v>
      </c>
      <c r="K436" s="19" t="str">
        <f t="shared" si="57"/>
        <v xml:space="preserve"> No Issue</v>
      </c>
      <c r="L436" s="1" t="str">
        <f t="shared" si="58"/>
        <v>No Issue</v>
      </c>
      <c r="M436" s="1" t="str">
        <f t="shared" si="59"/>
        <v>No Issue</v>
      </c>
      <c r="N436" s="1" t="str">
        <f t="shared" si="60"/>
        <v>No Issue</v>
      </c>
      <c r="O436" s="1" t="str">
        <f t="shared" si="61"/>
        <v>No Issue</v>
      </c>
      <c r="P436" s="1" t="str">
        <f t="shared" si="62"/>
        <v>NoIssue</v>
      </c>
    </row>
    <row r="437" spans="1:16" ht="22.5" customHeight="1">
      <c r="A437" s="20">
        <v>20</v>
      </c>
      <c r="B437" s="21" t="s">
        <v>40</v>
      </c>
      <c r="C437" s="26">
        <v>186.44</v>
      </c>
      <c r="D437" s="1"/>
      <c r="E437" s="1"/>
      <c r="F437" s="1"/>
      <c r="G437" s="1"/>
      <c r="H437" s="1"/>
      <c r="I437" s="1"/>
      <c r="J437" s="1">
        <f t="shared" si="56"/>
        <v>0</v>
      </c>
      <c r="K437" s="19" t="str">
        <f t="shared" si="57"/>
        <v xml:space="preserve"> No Issue</v>
      </c>
      <c r="L437" s="1" t="str">
        <f t="shared" si="58"/>
        <v>No Issue</v>
      </c>
      <c r="M437" s="1" t="str">
        <f t="shared" si="59"/>
        <v>No Issue</v>
      </c>
      <c r="N437" s="1" t="str">
        <f t="shared" si="60"/>
        <v>No Issue</v>
      </c>
      <c r="O437" s="1" t="str">
        <f t="shared" si="61"/>
        <v>No Issue</v>
      </c>
      <c r="P437" s="1" t="str">
        <f t="shared" si="62"/>
        <v>NoIssue</v>
      </c>
    </row>
    <row r="438" spans="1:16" ht="22.5" customHeight="1">
      <c r="A438" s="20">
        <v>21</v>
      </c>
      <c r="B438" s="21" t="s">
        <v>41</v>
      </c>
      <c r="C438" s="26">
        <v>92.59</v>
      </c>
      <c r="D438" s="1"/>
      <c r="E438" s="1"/>
      <c r="F438" s="1"/>
      <c r="G438" s="1"/>
      <c r="H438" s="1"/>
      <c r="I438" s="1"/>
      <c r="J438" s="1">
        <f t="shared" si="56"/>
        <v>0</v>
      </c>
      <c r="K438" s="19" t="str">
        <f t="shared" si="57"/>
        <v xml:space="preserve"> No Issue</v>
      </c>
      <c r="L438" s="1" t="str">
        <f t="shared" si="58"/>
        <v>No Issue</v>
      </c>
      <c r="M438" s="1" t="str">
        <f t="shared" si="59"/>
        <v>No Issue</v>
      </c>
      <c r="N438" s="1" t="str">
        <f t="shared" si="60"/>
        <v>No Issue</v>
      </c>
      <c r="O438" s="1" t="str">
        <f t="shared" si="61"/>
        <v>No Issue</v>
      </c>
      <c r="P438" s="1" t="str">
        <f t="shared" si="62"/>
        <v>NoIssue</v>
      </c>
    </row>
    <row r="439" spans="1:16" ht="22.5" customHeight="1">
      <c r="A439" s="20">
        <v>22</v>
      </c>
      <c r="B439" s="21" t="s">
        <v>42</v>
      </c>
      <c r="C439" s="26">
        <v>95.17</v>
      </c>
      <c r="D439" s="1"/>
      <c r="E439" s="1"/>
      <c r="F439" s="1"/>
      <c r="G439" s="1"/>
      <c r="H439" s="1"/>
      <c r="I439" s="1"/>
      <c r="J439" s="1">
        <f t="shared" si="56"/>
        <v>0</v>
      </c>
      <c r="K439" s="19" t="str">
        <f t="shared" si="57"/>
        <v xml:space="preserve"> No Issue</v>
      </c>
      <c r="L439" s="1" t="str">
        <f t="shared" si="58"/>
        <v>No Issue</v>
      </c>
      <c r="M439" s="1" t="str">
        <f t="shared" si="59"/>
        <v>No Issue</v>
      </c>
      <c r="N439" s="1" t="str">
        <f t="shared" si="60"/>
        <v>No Issue</v>
      </c>
      <c r="O439" s="1" t="str">
        <f t="shared" si="61"/>
        <v>No Issue</v>
      </c>
      <c r="P439" s="1" t="str">
        <f t="shared" si="62"/>
        <v>NoIssue</v>
      </c>
    </row>
    <row r="440" spans="1:16" ht="22.5" customHeight="1">
      <c r="A440" s="20">
        <v>23</v>
      </c>
      <c r="B440" s="21" t="s">
        <v>43</v>
      </c>
      <c r="C440" s="26">
        <v>92.94</v>
      </c>
      <c r="D440" s="1"/>
      <c r="E440" s="1"/>
      <c r="F440" s="1"/>
      <c r="G440" s="1"/>
      <c r="H440" s="1"/>
      <c r="I440" s="1"/>
      <c r="J440" s="1">
        <f t="shared" si="56"/>
        <v>0</v>
      </c>
      <c r="K440" s="19" t="str">
        <f t="shared" si="57"/>
        <v xml:space="preserve"> No Issue</v>
      </c>
      <c r="L440" s="1" t="str">
        <f t="shared" si="58"/>
        <v>No Issue</v>
      </c>
      <c r="M440" s="1" t="str">
        <f t="shared" si="59"/>
        <v>No Issue</v>
      </c>
      <c r="N440" s="1" t="str">
        <f t="shared" si="60"/>
        <v>No Issue</v>
      </c>
      <c r="O440" s="1" t="str">
        <f t="shared" si="61"/>
        <v>No Issue</v>
      </c>
      <c r="P440" s="1" t="str">
        <f t="shared" si="62"/>
        <v>NoIssue</v>
      </c>
    </row>
    <row r="441" spans="1:16" ht="22.5" customHeight="1">
      <c r="A441" s="20">
        <v>24</v>
      </c>
      <c r="B441" s="21" t="s">
        <v>44</v>
      </c>
      <c r="C441" s="26">
        <v>101.82</v>
      </c>
      <c r="D441" s="1"/>
      <c r="E441" s="1"/>
      <c r="F441" s="1"/>
      <c r="G441" s="1"/>
      <c r="H441" s="1"/>
      <c r="I441" s="1"/>
      <c r="J441" s="1">
        <f t="shared" si="56"/>
        <v>0</v>
      </c>
      <c r="K441" s="19" t="str">
        <f t="shared" si="57"/>
        <v xml:space="preserve"> No Issue</v>
      </c>
      <c r="L441" s="1" t="str">
        <f t="shared" si="58"/>
        <v>No Issue</v>
      </c>
      <c r="M441" s="1" t="str">
        <f t="shared" si="59"/>
        <v>No Issue</v>
      </c>
      <c r="N441" s="1" t="str">
        <f t="shared" si="60"/>
        <v>No Issue</v>
      </c>
      <c r="O441" s="1" t="str">
        <f t="shared" si="61"/>
        <v>No Issue</v>
      </c>
      <c r="P441" s="1" t="str">
        <f t="shared" si="62"/>
        <v>NoIssue</v>
      </c>
    </row>
    <row r="442" spans="1:16" ht="22.5" customHeight="1">
      <c r="A442" s="20">
        <v>25</v>
      </c>
      <c r="B442" s="21" t="s">
        <v>45</v>
      </c>
      <c r="C442" s="26">
        <v>53.49</v>
      </c>
      <c r="D442" s="1"/>
      <c r="E442" s="1"/>
      <c r="F442" s="1"/>
      <c r="G442" s="1"/>
      <c r="H442" s="1"/>
      <c r="I442" s="1"/>
      <c r="J442" s="1">
        <f t="shared" si="56"/>
        <v>0</v>
      </c>
      <c r="K442" s="19" t="str">
        <f t="shared" si="57"/>
        <v xml:space="preserve"> No Issue</v>
      </c>
      <c r="L442" s="1" t="str">
        <f t="shared" si="58"/>
        <v>No Issue</v>
      </c>
      <c r="M442" s="1" t="str">
        <f t="shared" si="59"/>
        <v>No Issue</v>
      </c>
      <c r="N442" s="1" t="str">
        <f t="shared" si="60"/>
        <v>No Issue</v>
      </c>
      <c r="O442" s="1" t="str">
        <f t="shared" si="61"/>
        <v>No Issue</v>
      </c>
      <c r="P442" s="1" t="str">
        <f t="shared" si="62"/>
        <v>NoIssue</v>
      </c>
    </row>
    <row r="443" spans="1:16" ht="22.5" customHeight="1">
      <c r="A443" s="20">
        <v>26</v>
      </c>
      <c r="B443" s="21" t="s">
        <v>46</v>
      </c>
      <c r="C443" s="26">
        <v>32.92</v>
      </c>
      <c r="D443" s="1"/>
      <c r="E443" s="1"/>
      <c r="F443" s="1"/>
      <c r="G443" s="1"/>
      <c r="H443" s="1"/>
      <c r="I443" s="1"/>
      <c r="J443" s="1">
        <f t="shared" si="56"/>
        <v>0</v>
      </c>
      <c r="K443" s="19" t="str">
        <f t="shared" si="57"/>
        <v xml:space="preserve"> No Issue</v>
      </c>
      <c r="L443" s="1" t="str">
        <f t="shared" si="58"/>
        <v>No Issue</v>
      </c>
      <c r="M443" s="1" t="str">
        <f t="shared" si="59"/>
        <v>No Issue</v>
      </c>
      <c r="N443" s="1" t="str">
        <f t="shared" si="60"/>
        <v>No Issue</v>
      </c>
      <c r="O443" s="1" t="str">
        <f t="shared" si="61"/>
        <v>No Issue</v>
      </c>
      <c r="P443" s="1" t="str">
        <f t="shared" si="62"/>
        <v>NoIssue</v>
      </c>
    </row>
    <row r="444" spans="1:16" ht="22.5" customHeight="1">
      <c r="A444" s="20">
        <v>27</v>
      </c>
      <c r="B444" s="21" t="s">
        <v>47</v>
      </c>
      <c r="C444" s="26">
        <v>116.68</v>
      </c>
      <c r="D444" s="1"/>
      <c r="E444" s="1"/>
      <c r="F444" s="1"/>
      <c r="G444" s="1"/>
      <c r="H444" s="1"/>
      <c r="I444" s="1"/>
      <c r="J444" s="1">
        <f t="shared" si="56"/>
        <v>0</v>
      </c>
      <c r="K444" s="19" t="str">
        <f t="shared" si="57"/>
        <v xml:space="preserve"> No Issue</v>
      </c>
      <c r="L444" s="1" t="str">
        <f t="shared" si="58"/>
        <v>No Issue</v>
      </c>
      <c r="M444" s="1" t="str">
        <f t="shared" si="59"/>
        <v>No Issue</v>
      </c>
      <c r="N444" s="1" t="str">
        <f t="shared" si="60"/>
        <v>No Issue</v>
      </c>
      <c r="O444" s="1" t="str">
        <f t="shared" si="61"/>
        <v>No Issue</v>
      </c>
      <c r="P444" s="1" t="str">
        <f t="shared" si="62"/>
        <v>NoIssue</v>
      </c>
    </row>
    <row r="445" spans="1:16" ht="22.5" customHeight="1">
      <c r="A445" s="20">
        <v>28</v>
      </c>
      <c r="B445" s="21" t="s">
        <v>48</v>
      </c>
      <c r="C445" s="26">
        <v>107.96</v>
      </c>
      <c r="D445" s="1"/>
      <c r="E445" s="1"/>
      <c r="F445" s="1"/>
      <c r="G445" s="1"/>
      <c r="H445" s="1"/>
      <c r="I445" s="1"/>
      <c r="J445" s="1">
        <f t="shared" si="56"/>
        <v>0</v>
      </c>
      <c r="K445" s="19" t="str">
        <f t="shared" si="57"/>
        <v xml:space="preserve"> No Issue</v>
      </c>
      <c r="L445" s="1" t="str">
        <f t="shared" si="58"/>
        <v>No Issue</v>
      </c>
      <c r="M445" s="1" t="str">
        <f t="shared" si="59"/>
        <v>No Issue</v>
      </c>
      <c r="N445" s="1" t="str">
        <f t="shared" si="60"/>
        <v>No Issue</v>
      </c>
      <c r="O445" s="1" t="str">
        <f t="shared" si="61"/>
        <v>No Issue</v>
      </c>
      <c r="P445" s="1" t="str">
        <f t="shared" si="62"/>
        <v>NoIssue</v>
      </c>
    </row>
    <row r="446" spans="1:16" ht="22.5" customHeight="1">
      <c r="A446" s="20">
        <v>29</v>
      </c>
      <c r="B446" s="21" t="s">
        <v>49</v>
      </c>
      <c r="C446" s="26">
        <v>248.89</v>
      </c>
      <c r="D446" s="1"/>
      <c r="E446" s="1"/>
      <c r="F446" s="1"/>
      <c r="G446" s="1"/>
      <c r="H446" s="1"/>
      <c r="I446" s="1"/>
      <c r="J446" s="1">
        <f t="shared" si="56"/>
        <v>0</v>
      </c>
      <c r="K446" s="19" t="str">
        <f t="shared" si="57"/>
        <v xml:space="preserve"> No Issue</v>
      </c>
      <c r="L446" s="1" t="str">
        <f t="shared" si="58"/>
        <v>No Issue</v>
      </c>
      <c r="M446" s="1" t="str">
        <f t="shared" si="59"/>
        <v>No Issue</v>
      </c>
      <c r="N446" s="1" t="str">
        <f t="shared" si="60"/>
        <v>No Issue</v>
      </c>
      <c r="O446" s="1" t="str">
        <f t="shared" si="61"/>
        <v>No Issue</v>
      </c>
      <c r="P446" s="1" t="str">
        <f t="shared" si="62"/>
        <v>NoIssue</v>
      </c>
    </row>
    <row r="447" spans="1:16" ht="22.5" customHeight="1">
      <c r="A447" s="20">
        <v>30</v>
      </c>
      <c r="B447" s="21" t="s">
        <v>50</v>
      </c>
      <c r="C447" s="26">
        <v>80.36</v>
      </c>
      <c r="D447" s="1"/>
      <c r="E447" s="1"/>
      <c r="F447" s="19"/>
      <c r="G447" s="19"/>
      <c r="H447" s="19"/>
      <c r="I447" s="1"/>
      <c r="J447" s="1">
        <f t="shared" si="56"/>
        <v>0</v>
      </c>
      <c r="K447" s="19" t="str">
        <f t="shared" si="57"/>
        <v xml:space="preserve"> No Issue</v>
      </c>
      <c r="L447" s="1" t="str">
        <f t="shared" si="58"/>
        <v>No Issue</v>
      </c>
      <c r="M447" s="1" t="str">
        <f t="shared" si="59"/>
        <v>No Issue</v>
      </c>
      <c r="N447" s="1" t="str">
        <f t="shared" si="60"/>
        <v>No Issue</v>
      </c>
      <c r="O447" s="1" t="str">
        <f t="shared" si="61"/>
        <v>No Issue</v>
      </c>
      <c r="P447" s="1" t="str">
        <f t="shared" si="62"/>
        <v>NoIssue</v>
      </c>
    </row>
    <row r="448" spans="1:16" ht="22.5" customHeight="1">
      <c r="A448" s="20">
        <v>31</v>
      </c>
      <c r="B448" s="21" t="s">
        <v>51</v>
      </c>
      <c r="C448" s="26">
        <v>52.46</v>
      </c>
      <c r="D448" s="1"/>
      <c r="E448" s="1"/>
      <c r="F448" s="19"/>
      <c r="G448" s="19"/>
      <c r="H448" s="19"/>
      <c r="I448" s="1"/>
      <c r="J448" s="1">
        <f t="shared" si="56"/>
        <v>0</v>
      </c>
      <c r="K448" s="19" t="str">
        <f t="shared" si="57"/>
        <v xml:space="preserve"> No Issue</v>
      </c>
      <c r="L448" s="1" t="str">
        <f t="shared" si="58"/>
        <v>No Issue</v>
      </c>
      <c r="M448" s="1" t="str">
        <f t="shared" si="59"/>
        <v>No Issue</v>
      </c>
      <c r="N448" s="1" t="str">
        <f t="shared" si="60"/>
        <v>No Issue</v>
      </c>
      <c r="O448" s="1" t="str">
        <f t="shared" si="61"/>
        <v>No Issue</v>
      </c>
      <c r="P448" s="1" t="str">
        <f t="shared" si="62"/>
        <v>NoIssue</v>
      </c>
    </row>
    <row r="449" spans="1:16" ht="22.5" customHeight="1">
      <c r="A449" s="20">
        <v>32</v>
      </c>
      <c r="B449" s="21" t="s">
        <v>52</v>
      </c>
      <c r="C449" s="26">
        <v>71.209999999999994</v>
      </c>
      <c r="D449" s="1"/>
      <c r="E449" s="1"/>
      <c r="F449" s="19"/>
      <c r="G449" s="19"/>
      <c r="H449" s="19"/>
      <c r="I449" s="1"/>
      <c r="J449" s="1">
        <f t="shared" si="56"/>
        <v>0</v>
      </c>
      <c r="K449" s="19" t="str">
        <f t="shared" si="57"/>
        <v xml:space="preserve"> No Issue</v>
      </c>
      <c r="L449" s="1" t="str">
        <f t="shared" si="58"/>
        <v>No Issue</v>
      </c>
      <c r="M449" s="1" t="str">
        <f t="shared" si="59"/>
        <v>No Issue</v>
      </c>
      <c r="N449" s="1" t="str">
        <f t="shared" si="60"/>
        <v>No Issue</v>
      </c>
      <c r="O449" s="1" t="str">
        <f t="shared" si="61"/>
        <v>No Issue</v>
      </c>
      <c r="P449" s="1" t="str">
        <f t="shared" si="62"/>
        <v>NoIssue</v>
      </c>
    </row>
    <row r="450" spans="1:16" ht="22.5" customHeight="1">
      <c r="A450" s="20">
        <v>33</v>
      </c>
      <c r="B450" s="21" t="s">
        <v>53</v>
      </c>
      <c r="C450" s="26">
        <v>80.349999999999994</v>
      </c>
      <c r="D450" s="1"/>
      <c r="E450" s="1"/>
      <c r="F450" s="19"/>
      <c r="G450" s="19"/>
      <c r="H450" s="19"/>
      <c r="I450" s="1"/>
      <c r="J450" s="1">
        <f t="shared" si="56"/>
        <v>0</v>
      </c>
      <c r="K450" s="19" t="str">
        <f t="shared" si="57"/>
        <v xml:space="preserve"> No Issue</v>
      </c>
      <c r="L450" s="1" t="str">
        <f t="shared" si="58"/>
        <v>No Issue</v>
      </c>
      <c r="M450" s="1" t="str">
        <f t="shared" si="59"/>
        <v>No Issue</v>
      </c>
      <c r="N450" s="1" t="str">
        <f t="shared" si="60"/>
        <v>No Issue</v>
      </c>
      <c r="O450" s="1" t="str">
        <f t="shared" si="61"/>
        <v>No Issue</v>
      </c>
      <c r="P450" s="1" t="str">
        <f t="shared" si="62"/>
        <v>NoIssue</v>
      </c>
    </row>
    <row r="451" spans="1:16" ht="22.5" customHeight="1">
      <c r="A451" s="20">
        <v>34</v>
      </c>
      <c r="B451" s="21" t="s">
        <v>54</v>
      </c>
      <c r="C451" s="26">
        <v>64.180000000000007</v>
      </c>
      <c r="D451" s="1"/>
      <c r="E451" s="1"/>
      <c r="F451" s="19"/>
      <c r="G451" s="19"/>
      <c r="H451" s="19"/>
      <c r="I451" s="1"/>
      <c r="J451" s="1">
        <f t="shared" si="56"/>
        <v>0</v>
      </c>
      <c r="K451" s="19" t="str">
        <f t="shared" si="57"/>
        <v xml:space="preserve"> No Issue</v>
      </c>
      <c r="L451" s="1" t="str">
        <f t="shared" si="58"/>
        <v>No Issue</v>
      </c>
      <c r="M451" s="1" t="str">
        <f t="shared" si="59"/>
        <v>No Issue</v>
      </c>
      <c r="N451" s="1" t="str">
        <f t="shared" si="60"/>
        <v>No Issue</v>
      </c>
      <c r="O451" s="1" t="str">
        <f t="shared" si="61"/>
        <v>No Issue</v>
      </c>
      <c r="P451" s="1" t="str">
        <f t="shared" si="62"/>
        <v>NoIssue</v>
      </c>
    </row>
    <row r="452" spans="1:16" ht="22.5" customHeight="1">
      <c r="A452" s="20">
        <v>35</v>
      </c>
      <c r="B452" s="21" t="s">
        <v>55</v>
      </c>
      <c r="C452" s="26">
        <v>36.9</v>
      </c>
      <c r="D452" s="1"/>
      <c r="E452" s="1"/>
      <c r="F452" s="19"/>
      <c r="G452" s="19"/>
      <c r="H452" s="19"/>
      <c r="I452" s="1"/>
      <c r="J452" s="1">
        <f t="shared" si="56"/>
        <v>0</v>
      </c>
      <c r="K452" s="19" t="str">
        <f t="shared" si="57"/>
        <v xml:space="preserve"> No Issue</v>
      </c>
      <c r="L452" s="1" t="str">
        <f t="shared" si="58"/>
        <v>No Issue</v>
      </c>
      <c r="M452" s="1" t="str">
        <f t="shared" si="59"/>
        <v>No Issue</v>
      </c>
      <c r="N452" s="1" t="str">
        <f t="shared" si="60"/>
        <v>No Issue</v>
      </c>
      <c r="O452" s="1" t="str">
        <f t="shared" si="61"/>
        <v>No Issue</v>
      </c>
      <c r="P452" s="1" t="str">
        <f t="shared" si="62"/>
        <v>NoIssue</v>
      </c>
    </row>
    <row r="453" spans="1:16" ht="22.5" customHeight="1">
      <c r="A453" s="20">
        <v>36</v>
      </c>
      <c r="B453" s="21" t="s">
        <v>56</v>
      </c>
      <c r="C453" s="26">
        <v>101.54</v>
      </c>
      <c r="D453" s="1"/>
      <c r="E453" s="1"/>
      <c r="F453" s="19"/>
      <c r="G453" s="19"/>
      <c r="H453" s="19"/>
      <c r="I453" s="1"/>
      <c r="J453" s="1">
        <f t="shared" si="56"/>
        <v>0</v>
      </c>
      <c r="K453" s="19" t="str">
        <f t="shared" si="57"/>
        <v xml:space="preserve"> No Issue</v>
      </c>
      <c r="L453" s="1" t="str">
        <f t="shared" si="58"/>
        <v>No Issue</v>
      </c>
      <c r="M453" s="1" t="str">
        <f t="shared" si="59"/>
        <v>No Issue</v>
      </c>
      <c r="N453" s="1" t="str">
        <f t="shared" si="60"/>
        <v>No Issue</v>
      </c>
      <c r="O453" s="1" t="str">
        <f t="shared" si="61"/>
        <v>No Issue</v>
      </c>
      <c r="P453" s="1" t="str">
        <f t="shared" si="62"/>
        <v>NoIssue</v>
      </c>
    </row>
    <row r="454" spans="1:16" ht="22.5" customHeight="1">
      <c r="A454" s="20">
        <v>37</v>
      </c>
      <c r="B454" s="21" t="s">
        <v>57</v>
      </c>
      <c r="C454" s="26">
        <v>40.5</v>
      </c>
      <c r="D454" s="1"/>
      <c r="E454" s="1"/>
      <c r="F454" s="19"/>
      <c r="G454" s="19"/>
      <c r="H454" s="19"/>
      <c r="I454" s="1"/>
      <c r="J454" s="1">
        <f t="shared" si="56"/>
        <v>0</v>
      </c>
      <c r="K454" s="19" t="str">
        <f t="shared" si="57"/>
        <v xml:space="preserve"> No Issue</v>
      </c>
      <c r="L454" s="1" t="str">
        <f t="shared" si="58"/>
        <v>No Issue</v>
      </c>
      <c r="M454" s="1" t="str">
        <f t="shared" si="59"/>
        <v>No Issue</v>
      </c>
      <c r="N454" s="1" t="str">
        <f t="shared" si="60"/>
        <v>No Issue</v>
      </c>
      <c r="O454" s="1" t="str">
        <f t="shared" si="61"/>
        <v>No Issue</v>
      </c>
      <c r="P454" s="1" t="str">
        <f t="shared" si="62"/>
        <v>NoIssue</v>
      </c>
    </row>
    <row r="455" spans="1:16" ht="22.5" customHeight="1">
      <c r="A455" s="20">
        <v>38</v>
      </c>
      <c r="B455" s="21" t="s">
        <v>58</v>
      </c>
      <c r="C455" s="26">
        <v>66.69</v>
      </c>
      <c r="D455" s="1"/>
      <c r="E455" s="1"/>
      <c r="F455" s="19"/>
      <c r="G455" s="19"/>
      <c r="H455" s="19"/>
      <c r="I455" s="1"/>
      <c r="J455" s="1">
        <f t="shared" si="56"/>
        <v>0</v>
      </c>
      <c r="K455" s="19" t="str">
        <f t="shared" si="57"/>
        <v xml:space="preserve"> No Issue</v>
      </c>
      <c r="L455" s="1" t="str">
        <f t="shared" si="58"/>
        <v>No Issue</v>
      </c>
      <c r="M455" s="1" t="str">
        <f t="shared" si="59"/>
        <v>No Issue</v>
      </c>
      <c r="N455" s="1" t="str">
        <f t="shared" si="60"/>
        <v>No Issue</v>
      </c>
      <c r="O455" s="1" t="str">
        <f t="shared" si="61"/>
        <v>No Issue</v>
      </c>
      <c r="P455" s="1" t="str">
        <f t="shared" si="62"/>
        <v>NoIssue</v>
      </c>
    </row>
    <row r="456" spans="1:16" ht="22.5" customHeight="1">
      <c r="A456" s="20">
        <v>39</v>
      </c>
      <c r="B456" s="21" t="s">
        <v>59</v>
      </c>
      <c r="C456" s="21">
        <v>150.85999999999999</v>
      </c>
      <c r="D456" s="1"/>
      <c r="E456" s="1"/>
      <c r="F456" s="19"/>
      <c r="G456" s="19"/>
      <c r="H456" s="19"/>
      <c r="I456" s="1"/>
      <c r="J456" s="1">
        <f t="shared" si="56"/>
        <v>0</v>
      </c>
      <c r="K456" s="19" t="str">
        <f t="shared" si="57"/>
        <v xml:space="preserve"> No Issue</v>
      </c>
      <c r="L456" s="1" t="str">
        <f t="shared" si="58"/>
        <v>No Issue</v>
      </c>
      <c r="M456" s="1" t="str">
        <f t="shared" si="59"/>
        <v>No Issue</v>
      </c>
      <c r="N456" s="1" t="str">
        <f t="shared" si="60"/>
        <v>No Issue</v>
      </c>
      <c r="O456" s="1" t="str">
        <f t="shared" si="61"/>
        <v>No Issue</v>
      </c>
      <c r="P456" s="1" t="str">
        <f t="shared" si="62"/>
        <v>NoIssue</v>
      </c>
    </row>
    <row r="457" spans="1:16" ht="22.5" customHeight="1">
      <c r="A457" s="20">
        <v>40</v>
      </c>
      <c r="B457" s="29" t="s">
        <v>60</v>
      </c>
      <c r="C457" s="26">
        <v>180</v>
      </c>
      <c r="D457" s="1"/>
      <c r="E457" s="1"/>
      <c r="F457" s="19"/>
      <c r="G457" s="19"/>
      <c r="H457" s="19"/>
      <c r="I457" s="1"/>
      <c r="J457" s="1">
        <f t="shared" si="56"/>
        <v>0</v>
      </c>
      <c r="K457" s="19" t="str">
        <f t="shared" si="57"/>
        <v xml:space="preserve"> No Issue</v>
      </c>
      <c r="L457" s="1" t="str">
        <f t="shared" si="58"/>
        <v>No Issue</v>
      </c>
      <c r="M457" s="1" t="str">
        <f t="shared" si="59"/>
        <v>No Issue</v>
      </c>
      <c r="N457" s="1" t="str">
        <f t="shared" si="60"/>
        <v>No Issue</v>
      </c>
      <c r="O457" s="1" t="str">
        <f t="shared" si="61"/>
        <v>No Issue</v>
      </c>
      <c r="P457" s="1" t="str">
        <f t="shared" si="62"/>
        <v>NoIssue</v>
      </c>
    </row>
    <row r="458" spans="1:16" ht="22.5" customHeight="1">
      <c r="A458" s="20">
        <v>41</v>
      </c>
      <c r="B458" s="29" t="s">
        <v>61</v>
      </c>
      <c r="C458" s="21">
        <v>128.57</v>
      </c>
      <c r="D458" s="1"/>
      <c r="E458" s="1"/>
      <c r="F458" s="19"/>
      <c r="G458" s="19"/>
      <c r="H458" s="19"/>
      <c r="I458" s="1"/>
      <c r="J458" s="1">
        <f t="shared" si="56"/>
        <v>0</v>
      </c>
      <c r="K458" s="19" t="str">
        <f t="shared" si="57"/>
        <v xml:space="preserve"> No Issue</v>
      </c>
      <c r="L458" s="1" t="str">
        <f t="shared" si="58"/>
        <v>No Issue</v>
      </c>
      <c r="M458" s="1" t="str">
        <f t="shared" si="59"/>
        <v>No Issue</v>
      </c>
      <c r="N458" s="1" t="str">
        <f t="shared" si="60"/>
        <v>No Issue</v>
      </c>
      <c r="O458" s="1" t="str">
        <f t="shared" si="61"/>
        <v>No Issue</v>
      </c>
      <c r="P458" s="1" t="str">
        <f t="shared" si="62"/>
        <v>NoIssue</v>
      </c>
    </row>
    <row r="459" spans="1:16" ht="22.5" customHeight="1">
      <c r="A459" s="20">
        <v>42</v>
      </c>
      <c r="B459" s="21"/>
      <c r="C459" s="21"/>
      <c r="D459" s="1"/>
      <c r="E459" s="1"/>
      <c r="F459" s="19"/>
      <c r="G459" s="19"/>
      <c r="H459" s="19"/>
      <c r="I459" s="1"/>
      <c r="J459" s="1">
        <f t="shared" si="56"/>
        <v>0</v>
      </c>
      <c r="K459" s="19" t="str">
        <f t="shared" si="57"/>
        <v xml:space="preserve"> No Issue</v>
      </c>
      <c r="L459" s="1" t="str">
        <f t="shared" si="58"/>
        <v>No Issue</v>
      </c>
      <c r="M459" s="1" t="str">
        <f t="shared" si="59"/>
        <v>No Issue</v>
      </c>
      <c r="N459" s="1" t="str">
        <f t="shared" si="60"/>
        <v>No Issue</v>
      </c>
      <c r="O459" s="1" t="str">
        <f t="shared" si="61"/>
        <v>No Issue</v>
      </c>
      <c r="P459" s="1" t="str">
        <f t="shared" si="62"/>
        <v>NoIssue</v>
      </c>
    </row>
    <row r="460" spans="1:16" ht="22.5" customHeight="1">
      <c r="A460" s="20">
        <v>43</v>
      </c>
      <c r="B460" s="30"/>
      <c r="C460" s="30"/>
      <c r="D460" s="1"/>
      <c r="E460" s="1"/>
      <c r="F460" s="19"/>
      <c r="G460" s="19"/>
      <c r="H460" s="19"/>
      <c r="I460" s="1"/>
      <c r="J460" s="1">
        <f t="shared" si="56"/>
        <v>0</v>
      </c>
      <c r="K460" s="19" t="str">
        <f t="shared" si="57"/>
        <v xml:space="preserve"> No Issue</v>
      </c>
      <c r="L460" s="1" t="str">
        <f t="shared" si="58"/>
        <v>No Issue</v>
      </c>
      <c r="M460" s="1" t="str">
        <f t="shared" si="59"/>
        <v>No Issue</v>
      </c>
      <c r="N460" s="1" t="str">
        <f t="shared" si="60"/>
        <v>No Issue</v>
      </c>
      <c r="O460" s="1" t="str">
        <f t="shared" si="61"/>
        <v>No Issue</v>
      </c>
      <c r="P460" s="1" t="str">
        <f t="shared" si="62"/>
        <v>NoIssue</v>
      </c>
    </row>
    <row r="461" spans="1:16" ht="22.5" customHeight="1">
      <c r="A461" s="20">
        <v>44</v>
      </c>
      <c r="B461" s="30"/>
      <c r="C461" s="30"/>
      <c r="D461" s="1"/>
      <c r="E461" s="1"/>
      <c r="F461" s="19"/>
      <c r="G461" s="19"/>
      <c r="H461" s="19"/>
      <c r="I461" s="1"/>
      <c r="J461" s="1">
        <f t="shared" si="56"/>
        <v>0</v>
      </c>
      <c r="K461" s="19" t="str">
        <f t="shared" si="57"/>
        <v xml:space="preserve"> No Issue</v>
      </c>
      <c r="L461" s="1" t="str">
        <f t="shared" si="58"/>
        <v>No Issue</v>
      </c>
      <c r="M461" s="1" t="str">
        <f t="shared" si="59"/>
        <v>No Issue</v>
      </c>
      <c r="N461" s="1" t="str">
        <f t="shared" si="60"/>
        <v>No Issue</v>
      </c>
      <c r="O461" s="1" t="str">
        <f t="shared" si="61"/>
        <v>No Issue</v>
      </c>
      <c r="P461" s="1" t="str">
        <f t="shared" si="62"/>
        <v>NoIssue</v>
      </c>
    </row>
    <row r="462" spans="1:16" ht="22.5" customHeight="1">
      <c r="A462" s="20">
        <v>45</v>
      </c>
      <c r="B462" s="30"/>
      <c r="C462" s="30"/>
      <c r="D462" s="1"/>
      <c r="E462" s="1"/>
      <c r="F462" s="19"/>
      <c r="G462" s="19"/>
      <c r="H462" s="19"/>
      <c r="I462" s="1"/>
      <c r="J462" s="1">
        <f t="shared" si="56"/>
        <v>0</v>
      </c>
      <c r="K462" s="19" t="str">
        <f t="shared" si="57"/>
        <v xml:space="preserve"> No Issue</v>
      </c>
      <c r="L462" s="1" t="str">
        <f t="shared" si="58"/>
        <v>No Issue</v>
      </c>
      <c r="M462" s="1" t="str">
        <f t="shared" si="59"/>
        <v>No Issue</v>
      </c>
      <c r="N462" s="1" t="str">
        <f t="shared" si="60"/>
        <v>No Issue</v>
      </c>
      <c r="O462" s="1" t="str">
        <f t="shared" si="61"/>
        <v>No Issue</v>
      </c>
      <c r="P462" s="1" t="str">
        <f t="shared" si="62"/>
        <v>NoIssue</v>
      </c>
    </row>
    <row r="463" spans="1:16" ht="22.5" customHeight="1">
      <c r="A463" s="20">
        <v>46</v>
      </c>
      <c r="B463" s="30"/>
      <c r="C463" s="30"/>
      <c r="D463" s="1"/>
      <c r="E463" s="1"/>
      <c r="F463" s="19"/>
      <c r="G463" s="19"/>
      <c r="H463" s="19"/>
      <c r="I463" s="1"/>
      <c r="J463" s="1">
        <f t="shared" si="56"/>
        <v>0</v>
      </c>
      <c r="K463" s="19" t="str">
        <f t="shared" si="57"/>
        <v xml:space="preserve"> No Issue</v>
      </c>
      <c r="L463" s="1" t="str">
        <f t="shared" si="58"/>
        <v>No Issue</v>
      </c>
      <c r="M463" s="1" t="str">
        <f t="shared" si="59"/>
        <v>No Issue</v>
      </c>
      <c r="N463" s="1" t="str">
        <f t="shared" si="60"/>
        <v>No Issue</v>
      </c>
      <c r="O463" s="1" t="str">
        <f t="shared" si="61"/>
        <v>No Issue</v>
      </c>
      <c r="P463" s="1" t="str">
        <f t="shared" si="62"/>
        <v>NoIssue</v>
      </c>
    </row>
    <row r="464" spans="1:16" ht="22.5" customHeight="1">
      <c r="A464" s="20">
        <v>47</v>
      </c>
      <c r="B464" s="31"/>
      <c r="C464" s="32"/>
      <c r="D464" s="1"/>
      <c r="E464" s="1"/>
      <c r="F464" s="19"/>
      <c r="G464" s="19"/>
      <c r="H464" s="19"/>
      <c r="I464" s="1"/>
      <c r="J464" s="1">
        <f t="shared" si="56"/>
        <v>0</v>
      </c>
      <c r="K464" s="19" t="str">
        <f t="shared" si="57"/>
        <v xml:space="preserve"> No Issue</v>
      </c>
      <c r="L464" s="1" t="str">
        <f t="shared" si="58"/>
        <v>No Issue</v>
      </c>
      <c r="M464" s="1" t="str">
        <f t="shared" si="59"/>
        <v>No Issue</v>
      </c>
      <c r="N464" s="1" t="str">
        <f t="shared" si="60"/>
        <v>No Issue</v>
      </c>
      <c r="O464" s="1" t="str">
        <f t="shared" si="61"/>
        <v>No Issue</v>
      </c>
      <c r="P464" s="1" t="str">
        <f t="shared" si="62"/>
        <v>NoIssue</v>
      </c>
    </row>
    <row r="465" spans="1:16" ht="22.5" customHeight="1">
      <c r="A465" s="20">
        <v>48</v>
      </c>
      <c r="B465" s="31"/>
      <c r="C465" s="32"/>
      <c r="D465" s="1"/>
      <c r="E465" s="1"/>
      <c r="F465" s="19"/>
      <c r="G465" s="19"/>
      <c r="H465" s="19"/>
      <c r="I465" s="1"/>
      <c r="J465" s="1">
        <f t="shared" si="56"/>
        <v>0</v>
      </c>
      <c r="K465" s="19" t="str">
        <f t="shared" si="57"/>
        <v xml:space="preserve"> No Issue</v>
      </c>
      <c r="L465" s="1" t="str">
        <f t="shared" si="58"/>
        <v>No Issue</v>
      </c>
      <c r="M465" s="1" t="str">
        <f t="shared" si="59"/>
        <v>No Issue</v>
      </c>
      <c r="N465" s="1" t="str">
        <f t="shared" si="60"/>
        <v>No Issue</v>
      </c>
      <c r="O465" s="1" t="str">
        <f t="shared" si="61"/>
        <v>No Issue</v>
      </c>
      <c r="P465" s="1" t="str">
        <f t="shared" si="62"/>
        <v>NoIssue</v>
      </c>
    </row>
    <row r="466" spans="1:16" ht="22.5" customHeight="1">
      <c r="A466" s="20">
        <v>49</v>
      </c>
      <c r="B466" s="31"/>
      <c r="C466" s="32"/>
      <c r="D466" s="1"/>
      <c r="E466" s="1"/>
      <c r="F466" s="19"/>
      <c r="G466" s="19"/>
      <c r="H466" s="19"/>
      <c r="I466" s="1"/>
      <c r="J466" s="1">
        <f t="shared" si="56"/>
        <v>0</v>
      </c>
      <c r="K466" s="19" t="str">
        <f t="shared" si="57"/>
        <v xml:space="preserve"> No Issue</v>
      </c>
      <c r="L466" s="1" t="str">
        <f t="shared" si="58"/>
        <v>No Issue</v>
      </c>
      <c r="M466" s="1" t="str">
        <f t="shared" si="59"/>
        <v>No Issue</v>
      </c>
      <c r="N466" s="1" t="str">
        <f t="shared" si="60"/>
        <v>No Issue</v>
      </c>
      <c r="O466" s="1" t="str">
        <f t="shared" si="61"/>
        <v>No Issue</v>
      </c>
      <c r="P466" s="1" t="str">
        <f t="shared" si="62"/>
        <v>NoIssue</v>
      </c>
    </row>
    <row r="467" spans="1:16" ht="22.5" customHeight="1">
      <c r="A467" s="20">
        <v>50</v>
      </c>
      <c r="B467" s="31"/>
      <c r="C467" s="32"/>
      <c r="D467" s="1"/>
      <c r="E467" s="1"/>
      <c r="F467" s="19"/>
      <c r="G467" s="19"/>
      <c r="H467" s="19"/>
      <c r="I467" s="1"/>
      <c r="J467" s="1">
        <f t="shared" si="56"/>
        <v>0</v>
      </c>
      <c r="K467" s="19" t="str">
        <f t="shared" si="57"/>
        <v xml:space="preserve"> No Issue</v>
      </c>
      <c r="L467" s="1" t="str">
        <f t="shared" si="58"/>
        <v>No Issue</v>
      </c>
      <c r="M467" s="1" t="str">
        <f t="shared" si="59"/>
        <v>No Issue</v>
      </c>
      <c r="N467" s="1" t="str">
        <f t="shared" si="60"/>
        <v>No Issue</v>
      </c>
      <c r="O467" s="1" t="str">
        <f t="shared" si="61"/>
        <v>No Issue</v>
      </c>
      <c r="P467" s="1" t="str">
        <f t="shared" si="62"/>
        <v>NoIssue</v>
      </c>
    </row>
    <row r="468" spans="1:16" ht="22.5" customHeight="1">
      <c r="A468" s="20">
        <v>51</v>
      </c>
      <c r="B468" s="31"/>
      <c r="C468" s="32"/>
      <c r="D468" s="1"/>
      <c r="E468" s="1"/>
      <c r="F468" s="19"/>
      <c r="G468" s="19"/>
      <c r="H468" s="19"/>
      <c r="I468" s="1"/>
      <c r="J468" s="1">
        <f t="shared" si="56"/>
        <v>0</v>
      </c>
      <c r="K468" s="19" t="str">
        <f t="shared" si="57"/>
        <v xml:space="preserve"> No Issue</v>
      </c>
      <c r="L468" s="1" t="str">
        <f t="shared" si="58"/>
        <v>No Issue</v>
      </c>
      <c r="M468" s="1" t="str">
        <f t="shared" si="59"/>
        <v>No Issue</v>
      </c>
      <c r="N468" s="1" t="str">
        <f t="shared" si="60"/>
        <v>No Issue</v>
      </c>
      <c r="O468" s="1" t="str">
        <f t="shared" si="61"/>
        <v>No Issue</v>
      </c>
      <c r="P468" s="1" t="str">
        <f t="shared" si="62"/>
        <v>NoIssue</v>
      </c>
    </row>
    <row r="469" spans="1:16" ht="22.5" customHeight="1">
      <c r="A469" s="20">
        <v>52</v>
      </c>
      <c r="B469" s="31"/>
      <c r="C469" s="32"/>
      <c r="D469" s="1"/>
      <c r="E469" s="1"/>
      <c r="F469" s="19"/>
      <c r="G469" s="19"/>
      <c r="H469" s="19"/>
      <c r="I469" s="1"/>
      <c r="J469" s="1">
        <f t="shared" si="56"/>
        <v>0</v>
      </c>
      <c r="K469" s="19" t="str">
        <f t="shared" si="57"/>
        <v xml:space="preserve"> No Issue</v>
      </c>
      <c r="L469" s="1" t="str">
        <f t="shared" si="58"/>
        <v>No Issue</v>
      </c>
      <c r="M469" s="1" t="str">
        <f t="shared" si="59"/>
        <v>No Issue</v>
      </c>
      <c r="N469" s="1" t="str">
        <f t="shared" si="60"/>
        <v>No Issue</v>
      </c>
      <c r="O469" s="1" t="str">
        <f t="shared" si="61"/>
        <v>No Issue</v>
      </c>
      <c r="P469" s="1" t="str">
        <f t="shared" si="62"/>
        <v>NoIssue</v>
      </c>
    </row>
    <row r="470" spans="1:16" ht="22.5" customHeight="1">
      <c r="A470" s="20">
        <v>53</v>
      </c>
      <c r="B470" s="31"/>
      <c r="C470" s="32"/>
      <c r="D470" s="1"/>
      <c r="E470" s="1"/>
      <c r="F470" s="19"/>
      <c r="G470" s="19"/>
      <c r="H470" s="19"/>
      <c r="I470" s="1"/>
      <c r="J470" s="1">
        <f t="shared" si="56"/>
        <v>0</v>
      </c>
      <c r="K470" s="19" t="str">
        <f t="shared" si="57"/>
        <v xml:space="preserve"> No Issue</v>
      </c>
      <c r="L470" s="1" t="str">
        <f t="shared" si="58"/>
        <v>No Issue</v>
      </c>
      <c r="M470" s="1" t="str">
        <f t="shared" si="59"/>
        <v>No Issue</v>
      </c>
      <c r="N470" s="1" t="str">
        <f t="shared" si="60"/>
        <v>No Issue</v>
      </c>
      <c r="O470" s="1" t="str">
        <f t="shared" si="61"/>
        <v>No Issue</v>
      </c>
      <c r="P470" s="1" t="str">
        <f t="shared" si="62"/>
        <v>NoIssue</v>
      </c>
    </row>
    <row r="471" spans="1:16" ht="22.5" customHeight="1">
      <c r="A471" s="20">
        <v>54</v>
      </c>
      <c r="B471" s="30"/>
      <c r="C471" s="30"/>
      <c r="D471" s="1"/>
      <c r="E471" s="1"/>
      <c r="F471" s="19"/>
      <c r="G471" s="19"/>
      <c r="H471" s="19"/>
      <c r="I471" s="1"/>
      <c r="J471" s="1">
        <f t="shared" si="56"/>
        <v>0</v>
      </c>
      <c r="K471" s="19" t="str">
        <f t="shared" si="57"/>
        <v xml:space="preserve"> No Issue</v>
      </c>
      <c r="L471" s="1" t="str">
        <f t="shared" si="58"/>
        <v>No Issue</v>
      </c>
      <c r="M471" s="1" t="str">
        <f t="shared" si="59"/>
        <v>No Issue</v>
      </c>
      <c r="N471" s="1" t="str">
        <f t="shared" si="60"/>
        <v>No Issue</v>
      </c>
      <c r="O471" s="1" t="str">
        <f t="shared" si="61"/>
        <v>No Issue</v>
      </c>
      <c r="P471" s="1" t="str">
        <f t="shared" si="62"/>
        <v>NoIssue</v>
      </c>
    </row>
    <row r="472" spans="1:16" ht="22.5" customHeight="1">
      <c r="A472" s="20">
        <v>55</v>
      </c>
      <c r="B472" s="31"/>
      <c r="C472" s="32"/>
      <c r="D472" s="1"/>
      <c r="E472" s="1"/>
      <c r="F472" s="19"/>
      <c r="G472" s="19"/>
      <c r="H472" s="19"/>
      <c r="I472" s="1"/>
      <c r="J472" s="1">
        <f t="shared" si="56"/>
        <v>0</v>
      </c>
      <c r="K472" s="19" t="str">
        <f t="shared" si="57"/>
        <v xml:space="preserve"> No Issue</v>
      </c>
      <c r="L472" s="1" t="str">
        <f t="shared" si="58"/>
        <v>No Issue</v>
      </c>
      <c r="M472" s="1" t="str">
        <f t="shared" si="59"/>
        <v>No Issue</v>
      </c>
      <c r="N472" s="1" t="str">
        <f t="shared" si="60"/>
        <v>No Issue</v>
      </c>
      <c r="O472" s="1" t="str">
        <f t="shared" si="61"/>
        <v>No Issue</v>
      </c>
      <c r="P472" s="1" t="str">
        <f t="shared" si="62"/>
        <v>NoIssue</v>
      </c>
    </row>
    <row r="473" spans="1:16" ht="22.5" customHeight="1">
      <c r="A473" s="20">
        <v>56</v>
      </c>
      <c r="B473" s="31"/>
      <c r="C473" s="32"/>
      <c r="D473" s="1"/>
      <c r="E473" s="1"/>
      <c r="F473" s="19"/>
      <c r="G473" s="19"/>
      <c r="H473" s="19"/>
      <c r="I473" s="1"/>
      <c r="J473" s="1">
        <f t="shared" si="56"/>
        <v>0</v>
      </c>
      <c r="K473" s="19" t="str">
        <f t="shared" si="57"/>
        <v xml:space="preserve"> No Issue</v>
      </c>
      <c r="L473" s="1" t="str">
        <f t="shared" si="58"/>
        <v>No Issue</v>
      </c>
      <c r="M473" s="1" t="str">
        <f t="shared" si="59"/>
        <v>No Issue</v>
      </c>
      <c r="N473" s="1" t="str">
        <f t="shared" si="60"/>
        <v>No Issue</v>
      </c>
      <c r="O473" s="1" t="str">
        <f t="shared" si="61"/>
        <v>No Issue</v>
      </c>
      <c r="P473" s="1" t="str">
        <f t="shared" si="62"/>
        <v>NoIssue</v>
      </c>
    </row>
    <row r="474" spans="1:16" ht="22.5" customHeight="1">
      <c r="A474" s="20"/>
      <c r="B474" s="1" t="s">
        <v>62</v>
      </c>
      <c r="C474" s="31"/>
      <c r="D474" s="1">
        <f t="shared" ref="D474:I474" si="63">SUMPRODUCT(D418:D473,$C418:$C473)</f>
        <v>0</v>
      </c>
      <c r="E474" s="1">
        <f t="shared" si="63"/>
        <v>0</v>
      </c>
      <c r="F474" s="1">
        <f t="shared" si="63"/>
        <v>0</v>
      </c>
      <c r="G474" s="1">
        <f t="shared" si="63"/>
        <v>0</v>
      </c>
      <c r="H474" s="1">
        <f t="shared" si="63"/>
        <v>0</v>
      </c>
      <c r="I474" s="1">
        <f t="shared" si="63"/>
        <v>0</v>
      </c>
      <c r="J474" s="1">
        <f t="shared" si="56"/>
        <v>0</v>
      </c>
      <c r="K474" s="19" t="str">
        <f t="shared" si="57"/>
        <v xml:space="preserve"> No Issue</v>
      </c>
      <c r="L474" s="1" t="str">
        <f t="shared" si="58"/>
        <v>No Issue</v>
      </c>
      <c r="M474" s="1" t="str">
        <f t="shared" si="59"/>
        <v>No Issue</v>
      </c>
      <c r="N474" s="1" t="str">
        <f t="shared" si="60"/>
        <v>No Issue</v>
      </c>
      <c r="O474" s="1" t="str">
        <f t="shared" si="61"/>
        <v>No Issue</v>
      </c>
      <c r="P474" s="1" t="str">
        <f t="shared" si="62"/>
        <v>NoIssue</v>
      </c>
    </row>
    <row r="475" spans="1:16" ht="22.5" customHeight="1">
      <c r="A475" s="8"/>
      <c r="B475" s="9" t="s">
        <v>3</v>
      </c>
      <c r="C475" s="10"/>
      <c r="D475" s="11"/>
      <c r="E475" s="9"/>
      <c r="F475" s="12"/>
      <c r="G475" s="46"/>
      <c r="H475" s="47"/>
      <c r="I475" s="12"/>
      <c r="J475" s="13"/>
      <c r="K475" s="48" t="s">
        <v>4</v>
      </c>
      <c r="L475" s="49"/>
      <c r="M475" s="49"/>
      <c r="N475" s="49"/>
      <c r="O475" s="49"/>
      <c r="P475" s="50"/>
    </row>
    <row r="476" spans="1:16" ht="22.5" customHeight="1">
      <c r="A476" s="35" t="s">
        <v>5</v>
      </c>
      <c r="B476" s="19" t="s">
        <v>6</v>
      </c>
      <c r="C476" s="19" t="s">
        <v>7</v>
      </c>
      <c r="D476" s="18" t="s">
        <v>8</v>
      </c>
      <c r="E476" s="18" t="s">
        <v>9</v>
      </c>
      <c r="F476" s="18" t="s">
        <v>10</v>
      </c>
      <c r="G476" s="18" t="s">
        <v>11</v>
      </c>
      <c r="H476" s="18" t="s">
        <v>12</v>
      </c>
      <c r="I476" s="18" t="s">
        <v>13</v>
      </c>
      <c r="J476" s="18" t="s">
        <v>14</v>
      </c>
      <c r="K476" s="19" t="s">
        <v>15</v>
      </c>
      <c r="L476" s="19" t="s">
        <v>16</v>
      </c>
      <c r="M476" s="19" t="s">
        <v>17</v>
      </c>
      <c r="N476" s="19" t="s">
        <v>18</v>
      </c>
      <c r="O476" s="19" t="s">
        <v>19</v>
      </c>
      <c r="P476" s="19" t="s">
        <v>20</v>
      </c>
    </row>
    <row r="477" spans="1:16" ht="22.5" customHeight="1">
      <c r="A477" s="20">
        <v>1</v>
      </c>
      <c r="B477" s="21" t="s">
        <v>21</v>
      </c>
      <c r="C477" s="22">
        <v>192.17</v>
      </c>
      <c r="D477" s="1"/>
      <c r="E477" s="1"/>
      <c r="F477" s="1"/>
      <c r="G477" s="1"/>
      <c r="H477" s="1"/>
      <c r="I477" s="1"/>
      <c r="J477" s="1">
        <f t="shared" ref="J477:J533" si="64">D477+E477-F477-G477+H477</f>
        <v>0</v>
      </c>
      <c r="K477" s="19" t="str">
        <f t="shared" ref="K477:K533" si="65">IF(I477&lt;&gt;(D477+E477-F477-G477+H477),"Closing stock Not Correct-Problem"," No Issue")</f>
        <v xml:space="preserve"> No Issue</v>
      </c>
      <c r="L477" s="1" t="str">
        <f t="shared" ref="L477:L533" si="66">IF((D477+E477)&lt;F477,"High Sale and Less Stock-Problem","No Issue")</f>
        <v>No Issue</v>
      </c>
      <c r="M477" s="1" t="str">
        <f t="shared" ref="M477:M533" si="67">IF(AND((D477+E477+I477)=0,F477&gt;0),"No Stock Sale Present Problem","No Issue")</f>
        <v>No Issue</v>
      </c>
      <c r="N477" s="1" t="str">
        <f t="shared" ref="N477:N533" si="68">IF(AND(SUM(D477:H477)=0,I477&gt;0),"Only Closing Entered Other Parameters No Entired Problem","No Issue")</f>
        <v>No Issue</v>
      </c>
      <c r="O477" s="1" t="str">
        <f t="shared" ref="O477:O533" si="69">IF(F477&gt;5000,"Check Once Sales quantity or Value Problem","No Issue")</f>
        <v>No Issue</v>
      </c>
      <c r="P477" s="1" t="str">
        <f t="shared" ref="P477:P533" si="70">IF(I477&gt;5000,"Check Once Closing quantity or Value Problem","NoIssue")</f>
        <v>NoIssue</v>
      </c>
    </row>
    <row r="478" spans="1:16" ht="22.5" customHeight="1">
      <c r="A478" s="20">
        <v>2</v>
      </c>
      <c r="B478" s="21" t="s">
        <v>22</v>
      </c>
      <c r="C478" s="22">
        <v>9.26</v>
      </c>
      <c r="D478" s="1"/>
      <c r="E478" s="1"/>
      <c r="F478" s="1"/>
      <c r="G478" s="1"/>
      <c r="H478" s="1"/>
      <c r="I478" s="1"/>
      <c r="J478" s="1">
        <f t="shared" si="64"/>
        <v>0</v>
      </c>
      <c r="K478" s="19" t="str">
        <f t="shared" si="65"/>
        <v xml:space="preserve"> No Issue</v>
      </c>
      <c r="L478" s="1" t="str">
        <f t="shared" si="66"/>
        <v>No Issue</v>
      </c>
      <c r="M478" s="1" t="str">
        <f t="shared" si="67"/>
        <v>No Issue</v>
      </c>
      <c r="N478" s="1" t="str">
        <f t="shared" si="68"/>
        <v>No Issue</v>
      </c>
      <c r="O478" s="1" t="str">
        <f t="shared" si="69"/>
        <v>No Issue</v>
      </c>
      <c r="P478" s="1" t="str">
        <f t="shared" si="70"/>
        <v>NoIssue</v>
      </c>
    </row>
    <row r="479" spans="1:16" ht="22.5" customHeight="1">
      <c r="A479" s="20">
        <v>3</v>
      </c>
      <c r="B479" s="21" t="s">
        <v>23</v>
      </c>
      <c r="C479" s="22">
        <v>87.79</v>
      </c>
      <c r="D479" s="1"/>
      <c r="E479" s="1"/>
      <c r="F479" s="1"/>
      <c r="G479" s="1"/>
      <c r="H479" s="1"/>
      <c r="I479" s="1"/>
      <c r="J479" s="1">
        <f t="shared" si="64"/>
        <v>0</v>
      </c>
      <c r="K479" s="19" t="str">
        <f t="shared" si="65"/>
        <v xml:space="preserve"> No Issue</v>
      </c>
      <c r="L479" s="1" t="str">
        <f t="shared" si="66"/>
        <v>No Issue</v>
      </c>
      <c r="M479" s="1" t="str">
        <f t="shared" si="67"/>
        <v>No Issue</v>
      </c>
      <c r="N479" s="1" t="str">
        <f t="shared" si="68"/>
        <v>No Issue</v>
      </c>
      <c r="O479" s="1" t="str">
        <f t="shared" si="69"/>
        <v>No Issue</v>
      </c>
      <c r="P479" s="1" t="str">
        <f t="shared" si="70"/>
        <v>NoIssue</v>
      </c>
    </row>
    <row r="480" spans="1:16" ht="22.5" customHeight="1">
      <c r="A480" s="20">
        <v>4</v>
      </c>
      <c r="B480" s="21" t="s">
        <v>24</v>
      </c>
      <c r="C480" s="22">
        <v>55.55</v>
      </c>
      <c r="D480" s="1"/>
      <c r="E480" s="1"/>
      <c r="F480" s="1"/>
      <c r="G480" s="1"/>
      <c r="H480" s="1"/>
      <c r="I480" s="1"/>
      <c r="J480" s="1">
        <f t="shared" si="64"/>
        <v>0</v>
      </c>
      <c r="K480" s="19" t="str">
        <f t="shared" si="65"/>
        <v xml:space="preserve"> No Issue</v>
      </c>
      <c r="L480" s="1" t="str">
        <f t="shared" si="66"/>
        <v>No Issue</v>
      </c>
      <c r="M480" s="1" t="str">
        <f t="shared" si="67"/>
        <v>No Issue</v>
      </c>
      <c r="N480" s="1" t="str">
        <f t="shared" si="68"/>
        <v>No Issue</v>
      </c>
      <c r="O480" s="1" t="str">
        <f t="shared" si="69"/>
        <v>No Issue</v>
      </c>
      <c r="P480" s="1" t="str">
        <f t="shared" si="70"/>
        <v>NoIssue</v>
      </c>
    </row>
    <row r="481" spans="1:16" ht="22.5" customHeight="1">
      <c r="A481" s="20">
        <v>5</v>
      </c>
      <c r="B481" s="21" t="s">
        <v>25</v>
      </c>
      <c r="C481" s="22">
        <v>70.010000000000005</v>
      </c>
      <c r="D481" s="1"/>
      <c r="E481" s="1"/>
      <c r="F481" s="1"/>
      <c r="G481" s="1"/>
      <c r="H481" s="1"/>
      <c r="I481" s="1"/>
      <c r="J481" s="1">
        <f t="shared" si="64"/>
        <v>0</v>
      </c>
      <c r="K481" s="19" t="str">
        <f t="shared" si="65"/>
        <v xml:space="preserve"> No Issue</v>
      </c>
      <c r="L481" s="1" t="str">
        <f t="shared" si="66"/>
        <v>No Issue</v>
      </c>
      <c r="M481" s="1" t="str">
        <f t="shared" si="67"/>
        <v>No Issue</v>
      </c>
      <c r="N481" s="1" t="str">
        <f t="shared" si="68"/>
        <v>No Issue</v>
      </c>
      <c r="O481" s="1" t="str">
        <f t="shared" si="69"/>
        <v>No Issue</v>
      </c>
      <c r="P481" s="1" t="str">
        <f t="shared" si="70"/>
        <v>NoIssue</v>
      </c>
    </row>
    <row r="482" spans="1:16" ht="22.5" customHeight="1">
      <c r="A482" s="20">
        <v>6</v>
      </c>
      <c r="B482" s="25" t="s">
        <v>26</v>
      </c>
      <c r="C482" s="22">
        <v>73.929999999999993</v>
      </c>
      <c r="D482" s="1"/>
      <c r="E482" s="1"/>
      <c r="F482" s="1"/>
      <c r="G482" s="1"/>
      <c r="H482" s="1"/>
      <c r="I482" s="1"/>
      <c r="J482" s="1">
        <f t="shared" si="64"/>
        <v>0</v>
      </c>
      <c r="K482" s="19" t="str">
        <f t="shared" si="65"/>
        <v xml:space="preserve"> No Issue</v>
      </c>
      <c r="L482" s="1" t="str">
        <f t="shared" si="66"/>
        <v>No Issue</v>
      </c>
      <c r="M482" s="1" t="str">
        <f t="shared" si="67"/>
        <v>No Issue</v>
      </c>
      <c r="N482" s="1" t="str">
        <f t="shared" si="68"/>
        <v>No Issue</v>
      </c>
      <c r="O482" s="1" t="str">
        <f t="shared" si="69"/>
        <v>No Issue</v>
      </c>
      <c r="P482" s="1" t="str">
        <f t="shared" si="70"/>
        <v>NoIssue</v>
      </c>
    </row>
    <row r="483" spans="1:16" ht="22.5" customHeight="1">
      <c r="A483" s="20">
        <v>7</v>
      </c>
      <c r="B483" s="21" t="s">
        <v>27</v>
      </c>
      <c r="C483" s="26">
        <v>13.91</v>
      </c>
      <c r="D483" s="1"/>
      <c r="E483" s="1"/>
      <c r="F483" s="1"/>
      <c r="G483" s="1"/>
      <c r="H483" s="1"/>
      <c r="I483" s="1"/>
      <c r="J483" s="1">
        <f t="shared" si="64"/>
        <v>0</v>
      </c>
      <c r="K483" s="19" t="str">
        <f t="shared" si="65"/>
        <v xml:space="preserve"> No Issue</v>
      </c>
      <c r="L483" s="1" t="str">
        <f t="shared" si="66"/>
        <v>No Issue</v>
      </c>
      <c r="M483" s="1" t="str">
        <f t="shared" si="67"/>
        <v>No Issue</v>
      </c>
      <c r="N483" s="1" t="str">
        <f t="shared" si="68"/>
        <v>No Issue</v>
      </c>
      <c r="O483" s="1" t="str">
        <f t="shared" si="69"/>
        <v>No Issue</v>
      </c>
      <c r="P483" s="1" t="str">
        <f t="shared" si="70"/>
        <v>NoIssue</v>
      </c>
    </row>
    <row r="484" spans="1:16" ht="22.5" customHeight="1">
      <c r="A484" s="20">
        <v>8</v>
      </c>
      <c r="B484" s="21" t="s">
        <v>28</v>
      </c>
      <c r="C484" s="26">
        <v>19.5</v>
      </c>
      <c r="D484" s="1"/>
      <c r="E484" s="1"/>
      <c r="F484" s="1"/>
      <c r="G484" s="1"/>
      <c r="H484" s="1"/>
      <c r="I484" s="1"/>
      <c r="J484" s="1">
        <f t="shared" si="64"/>
        <v>0</v>
      </c>
      <c r="K484" s="19" t="str">
        <f t="shared" si="65"/>
        <v xml:space="preserve"> No Issue</v>
      </c>
      <c r="L484" s="1" t="str">
        <f t="shared" si="66"/>
        <v>No Issue</v>
      </c>
      <c r="M484" s="1" t="str">
        <f t="shared" si="67"/>
        <v>No Issue</v>
      </c>
      <c r="N484" s="1" t="str">
        <f t="shared" si="68"/>
        <v>No Issue</v>
      </c>
      <c r="O484" s="1" t="str">
        <f t="shared" si="69"/>
        <v>No Issue</v>
      </c>
      <c r="P484" s="1" t="str">
        <f t="shared" si="70"/>
        <v>NoIssue</v>
      </c>
    </row>
    <row r="485" spans="1:16" ht="22.5" customHeight="1">
      <c r="A485" s="20">
        <v>9</v>
      </c>
      <c r="B485" s="21" t="s">
        <v>29</v>
      </c>
      <c r="C485" s="26">
        <v>28.83</v>
      </c>
      <c r="D485" s="1"/>
      <c r="E485" s="1"/>
      <c r="F485" s="1"/>
      <c r="G485" s="1"/>
      <c r="H485" s="1"/>
      <c r="I485" s="1"/>
      <c r="J485" s="1">
        <f t="shared" si="64"/>
        <v>0</v>
      </c>
      <c r="K485" s="19" t="str">
        <f t="shared" si="65"/>
        <v xml:space="preserve"> No Issue</v>
      </c>
      <c r="L485" s="1" t="str">
        <f t="shared" si="66"/>
        <v>No Issue</v>
      </c>
      <c r="M485" s="1" t="str">
        <f t="shared" si="67"/>
        <v>No Issue</v>
      </c>
      <c r="N485" s="1" t="str">
        <f t="shared" si="68"/>
        <v>No Issue</v>
      </c>
      <c r="O485" s="1" t="str">
        <f t="shared" si="69"/>
        <v>No Issue</v>
      </c>
      <c r="P485" s="1" t="str">
        <f t="shared" si="70"/>
        <v>NoIssue</v>
      </c>
    </row>
    <row r="486" spans="1:16" ht="22.5" customHeight="1">
      <c r="A486" s="20">
        <v>10</v>
      </c>
      <c r="B486" s="21" t="s">
        <v>30</v>
      </c>
      <c r="C486" s="26">
        <v>8.51</v>
      </c>
      <c r="D486" s="1"/>
      <c r="E486" s="1"/>
      <c r="F486" s="1"/>
      <c r="G486" s="1"/>
      <c r="H486" s="1"/>
      <c r="I486" s="1"/>
      <c r="J486" s="1">
        <f t="shared" si="64"/>
        <v>0</v>
      </c>
      <c r="K486" s="19" t="str">
        <f t="shared" si="65"/>
        <v xml:space="preserve"> No Issue</v>
      </c>
      <c r="L486" s="1" t="str">
        <f t="shared" si="66"/>
        <v>No Issue</v>
      </c>
      <c r="M486" s="1" t="str">
        <f t="shared" si="67"/>
        <v>No Issue</v>
      </c>
      <c r="N486" s="1" t="str">
        <f t="shared" si="68"/>
        <v>No Issue</v>
      </c>
      <c r="O486" s="1" t="str">
        <f t="shared" si="69"/>
        <v>No Issue</v>
      </c>
      <c r="P486" s="1" t="str">
        <f t="shared" si="70"/>
        <v>NoIssue</v>
      </c>
    </row>
    <row r="487" spans="1:16" ht="22.5" customHeight="1">
      <c r="A487" s="20">
        <v>11</v>
      </c>
      <c r="B487" s="21" t="s">
        <v>31</v>
      </c>
      <c r="C487" s="26">
        <v>102.17</v>
      </c>
      <c r="D487" s="1"/>
      <c r="E487" s="1"/>
      <c r="F487" s="1"/>
      <c r="G487" s="1"/>
      <c r="H487" s="1"/>
      <c r="I487" s="1"/>
      <c r="J487" s="1">
        <f t="shared" si="64"/>
        <v>0</v>
      </c>
      <c r="K487" s="19" t="str">
        <f t="shared" si="65"/>
        <v xml:space="preserve"> No Issue</v>
      </c>
      <c r="L487" s="1" t="str">
        <f t="shared" si="66"/>
        <v>No Issue</v>
      </c>
      <c r="M487" s="1" t="str">
        <f t="shared" si="67"/>
        <v>No Issue</v>
      </c>
      <c r="N487" s="1" t="str">
        <f t="shared" si="68"/>
        <v>No Issue</v>
      </c>
      <c r="O487" s="1" t="str">
        <f t="shared" si="69"/>
        <v>No Issue</v>
      </c>
      <c r="P487" s="1" t="str">
        <f t="shared" si="70"/>
        <v>NoIssue</v>
      </c>
    </row>
    <row r="488" spans="1:16" ht="22.5" customHeight="1">
      <c r="A488" s="20">
        <v>12</v>
      </c>
      <c r="B488" s="21" t="s">
        <v>32</v>
      </c>
      <c r="C488" s="26">
        <v>59.93</v>
      </c>
      <c r="D488" s="1"/>
      <c r="E488" s="1"/>
      <c r="F488" s="1"/>
      <c r="G488" s="1"/>
      <c r="H488" s="1"/>
      <c r="I488" s="1"/>
      <c r="J488" s="1">
        <f t="shared" si="64"/>
        <v>0</v>
      </c>
      <c r="K488" s="19" t="str">
        <f t="shared" si="65"/>
        <v xml:space="preserve"> No Issue</v>
      </c>
      <c r="L488" s="1" t="str">
        <f t="shared" si="66"/>
        <v>No Issue</v>
      </c>
      <c r="M488" s="1" t="str">
        <f t="shared" si="67"/>
        <v>No Issue</v>
      </c>
      <c r="N488" s="1" t="str">
        <f t="shared" si="68"/>
        <v>No Issue</v>
      </c>
      <c r="O488" s="1" t="str">
        <f t="shared" si="69"/>
        <v>No Issue</v>
      </c>
      <c r="P488" s="1" t="str">
        <f t="shared" si="70"/>
        <v>NoIssue</v>
      </c>
    </row>
    <row r="489" spans="1:16" ht="22.5" customHeight="1">
      <c r="A489" s="20">
        <v>13</v>
      </c>
      <c r="B489" s="21" t="s">
        <v>33</v>
      </c>
      <c r="C489" s="26">
        <v>118</v>
      </c>
      <c r="D489" s="1"/>
      <c r="E489" s="1"/>
      <c r="F489" s="1"/>
      <c r="G489" s="1"/>
      <c r="H489" s="1"/>
      <c r="I489" s="1"/>
      <c r="J489" s="1">
        <f t="shared" si="64"/>
        <v>0</v>
      </c>
      <c r="K489" s="19" t="str">
        <f t="shared" si="65"/>
        <v xml:space="preserve"> No Issue</v>
      </c>
      <c r="L489" s="1" t="str">
        <f t="shared" si="66"/>
        <v>No Issue</v>
      </c>
      <c r="M489" s="1" t="str">
        <f t="shared" si="67"/>
        <v>No Issue</v>
      </c>
      <c r="N489" s="1" t="str">
        <f t="shared" si="68"/>
        <v>No Issue</v>
      </c>
      <c r="O489" s="1" t="str">
        <f t="shared" si="69"/>
        <v>No Issue</v>
      </c>
      <c r="P489" s="1" t="str">
        <f t="shared" si="70"/>
        <v>NoIssue</v>
      </c>
    </row>
    <row r="490" spans="1:16" ht="22.5" customHeight="1">
      <c r="A490" s="20">
        <v>14</v>
      </c>
      <c r="B490" s="21" t="s">
        <v>34</v>
      </c>
      <c r="C490" s="26">
        <v>52.83</v>
      </c>
      <c r="D490" s="1"/>
      <c r="E490" s="1"/>
      <c r="F490" s="1"/>
      <c r="G490" s="1"/>
      <c r="H490" s="1"/>
      <c r="I490" s="1"/>
      <c r="J490" s="1">
        <f t="shared" si="64"/>
        <v>0</v>
      </c>
      <c r="K490" s="19" t="str">
        <f t="shared" si="65"/>
        <v xml:space="preserve"> No Issue</v>
      </c>
      <c r="L490" s="1" t="str">
        <f t="shared" si="66"/>
        <v>No Issue</v>
      </c>
      <c r="M490" s="1" t="str">
        <f t="shared" si="67"/>
        <v>No Issue</v>
      </c>
      <c r="N490" s="1" t="str">
        <f t="shared" si="68"/>
        <v>No Issue</v>
      </c>
      <c r="O490" s="1" t="str">
        <f t="shared" si="69"/>
        <v>No Issue</v>
      </c>
      <c r="P490" s="1" t="str">
        <f t="shared" si="70"/>
        <v>NoIssue</v>
      </c>
    </row>
    <row r="491" spans="1:16" ht="22.5" customHeight="1">
      <c r="A491" s="20">
        <v>15</v>
      </c>
      <c r="B491" s="21" t="s">
        <v>35</v>
      </c>
      <c r="C491" s="26">
        <v>93.2</v>
      </c>
      <c r="D491" s="1"/>
      <c r="E491" s="1"/>
      <c r="F491" s="1"/>
      <c r="G491" s="1"/>
      <c r="H491" s="1"/>
      <c r="I491" s="1"/>
      <c r="J491" s="1">
        <f t="shared" si="64"/>
        <v>0</v>
      </c>
      <c r="K491" s="19" t="str">
        <f t="shared" si="65"/>
        <v xml:space="preserve"> No Issue</v>
      </c>
      <c r="L491" s="1" t="str">
        <f t="shared" si="66"/>
        <v>No Issue</v>
      </c>
      <c r="M491" s="1" t="str">
        <f t="shared" si="67"/>
        <v>No Issue</v>
      </c>
      <c r="N491" s="1" t="str">
        <f t="shared" si="68"/>
        <v>No Issue</v>
      </c>
      <c r="O491" s="1" t="str">
        <f t="shared" si="69"/>
        <v>No Issue</v>
      </c>
      <c r="P491" s="1" t="str">
        <f t="shared" si="70"/>
        <v>NoIssue</v>
      </c>
    </row>
    <row r="492" spans="1:16" ht="22.5" customHeight="1">
      <c r="A492" s="20">
        <v>16</v>
      </c>
      <c r="B492" s="21" t="s">
        <v>36</v>
      </c>
      <c r="C492" s="26">
        <v>61.02</v>
      </c>
      <c r="D492" s="1"/>
      <c r="E492" s="1"/>
      <c r="F492" s="1"/>
      <c r="G492" s="1"/>
      <c r="H492" s="1"/>
      <c r="I492" s="1"/>
      <c r="J492" s="1">
        <f t="shared" si="64"/>
        <v>0</v>
      </c>
      <c r="K492" s="19" t="str">
        <f t="shared" si="65"/>
        <v xml:space="preserve"> No Issue</v>
      </c>
      <c r="L492" s="1" t="str">
        <f t="shared" si="66"/>
        <v>No Issue</v>
      </c>
      <c r="M492" s="1" t="str">
        <f t="shared" si="67"/>
        <v>No Issue</v>
      </c>
      <c r="N492" s="1" t="str">
        <f t="shared" si="68"/>
        <v>No Issue</v>
      </c>
      <c r="O492" s="1" t="str">
        <f t="shared" si="69"/>
        <v>No Issue</v>
      </c>
      <c r="P492" s="1" t="str">
        <f t="shared" si="70"/>
        <v>NoIssue</v>
      </c>
    </row>
    <row r="493" spans="1:16" ht="22.5" customHeight="1">
      <c r="A493" s="20">
        <v>17</v>
      </c>
      <c r="B493" s="21" t="s">
        <v>37</v>
      </c>
      <c r="C493" s="26">
        <v>36.619999999999997</v>
      </c>
      <c r="D493" s="1"/>
      <c r="E493" s="1"/>
      <c r="F493" s="1"/>
      <c r="G493" s="1"/>
      <c r="H493" s="1"/>
      <c r="I493" s="1"/>
      <c r="J493" s="1">
        <f t="shared" si="64"/>
        <v>0</v>
      </c>
      <c r="K493" s="19" t="str">
        <f t="shared" si="65"/>
        <v xml:space="preserve"> No Issue</v>
      </c>
      <c r="L493" s="1" t="str">
        <f t="shared" si="66"/>
        <v>No Issue</v>
      </c>
      <c r="M493" s="1" t="str">
        <f t="shared" si="67"/>
        <v>No Issue</v>
      </c>
      <c r="N493" s="1" t="str">
        <f t="shared" si="68"/>
        <v>No Issue</v>
      </c>
      <c r="O493" s="1" t="str">
        <f t="shared" si="69"/>
        <v>No Issue</v>
      </c>
      <c r="P493" s="1" t="str">
        <f t="shared" si="70"/>
        <v>NoIssue</v>
      </c>
    </row>
    <row r="494" spans="1:16" ht="22.5" customHeight="1">
      <c r="A494" s="20">
        <v>18</v>
      </c>
      <c r="B494" s="21" t="s">
        <v>38</v>
      </c>
      <c r="C494" s="26">
        <v>80.36</v>
      </c>
      <c r="D494" s="1"/>
      <c r="E494" s="1"/>
      <c r="F494" s="1"/>
      <c r="G494" s="1"/>
      <c r="H494" s="1"/>
      <c r="I494" s="1"/>
      <c r="J494" s="1">
        <f t="shared" si="64"/>
        <v>0</v>
      </c>
      <c r="K494" s="19" t="str">
        <f t="shared" si="65"/>
        <v xml:space="preserve"> No Issue</v>
      </c>
      <c r="L494" s="1" t="str">
        <f t="shared" si="66"/>
        <v>No Issue</v>
      </c>
      <c r="M494" s="1" t="str">
        <f t="shared" si="67"/>
        <v>No Issue</v>
      </c>
      <c r="N494" s="1" t="str">
        <f t="shared" si="68"/>
        <v>No Issue</v>
      </c>
      <c r="O494" s="1" t="str">
        <f t="shared" si="69"/>
        <v>No Issue</v>
      </c>
      <c r="P494" s="1" t="str">
        <f t="shared" si="70"/>
        <v>NoIssue</v>
      </c>
    </row>
    <row r="495" spans="1:16" ht="22.5" customHeight="1">
      <c r="A495" s="20">
        <v>19</v>
      </c>
      <c r="B495" s="21" t="s">
        <v>39</v>
      </c>
      <c r="C495" s="26">
        <v>160.56</v>
      </c>
      <c r="D495" s="1"/>
      <c r="E495" s="1"/>
      <c r="F495" s="1"/>
      <c r="G495" s="1"/>
      <c r="H495" s="1"/>
      <c r="I495" s="1"/>
      <c r="J495" s="1">
        <f t="shared" si="64"/>
        <v>0</v>
      </c>
      <c r="K495" s="19" t="str">
        <f t="shared" si="65"/>
        <v xml:space="preserve"> No Issue</v>
      </c>
      <c r="L495" s="1" t="str">
        <f t="shared" si="66"/>
        <v>No Issue</v>
      </c>
      <c r="M495" s="1" t="str">
        <f t="shared" si="67"/>
        <v>No Issue</v>
      </c>
      <c r="N495" s="1" t="str">
        <f t="shared" si="68"/>
        <v>No Issue</v>
      </c>
      <c r="O495" s="1" t="str">
        <f t="shared" si="69"/>
        <v>No Issue</v>
      </c>
      <c r="P495" s="1" t="str">
        <f t="shared" si="70"/>
        <v>NoIssue</v>
      </c>
    </row>
    <row r="496" spans="1:16" ht="22.5" customHeight="1">
      <c r="A496" s="20">
        <v>20</v>
      </c>
      <c r="B496" s="21" t="s">
        <v>40</v>
      </c>
      <c r="C496" s="26">
        <v>186.44</v>
      </c>
      <c r="D496" s="1"/>
      <c r="E496" s="1"/>
      <c r="F496" s="1"/>
      <c r="G496" s="1"/>
      <c r="H496" s="1"/>
      <c r="I496" s="1"/>
      <c r="J496" s="1">
        <f t="shared" si="64"/>
        <v>0</v>
      </c>
      <c r="K496" s="19" t="str">
        <f t="shared" si="65"/>
        <v xml:space="preserve"> No Issue</v>
      </c>
      <c r="L496" s="1" t="str">
        <f t="shared" si="66"/>
        <v>No Issue</v>
      </c>
      <c r="M496" s="1" t="str">
        <f t="shared" si="67"/>
        <v>No Issue</v>
      </c>
      <c r="N496" s="1" t="str">
        <f t="shared" si="68"/>
        <v>No Issue</v>
      </c>
      <c r="O496" s="1" t="str">
        <f t="shared" si="69"/>
        <v>No Issue</v>
      </c>
      <c r="P496" s="1" t="str">
        <f t="shared" si="70"/>
        <v>NoIssue</v>
      </c>
    </row>
    <row r="497" spans="1:16" ht="22.5" customHeight="1">
      <c r="A497" s="20">
        <v>21</v>
      </c>
      <c r="B497" s="21" t="s">
        <v>41</v>
      </c>
      <c r="C497" s="26">
        <v>92.59</v>
      </c>
      <c r="D497" s="1"/>
      <c r="E497" s="1"/>
      <c r="F497" s="1"/>
      <c r="G497" s="1"/>
      <c r="H497" s="1"/>
      <c r="I497" s="1"/>
      <c r="J497" s="1">
        <f t="shared" si="64"/>
        <v>0</v>
      </c>
      <c r="K497" s="19" t="str">
        <f t="shared" si="65"/>
        <v xml:space="preserve"> No Issue</v>
      </c>
      <c r="L497" s="1" t="str">
        <f t="shared" si="66"/>
        <v>No Issue</v>
      </c>
      <c r="M497" s="1" t="str">
        <f t="shared" si="67"/>
        <v>No Issue</v>
      </c>
      <c r="N497" s="1" t="str">
        <f t="shared" si="68"/>
        <v>No Issue</v>
      </c>
      <c r="O497" s="1" t="str">
        <f t="shared" si="69"/>
        <v>No Issue</v>
      </c>
      <c r="P497" s="1" t="str">
        <f t="shared" si="70"/>
        <v>NoIssue</v>
      </c>
    </row>
    <row r="498" spans="1:16" ht="22.5" customHeight="1">
      <c r="A498" s="20">
        <v>22</v>
      </c>
      <c r="B498" s="21" t="s">
        <v>42</v>
      </c>
      <c r="C498" s="26">
        <v>95.17</v>
      </c>
      <c r="D498" s="1"/>
      <c r="E498" s="1"/>
      <c r="F498" s="1"/>
      <c r="G498" s="1"/>
      <c r="H498" s="1"/>
      <c r="I498" s="1"/>
      <c r="J498" s="1">
        <f t="shared" si="64"/>
        <v>0</v>
      </c>
      <c r="K498" s="19" t="str">
        <f t="shared" si="65"/>
        <v xml:space="preserve"> No Issue</v>
      </c>
      <c r="L498" s="1" t="str">
        <f t="shared" si="66"/>
        <v>No Issue</v>
      </c>
      <c r="M498" s="1" t="str">
        <f t="shared" si="67"/>
        <v>No Issue</v>
      </c>
      <c r="N498" s="1" t="str">
        <f t="shared" si="68"/>
        <v>No Issue</v>
      </c>
      <c r="O498" s="1" t="str">
        <f t="shared" si="69"/>
        <v>No Issue</v>
      </c>
      <c r="P498" s="1" t="str">
        <f t="shared" si="70"/>
        <v>NoIssue</v>
      </c>
    </row>
    <row r="499" spans="1:16" ht="22.5" customHeight="1">
      <c r="A499" s="20">
        <v>23</v>
      </c>
      <c r="B499" s="21" t="s">
        <v>43</v>
      </c>
      <c r="C499" s="26">
        <v>92.94</v>
      </c>
      <c r="D499" s="1"/>
      <c r="E499" s="1"/>
      <c r="F499" s="1"/>
      <c r="G499" s="1"/>
      <c r="H499" s="1"/>
      <c r="I499" s="1"/>
      <c r="J499" s="1">
        <f t="shared" si="64"/>
        <v>0</v>
      </c>
      <c r="K499" s="19" t="str">
        <f t="shared" si="65"/>
        <v xml:space="preserve"> No Issue</v>
      </c>
      <c r="L499" s="1" t="str">
        <f t="shared" si="66"/>
        <v>No Issue</v>
      </c>
      <c r="M499" s="1" t="str">
        <f t="shared" si="67"/>
        <v>No Issue</v>
      </c>
      <c r="N499" s="1" t="str">
        <f t="shared" si="68"/>
        <v>No Issue</v>
      </c>
      <c r="O499" s="1" t="str">
        <f t="shared" si="69"/>
        <v>No Issue</v>
      </c>
      <c r="P499" s="1" t="str">
        <f t="shared" si="70"/>
        <v>NoIssue</v>
      </c>
    </row>
    <row r="500" spans="1:16" ht="22.5" customHeight="1">
      <c r="A500" s="20">
        <v>24</v>
      </c>
      <c r="B500" s="21" t="s">
        <v>44</v>
      </c>
      <c r="C500" s="26">
        <v>101.82</v>
      </c>
      <c r="D500" s="1"/>
      <c r="E500" s="1"/>
      <c r="F500" s="1"/>
      <c r="G500" s="1"/>
      <c r="H500" s="1"/>
      <c r="I500" s="1"/>
      <c r="J500" s="1">
        <f t="shared" si="64"/>
        <v>0</v>
      </c>
      <c r="K500" s="19" t="str">
        <f t="shared" si="65"/>
        <v xml:space="preserve"> No Issue</v>
      </c>
      <c r="L500" s="1" t="str">
        <f t="shared" si="66"/>
        <v>No Issue</v>
      </c>
      <c r="M500" s="1" t="str">
        <f t="shared" si="67"/>
        <v>No Issue</v>
      </c>
      <c r="N500" s="1" t="str">
        <f t="shared" si="68"/>
        <v>No Issue</v>
      </c>
      <c r="O500" s="1" t="str">
        <f t="shared" si="69"/>
        <v>No Issue</v>
      </c>
      <c r="P500" s="1" t="str">
        <f t="shared" si="70"/>
        <v>NoIssue</v>
      </c>
    </row>
    <row r="501" spans="1:16" ht="22.5" customHeight="1">
      <c r="A501" s="20">
        <v>25</v>
      </c>
      <c r="B501" s="21" t="s">
        <v>45</v>
      </c>
      <c r="C501" s="26">
        <v>53.49</v>
      </c>
      <c r="D501" s="1"/>
      <c r="E501" s="1"/>
      <c r="F501" s="1"/>
      <c r="G501" s="1"/>
      <c r="H501" s="1"/>
      <c r="I501" s="1"/>
      <c r="J501" s="1">
        <f t="shared" si="64"/>
        <v>0</v>
      </c>
      <c r="K501" s="19" t="str">
        <f t="shared" si="65"/>
        <v xml:space="preserve"> No Issue</v>
      </c>
      <c r="L501" s="1" t="str">
        <f t="shared" si="66"/>
        <v>No Issue</v>
      </c>
      <c r="M501" s="1" t="str">
        <f t="shared" si="67"/>
        <v>No Issue</v>
      </c>
      <c r="N501" s="1" t="str">
        <f t="shared" si="68"/>
        <v>No Issue</v>
      </c>
      <c r="O501" s="1" t="str">
        <f t="shared" si="69"/>
        <v>No Issue</v>
      </c>
      <c r="P501" s="1" t="str">
        <f t="shared" si="70"/>
        <v>NoIssue</v>
      </c>
    </row>
    <row r="502" spans="1:16" ht="22.5" customHeight="1">
      <c r="A502" s="20">
        <v>26</v>
      </c>
      <c r="B502" s="21" t="s">
        <v>46</v>
      </c>
      <c r="C502" s="26">
        <v>32.92</v>
      </c>
      <c r="D502" s="1"/>
      <c r="E502" s="1"/>
      <c r="F502" s="1"/>
      <c r="G502" s="1"/>
      <c r="H502" s="1"/>
      <c r="I502" s="1"/>
      <c r="J502" s="1">
        <f t="shared" si="64"/>
        <v>0</v>
      </c>
      <c r="K502" s="19" t="str">
        <f t="shared" si="65"/>
        <v xml:space="preserve"> No Issue</v>
      </c>
      <c r="L502" s="1" t="str">
        <f t="shared" si="66"/>
        <v>No Issue</v>
      </c>
      <c r="M502" s="1" t="str">
        <f t="shared" si="67"/>
        <v>No Issue</v>
      </c>
      <c r="N502" s="1" t="str">
        <f t="shared" si="68"/>
        <v>No Issue</v>
      </c>
      <c r="O502" s="1" t="str">
        <f t="shared" si="69"/>
        <v>No Issue</v>
      </c>
      <c r="P502" s="1" t="str">
        <f t="shared" si="70"/>
        <v>NoIssue</v>
      </c>
    </row>
    <row r="503" spans="1:16" ht="22.5" customHeight="1">
      <c r="A503" s="20">
        <v>27</v>
      </c>
      <c r="B503" s="21" t="s">
        <v>47</v>
      </c>
      <c r="C503" s="26">
        <v>116.68</v>
      </c>
      <c r="D503" s="1"/>
      <c r="E503" s="1"/>
      <c r="F503" s="1"/>
      <c r="G503" s="1"/>
      <c r="H503" s="1"/>
      <c r="I503" s="1"/>
      <c r="J503" s="1">
        <f t="shared" si="64"/>
        <v>0</v>
      </c>
      <c r="K503" s="19" t="str">
        <f t="shared" si="65"/>
        <v xml:space="preserve"> No Issue</v>
      </c>
      <c r="L503" s="1" t="str">
        <f t="shared" si="66"/>
        <v>No Issue</v>
      </c>
      <c r="M503" s="1" t="str">
        <f t="shared" si="67"/>
        <v>No Issue</v>
      </c>
      <c r="N503" s="1" t="str">
        <f t="shared" si="68"/>
        <v>No Issue</v>
      </c>
      <c r="O503" s="1" t="str">
        <f t="shared" si="69"/>
        <v>No Issue</v>
      </c>
      <c r="P503" s="1" t="str">
        <f t="shared" si="70"/>
        <v>NoIssue</v>
      </c>
    </row>
    <row r="504" spans="1:16" ht="22.5" customHeight="1">
      <c r="A504" s="20">
        <v>28</v>
      </c>
      <c r="B504" s="21" t="s">
        <v>48</v>
      </c>
      <c r="C504" s="26">
        <v>107.96</v>
      </c>
      <c r="D504" s="1"/>
      <c r="E504" s="1"/>
      <c r="F504" s="1"/>
      <c r="G504" s="1"/>
      <c r="H504" s="1"/>
      <c r="I504" s="1"/>
      <c r="J504" s="1">
        <f t="shared" si="64"/>
        <v>0</v>
      </c>
      <c r="K504" s="19" t="str">
        <f t="shared" si="65"/>
        <v xml:space="preserve"> No Issue</v>
      </c>
      <c r="L504" s="1" t="str">
        <f t="shared" si="66"/>
        <v>No Issue</v>
      </c>
      <c r="M504" s="1" t="str">
        <f t="shared" si="67"/>
        <v>No Issue</v>
      </c>
      <c r="N504" s="1" t="str">
        <f t="shared" si="68"/>
        <v>No Issue</v>
      </c>
      <c r="O504" s="1" t="str">
        <f t="shared" si="69"/>
        <v>No Issue</v>
      </c>
      <c r="P504" s="1" t="str">
        <f t="shared" si="70"/>
        <v>NoIssue</v>
      </c>
    </row>
    <row r="505" spans="1:16" ht="22.5" customHeight="1">
      <c r="A505" s="20">
        <v>29</v>
      </c>
      <c r="B505" s="21" t="s">
        <v>49</v>
      </c>
      <c r="C505" s="26">
        <v>248.89</v>
      </c>
      <c r="D505" s="1"/>
      <c r="E505" s="1"/>
      <c r="F505" s="1"/>
      <c r="G505" s="1"/>
      <c r="H505" s="1"/>
      <c r="I505" s="1"/>
      <c r="J505" s="1">
        <f t="shared" si="64"/>
        <v>0</v>
      </c>
      <c r="K505" s="19" t="str">
        <f t="shared" si="65"/>
        <v xml:space="preserve"> No Issue</v>
      </c>
      <c r="L505" s="1" t="str">
        <f t="shared" si="66"/>
        <v>No Issue</v>
      </c>
      <c r="M505" s="1" t="str">
        <f t="shared" si="67"/>
        <v>No Issue</v>
      </c>
      <c r="N505" s="1" t="str">
        <f t="shared" si="68"/>
        <v>No Issue</v>
      </c>
      <c r="O505" s="1" t="str">
        <f t="shared" si="69"/>
        <v>No Issue</v>
      </c>
      <c r="P505" s="1" t="str">
        <f t="shared" si="70"/>
        <v>NoIssue</v>
      </c>
    </row>
    <row r="506" spans="1:16" ht="22.5" customHeight="1">
      <c r="A506" s="20">
        <v>30</v>
      </c>
      <c r="B506" s="21" t="s">
        <v>50</v>
      </c>
      <c r="C506" s="26">
        <v>80.36</v>
      </c>
      <c r="D506" s="1"/>
      <c r="E506" s="1"/>
      <c r="F506" s="19"/>
      <c r="G506" s="19"/>
      <c r="H506" s="19"/>
      <c r="I506" s="1"/>
      <c r="J506" s="1">
        <f t="shared" si="64"/>
        <v>0</v>
      </c>
      <c r="K506" s="19" t="str">
        <f t="shared" si="65"/>
        <v xml:space="preserve"> No Issue</v>
      </c>
      <c r="L506" s="1" t="str">
        <f t="shared" si="66"/>
        <v>No Issue</v>
      </c>
      <c r="M506" s="1" t="str">
        <f t="shared" si="67"/>
        <v>No Issue</v>
      </c>
      <c r="N506" s="1" t="str">
        <f t="shared" si="68"/>
        <v>No Issue</v>
      </c>
      <c r="O506" s="1" t="str">
        <f t="shared" si="69"/>
        <v>No Issue</v>
      </c>
      <c r="P506" s="1" t="str">
        <f t="shared" si="70"/>
        <v>NoIssue</v>
      </c>
    </row>
    <row r="507" spans="1:16" ht="22.5" customHeight="1">
      <c r="A507" s="20">
        <v>31</v>
      </c>
      <c r="B507" s="21" t="s">
        <v>51</v>
      </c>
      <c r="C507" s="26">
        <v>52.46</v>
      </c>
      <c r="D507" s="1"/>
      <c r="E507" s="1"/>
      <c r="F507" s="19"/>
      <c r="G507" s="19"/>
      <c r="H507" s="19"/>
      <c r="I507" s="1"/>
      <c r="J507" s="1">
        <f t="shared" si="64"/>
        <v>0</v>
      </c>
      <c r="K507" s="19" t="str">
        <f t="shared" si="65"/>
        <v xml:space="preserve"> No Issue</v>
      </c>
      <c r="L507" s="1" t="str">
        <f t="shared" si="66"/>
        <v>No Issue</v>
      </c>
      <c r="M507" s="1" t="str">
        <f t="shared" si="67"/>
        <v>No Issue</v>
      </c>
      <c r="N507" s="1" t="str">
        <f t="shared" si="68"/>
        <v>No Issue</v>
      </c>
      <c r="O507" s="1" t="str">
        <f t="shared" si="69"/>
        <v>No Issue</v>
      </c>
      <c r="P507" s="1" t="str">
        <f t="shared" si="70"/>
        <v>NoIssue</v>
      </c>
    </row>
    <row r="508" spans="1:16" ht="22.5" customHeight="1">
      <c r="A508" s="20">
        <v>32</v>
      </c>
      <c r="B508" s="21" t="s">
        <v>52</v>
      </c>
      <c r="C508" s="26">
        <v>71.209999999999994</v>
      </c>
      <c r="D508" s="1"/>
      <c r="E508" s="1"/>
      <c r="F508" s="19"/>
      <c r="G508" s="19"/>
      <c r="H508" s="19"/>
      <c r="I508" s="1"/>
      <c r="J508" s="1">
        <f t="shared" si="64"/>
        <v>0</v>
      </c>
      <c r="K508" s="19" t="str">
        <f t="shared" si="65"/>
        <v xml:space="preserve"> No Issue</v>
      </c>
      <c r="L508" s="1" t="str">
        <f t="shared" si="66"/>
        <v>No Issue</v>
      </c>
      <c r="M508" s="1" t="str">
        <f t="shared" si="67"/>
        <v>No Issue</v>
      </c>
      <c r="N508" s="1" t="str">
        <f t="shared" si="68"/>
        <v>No Issue</v>
      </c>
      <c r="O508" s="1" t="str">
        <f t="shared" si="69"/>
        <v>No Issue</v>
      </c>
      <c r="P508" s="1" t="str">
        <f t="shared" si="70"/>
        <v>NoIssue</v>
      </c>
    </row>
    <row r="509" spans="1:16" ht="22.5" customHeight="1">
      <c r="A509" s="20">
        <v>33</v>
      </c>
      <c r="B509" s="21" t="s">
        <v>53</v>
      </c>
      <c r="C509" s="26">
        <v>80.349999999999994</v>
      </c>
      <c r="D509" s="1"/>
      <c r="E509" s="1"/>
      <c r="F509" s="19"/>
      <c r="G509" s="19"/>
      <c r="H509" s="19"/>
      <c r="I509" s="1"/>
      <c r="J509" s="1">
        <f t="shared" si="64"/>
        <v>0</v>
      </c>
      <c r="K509" s="19" t="str">
        <f t="shared" si="65"/>
        <v xml:space="preserve"> No Issue</v>
      </c>
      <c r="L509" s="1" t="str">
        <f t="shared" si="66"/>
        <v>No Issue</v>
      </c>
      <c r="M509" s="1" t="str">
        <f t="shared" si="67"/>
        <v>No Issue</v>
      </c>
      <c r="N509" s="1" t="str">
        <f t="shared" si="68"/>
        <v>No Issue</v>
      </c>
      <c r="O509" s="1" t="str">
        <f t="shared" si="69"/>
        <v>No Issue</v>
      </c>
      <c r="P509" s="1" t="str">
        <f t="shared" si="70"/>
        <v>NoIssue</v>
      </c>
    </row>
    <row r="510" spans="1:16" ht="22.5" customHeight="1">
      <c r="A510" s="20">
        <v>34</v>
      </c>
      <c r="B510" s="21" t="s">
        <v>54</v>
      </c>
      <c r="C510" s="26">
        <v>64.180000000000007</v>
      </c>
      <c r="D510" s="1"/>
      <c r="E510" s="1"/>
      <c r="F510" s="19"/>
      <c r="G510" s="19"/>
      <c r="H510" s="19"/>
      <c r="I510" s="1"/>
      <c r="J510" s="1">
        <f t="shared" si="64"/>
        <v>0</v>
      </c>
      <c r="K510" s="19" t="str">
        <f t="shared" si="65"/>
        <v xml:space="preserve"> No Issue</v>
      </c>
      <c r="L510" s="1" t="str">
        <f t="shared" si="66"/>
        <v>No Issue</v>
      </c>
      <c r="M510" s="1" t="str">
        <f t="shared" si="67"/>
        <v>No Issue</v>
      </c>
      <c r="N510" s="1" t="str">
        <f t="shared" si="68"/>
        <v>No Issue</v>
      </c>
      <c r="O510" s="1" t="str">
        <f t="shared" si="69"/>
        <v>No Issue</v>
      </c>
      <c r="P510" s="1" t="str">
        <f t="shared" si="70"/>
        <v>NoIssue</v>
      </c>
    </row>
    <row r="511" spans="1:16" ht="22.5" customHeight="1">
      <c r="A511" s="20">
        <v>35</v>
      </c>
      <c r="B511" s="21" t="s">
        <v>55</v>
      </c>
      <c r="C511" s="26">
        <v>36.9</v>
      </c>
      <c r="D511" s="1"/>
      <c r="E511" s="1"/>
      <c r="F511" s="19"/>
      <c r="G511" s="19"/>
      <c r="H511" s="19"/>
      <c r="I511" s="1"/>
      <c r="J511" s="1">
        <f t="shared" si="64"/>
        <v>0</v>
      </c>
      <c r="K511" s="19" t="str">
        <f t="shared" si="65"/>
        <v xml:space="preserve"> No Issue</v>
      </c>
      <c r="L511" s="1" t="str">
        <f t="shared" si="66"/>
        <v>No Issue</v>
      </c>
      <c r="M511" s="1" t="str">
        <f t="shared" si="67"/>
        <v>No Issue</v>
      </c>
      <c r="N511" s="1" t="str">
        <f t="shared" si="68"/>
        <v>No Issue</v>
      </c>
      <c r="O511" s="1" t="str">
        <f t="shared" si="69"/>
        <v>No Issue</v>
      </c>
      <c r="P511" s="1" t="str">
        <f t="shared" si="70"/>
        <v>NoIssue</v>
      </c>
    </row>
    <row r="512" spans="1:16" ht="22.5" customHeight="1">
      <c r="A512" s="20">
        <v>36</v>
      </c>
      <c r="B512" s="21" t="s">
        <v>56</v>
      </c>
      <c r="C512" s="26">
        <v>101.54</v>
      </c>
      <c r="D512" s="1"/>
      <c r="E512" s="1"/>
      <c r="F512" s="19"/>
      <c r="G512" s="19"/>
      <c r="H512" s="19"/>
      <c r="I512" s="1"/>
      <c r="J512" s="1">
        <f t="shared" si="64"/>
        <v>0</v>
      </c>
      <c r="K512" s="19" t="str">
        <f t="shared" si="65"/>
        <v xml:space="preserve"> No Issue</v>
      </c>
      <c r="L512" s="1" t="str">
        <f t="shared" si="66"/>
        <v>No Issue</v>
      </c>
      <c r="M512" s="1" t="str">
        <f t="shared" si="67"/>
        <v>No Issue</v>
      </c>
      <c r="N512" s="1" t="str">
        <f t="shared" si="68"/>
        <v>No Issue</v>
      </c>
      <c r="O512" s="1" t="str">
        <f t="shared" si="69"/>
        <v>No Issue</v>
      </c>
      <c r="P512" s="1" t="str">
        <f t="shared" si="70"/>
        <v>NoIssue</v>
      </c>
    </row>
    <row r="513" spans="1:16" ht="22.5" customHeight="1">
      <c r="A513" s="20">
        <v>37</v>
      </c>
      <c r="B513" s="21" t="s">
        <v>57</v>
      </c>
      <c r="C513" s="26">
        <v>40.5</v>
      </c>
      <c r="D513" s="1"/>
      <c r="E513" s="1"/>
      <c r="F513" s="19"/>
      <c r="G513" s="19"/>
      <c r="H513" s="19"/>
      <c r="I513" s="1"/>
      <c r="J513" s="1">
        <f t="shared" si="64"/>
        <v>0</v>
      </c>
      <c r="K513" s="19" t="str">
        <f t="shared" si="65"/>
        <v xml:space="preserve"> No Issue</v>
      </c>
      <c r="L513" s="1" t="str">
        <f t="shared" si="66"/>
        <v>No Issue</v>
      </c>
      <c r="M513" s="1" t="str">
        <f t="shared" si="67"/>
        <v>No Issue</v>
      </c>
      <c r="N513" s="1" t="str">
        <f t="shared" si="68"/>
        <v>No Issue</v>
      </c>
      <c r="O513" s="1" t="str">
        <f t="shared" si="69"/>
        <v>No Issue</v>
      </c>
      <c r="P513" s="1" t="str">
        <f t="shared" si="70"/>
        <v>NoIssue</v>
      </c>
    </row>
    <row r="514" spans="1:16" ht="22.5" customHeight="1">
      <c r="A514" s="20">
        <v>38</v>
      </c>
      <c r="B514" s="21" t="s">
        <v>58</v>
      </c>
      <c r="C514" s="26">
        <v>66.69</v>
      </c>
      <c r="D514" s="1"/>
      <c r="E514" s="1"/>
      <c r="F514" s="19"/>
      <c r="G514" s="19"/>
      <c r="H514" s="19"/>
      <c r="I514" s="1"/>
      <c r="J514" s="1">
        <f t="shared" si="64"/>
        <v>0</v>
      </c>
      <c r="K514" s="19" t="str">
        <f t="shared" si="65"/>
        <v xml:space="preserve"> No Issue</v>
      </c>
      <c r="L514" s="1" t="str">
        <f t="shared" si="66"/>
        <v>No Issue</v>
      </c>
      <c r="M514" s="1" t="str">
        <f t="shared" si="67"/>
        <v>No Issue</v>
      </c>
      <c r="N514" s="1" t="str">
        <f t="shared" si="68"/>
        <v>No Issue</v>
      </c>
      <c r="O514" s="1" t="str">
        <f t="shared" si="69"/>
        <v>No Issue</v>
      </c>
      <c r="P514" s="1" t="str">
        <f t="shared" si="70"/>
        <v>NoIssue</v>
      </c>
    </row>
    <row r="515" spans="1:16" ht="22.5" customHeight="1">
      <c r="A515" s="20">
        <v>39</v>
      </c>
      <c r="B515" s="21" t="s">
        <v>59</v>
      </c>
      <c r="C515" s="21">
        <v>150.85999999999999</v>
      </c>
      <c r="D515" s="1"/>
      <c r="E515" s="1"/>
      <c r="F515" s="19"/>
      <c r="G515" s="19"/>
      <c r="H515" s="19"/>
      <c r="I515" s="1"/>
      <c r="J515" s="1">
        <f t="shared" si="64"/>
        <v>0</v>
      </c>
      <c r="K515" s="19" t="str">
        <f t="shared" si="65"/>
        <v xml:space="preserve"> No Issue</v>
      </c>
      <c r="L515" s="1" t="str">
        <f t="shared" si="66"/>
        <v>No Issue</v>
      </c>
      <c r="M515" s="1" t="str">
        <f t="shared" si="67"/>
        <v>No Issue</v>
      </c>
      <c r="N515" s="1" t="str">
        <f t="shared" si="68"/>
        <v>No Issue</v>
      </c>
      <c r="O515" s="1" t="str">
        <f t="shared" si="69"/>
        <v>No Issue</v>
      </c>
      <c r="P515" s="1" t="str">
        <f t="shared" si="70"/>
        <v>NoIssue</v>
      </c>
    </row>
    <row r="516" spans="1:16" ht="22.5" customHeight="1">
      <c r="A516" s="20">
        <v>40</v>
      </c>
      <c r="B516" s="29" t="s">
        <v>60</v>
      </c>
      <c r="C516" s="26">
        <v>180</v>
      </c>
      <c r="D516" s="1"/>
      <c r="E516" s="1"/>
      <c r="F516" s="19"/>
      <c r="G516" s="19"/>
      <c r="H516" s="19"/>
      <c r="I516" s="1"/>
      <c r="J516" s="1">
        <f t="shared" si="64"/>
        <v>0</v>
      </c>
      <c r="K516" s="19" t="str">
        <f t="shared" si="65"/>
        <v xml:space="preserve"> No Issue</v>
      </c>
      <c r="L516" s="1" t="str">
        <f t="shared" si="66"/>
        <v>No Issue</v>
      </c>
      <c r="M516" s="1" t="str">
        <f t="shared" si="67"/>
        <v>No Issue</v>
      </c>
      <c r="N516" s="1" t="str">
        <f t="shared" si="68"/>
        <v>No Issue</v>
      </c>
      <c r="O516" s="1" t="str">
        <f t="shared" si="69"/>
        <v>No Issue</v>
      </c>
      <c r="P516" s="1" t="str">
        <f t="shared" si="70"/>
        <v>NoIssue</v>
      </c>
    </row>
    <row r="517" spans="1:16" ht="22.5" customHeight="1">
      <c r="A517" s="20">
        <v>41</v>
      </c>
      <c r="B517" s="29" t="s">
        <v>61</v>
      </c>
      <c r="C517" s="21">
        <v>128.57</v>
      </c>
      <c r="D517" s="1"/>
      <c r="E517" s="1"/>
      <c r="F517" s="19"/>
      <c r="G517" s="19"/>
      <c r="H517" s="19"/>
      <c r="I517" s="1"/>
      <c r="J517" s="1">
        <f t="shared" si="64"/>
        <v>0</v>
      </c>
      <c r="K517" s="19" t="str">
        <f t="shared" si="65"/>
        <v xml:space="preserve"> No Issue</v>
      </c>
      <c r="L517" s="1" t="str">
        <f t="shared" si="66"/>
        <v>No Issue</v>
      </c>
      <c r="M517" s="1" t="str">
        <f t="shared" si="67"/>
        <v>No Issue</v>
      </c>
      <c r="N517" s="1" t="str">
        <f t="shared" si="68"/>
        <v>No Issue</v>
      </c>
      <c r="O517" s="1" t="str">
        <f t="shared" si="69"/>
        <v>No Issue</v>
      </c>
      <c r="P517" s="1" t="str">
        <f t="shared" si="70"/>
        <v>NoIssue</v>
      </c>
    </row>
    <row r="518" spans="1:16" ht="22.5" customHeight="1">
      <c r="A518" s="20">
        <v>42</v>
      </c>
      <c r="B518" s="21"/>
      <c r="C518" s="21"/>
      <c r="D518" s="1"/>
      <c r="E518" s="1"/>
      <c r="F518" s="19"/>
      <c r="G518" s="19"/>
      <c r="H518" s="19"/>
      <c r="I518" s="1"/>
      <c r="J518" s="1">
        <f t="shared" si="64"/>
        <v>0</v>
      </c>
      <c r="K518" s="19" t="str">
        <f t="shared" si="65"/>
        <v xml:space="preserve"> No Issue</v>
      </c>
      <c r="L518" s="1" t="str">
        <f t="shared" si="66"/>
        <v>No Issue</v>
      </c>
      <c r="M518" s="1" t="str">
        <f t="shared" si="67"/>
        <v>No Issue</v>
      </c>
      <c r="N518" s="1" t="str">
        <f t="shared" si="68"/>
        <v>No Issue</v>
      </c>
      <c r="O518" s="1" t="str">
        <f t="shared" si="69"/>
        <v>No Issue</v>
      </c>
      <c r="P518" s="1" t="str">
        <f t="shared" si="70"/>
        <v>NoIssue</v>
      </c>
    </row>
    <row r="519" spans="1:16" ht="22.5" customHeight="1">
      <c r="A519" s="20">
        <v>43</v>
      </c>
      <c r="B519" s="30"/>
      <c r="C519" s="30"/>
      <c r="D519" s="1"/>
      <c r="E519" s="1"/>
      <c r="F519" s="19"/>
      <c r="G519" s="19"/>
      <c r="H519" s="19"/>
      <c r="I519" s="1"/>
      <c r="J519" s="1">
        <f t="shared" si="64"/>
        <v>0</v>
      </c>
      <c r="K519" s="19" t="str">
        <f t="shared" si="65"/>
        <v xml:space="preserve"> No Issue</v>
      </c>
      <c r="L519" s="1" t="str">
        <f t="shared" si="66"/>
        <v>No Issue</v>
      </c>
      <c r="M519" s="1" t="str">
        <f t="shared" si="67"/>
        <v>No Issue</v>
      </c>
      <c r="N519" s="1" t="str">
        <f t="shared" si="68"/>
        <v>No Issue</v>
      </c>
      <c r="O519" s="1" t="str">
        <f t="shared" si="69"/>
        <v>No Issue</v>
      </c>
      <c r="P519" s="1" t="str">
        <f t="shared" si="70"/>
        <v>NoIssue</v>
      </c>
    </row>
    <row r="520" spans="1:16" ht="22.5" customHeight="1">
      <c r="A520" s="20">
        <v>44</v>
      </c>
      <c r="B520" s="30"/>
      <c r="C520" s="30"/>
      <c r="D520" s="1"/>
      <c r="E520" s="1"/>
      <c r="F520" s="19"/>
      <c r="G520" s="19"/>
      <c r="H520" s="19"/>
      <c r="I520" s="1"/>
      <c r="J520" s="1">
        <f t="shared" si="64"/>
        <v>0</v>
      </c>
      <c r="K520" s="19" t="str">
        <f t="shared" si="65"/>
        <v xml:space="preserve"> No Issue</v>
      </c>
      <c r="L520" s="1" t="str">
        <f t="shared" si="66"/>
        <v>No Issue</v>
      </c>
      <c r="M520" s="1" t="str">
        <f t="shared" si="67"/>
        <v>No Issue</v>
      </c>
      <c r="N520" s="1" t="str">
        <f t="shared" si="68"/>
        <v>No Issue</v>
      </c>
      <c r="O520" s="1" t="str">
        <f t="shared" si="69"/>
        <v>No Issue</v>
      </c>
      <c r="P520" s="1" t="str">
        <f t="shared" si="70"/>
        <v>NoIssue</v>
      </c>
    </row>
    <row r="521" spans="1:16" ht="22.5" customHeight="1">
      <c r="A521" s="20">
        <v>45</v>
      </c>
      <c r="B521" s="30"/>
      <c r="C521" s="30"/>
      <c r="D521" s="1"/>
      <c r="E521" s="1"/>
      <c r="F521" s="19"/>
      <c r="G521" s="19"/>
      <c r="H521" s="19"/>
      <c r="I521" s="1"/>
      <c r="J521" s="1">
        <f t="shared" si="64"/>
        <v>0</v>
      </c>
      <c r="K521" s="19" t="str">
        <f t="shared" si="65"/>
        <v xml:space="preserve"> No Issue</v>
      </c>
      <c r="L521" s="1" t="str">
        <f t="shared" si="66"/>
        <v>No Issue</v>
      </c>
      <c r="M521" s="1" t="str">
        <f t="shared" si="67"/>
        <v>No Issue</v>
      </c>
      <c r="N521" s="1" t="str">
        <f t="shared" si="68"/>
        <v>No Issue</v>
      </c>
      <c r="O521" s="1" t="str">
        <f t="shared" si="69"/>
        <v>No Issue</v>
      </c>
      <c r="P521" s="1" t="str">
        <f t="shared" si="70"/>
        <v>NoIssue</v>
      </c>
    </row>
    <row r="522" spans="1:16" ht="22.5" customHeight="1">
      <c r="A522" s="20">
        <v>46</v>
      </c>
      <c r="B522" s="30"/>
      <c r="C522" s="30"/>
      <c r="D522" s="1"/>
      <c r="E522" s="1"/>
      <c r="F522" s="19"/>
      <c r="G522" s="19"/>
      <c r="H522" s="19"/>
      <c r="I522" s="1"/>
      <c r="J522" s="1">
        <f t="shared" si="64"/>
        <v>0</v>
      </c>
      <c r="K522" s="19" t="str">
        <f t="shared" si="65"/>
        <v xml:space="preserve"> No Issue</v>
      </c>
      <c r="L522" s="1" t="str">
        <f t="shared" si="66"/>
        <v>No Issue</v>
      </c>
      <c r="M522" s="1" t="str">
        <f t="shared" si="67"/>
        <v>No Issue</v>
      </c>
      <c r="N522" s="1" t="str">
        <f t="shared" si="68"/>
        <v>No Issue</v>
      </c>
      <c r="O522" s="1" t="str">
        <f t="shared" si="69"/>
        <v>No Issue</v>
      </c>
      <c r="P522" s="1" t="str">
        <f t="shared" si="70"/>
        <v>NoIssue</v>
      </c>
    </row>
    <row r="523" spans="1:16" ht="22.5" customHeight="1">
      <c r="A523" s="20">
        <v>47</v>
      </c>
      <c r="B523" s="31"/>
      <c r="C523" s="32"/>
      <c r="D523" s="1"/>
      <c r="E523" s="1"/>
      <c r="F523" s="19"/>
      <c r="G523" s="19"/>
      <c r="H523" s="19"/>
      <c r="I523" s="1"/>
      <c r="J523" s="1">
        <f t="shared" si="64"/>
        <v>0</v>
      </c>
      <c r="K523" s="19" t="str">
        <f t="shared" si="65"/>
        <v xml:space="preserve"> No Issue</v>
      </c>
      <c r="L523" s="1" t="str">
        <f t="shared" si="66"/>
        <v>No Issue</v>
      </c>
      <c r="M523" s="1" t="str">
        <f t="shared" si="67"/>
        <v>No Issue</v>
      </c>
      <c r="N523" s="1" t="str">
        <f t="shared" si="68"/>
        <v>No Issue</v>
      </c>
      <c r="O523" s="1" t="str">
        <f t="shared" si="69"/>
        <v>No Issue</v>
      </c>
      <c r="P523" s="1" t="str">
        <f t="shared" si="70"/>
        <v>NoIssue</v>
      </c>
    </row>
    <row r="524" spans="1:16" ht="22.5" customHeight="1">
      <c r="A524" s="20">
        <v>48</v>
      </c>
      <c r="B524" s="31"/>
      <c r="C524" s="32"/>
      <c r="D524" s="1"/>
      <c r="E524" s="1"/>
      <c r="F524" s="19"/>
      <c r="G524" s="19"/>
      <c r="H524" s="19"/>
      <c r="I524" s="1"/>
      <c r="J524" s="1">
        <f t="shared" si="64"/>
        <v>0</v>
      </c>
      <c r="K524" s="19" t="str">
        <f t="shared" si="65"/>
        <v xml:space="preserve"> No Issue</v>
      </c>
      <c r="L524" s="1" t="str">
        <f t="shared" si="66"/>
        <v>No Issue</v>
      </c>
      <c r="M524" s="1" t="str">
        <f t="shared" si="67"/>
        <v>No Issue</v>
      </c>
      <c r="N524" s="1" t="str">
        <f t="shared" si="68"/>
        <v>No Issue</v>
      </c>
      <c r="O524" s="1" t="str">
        <f t="shared" si="69"/>
        <v>No Issue</v>
      </c>
      <c r="P524" s="1" t="str">
        <f t="shared" si="70"/>
        <v>NoIssue</v>
      </c>
    </row>
    <row r="525" spans="1:16" ht="22.5" customHeight="1">
      <c r="A525" s="20">
        <v>49</v>
      </c>
      <c r="B525" s="31"/>
      <c r="C525" s="32"/>
      <c r="D525" s="1"/>
      <c r="E525" s="1"/>
      <c r="F525" s="19"/>
      <c r="G525" s="19"/>
      <c r="H525" s="19"/>
      <c r="I525" s="1"/>
      <c r="J525" s="1">
        <f t="shared" si="64"/>
        <v>0</v>
      </c>
      <c r="K525" s="19" t="str">
        <f t="shared" si="65"/>
        <v xml:space="preserve"> No Issue</v>
      </c>
      <c r="L525" s="1" t="str">
        <f t="shared" si="66"/>
        <v>No Issue</v>
      </c>
      <c r="M525" s="1" t="str">
        <f t="shared" si="67"/>
        <v>No Issue</v>
      </c>
      <c r="N525" s="1" t="str">
        <f t="shared" si="68"/>
        <v>No Issue</v>
      </c>
      <c r="O525" s="1" t="str">
        <f t="shared" si="69"/>
        <v>No Issue</v>
      </c>
      <c r="P525" s="1" t="str">
        <f t="shared" si="70"/>
        <v>NoIssue</v>
      </c>
    </row>
    <row r="526" spans="1:16" ht="22.5" customHeight="1">
      <c r="A526" s="20">
        <v>50</v>
      </c>
      <c r="B526" s="31"/>
      <c r="C526" s="32"/>
      <c r="D526" s="1"/>
      <c r="E526" s="1"/>
      <c r="F526" s="19"/>
      <c r="G526" s="19"/>
      <c r="H526" s="19"/>
      <c r="I526" s="1"/>
      <c r="J526" s="1">
        <f t="shared" si="64"/>
        <v>0</v>
      </c>
      <c r="K526" s="19" t="str">
        <f t="shared" si="65"/>
        <v xml:space="preserve"> No Issue</v>
      </c>
      <c r="L526" s="1" t="str">
        <f t="shared" si="66"/>
        <v>No Issue</v>
      </c>
      <c r="M526" s="1" t="str">
        <f t="shared" si="67"/>
        <v>No Issue</v>
      </c>
      <c r="N526" s="1" t="str">
        <f t="shared" si="68"/>
        <v>No Issue</v>
      </c>
      <c r="O526" s="1" t="str">
        <f t="shared" si="69"/>
        <v>No Issue</v>
      </c>
      <c r="P526" s="1" t="str">
        <f t="shared" si="70"/>
        <v>NoIssue</v>
      </c>
    </row>
    <row r="527" spans="1:16" ht="22.5" customHeight="1">
      <c r="A527" s="20">
        <v>51</v>
      </c>
      <c r="B527" s="31"/>
      <c r="C527" s="32"/>
      <c r="D527" s="1"/>
      <c r="E527" s="1"/>
      <c r="F527" s="19"/>
      <c r="G527" s="19"/>
      <c r="H527" s="19"/>
      <c r="I527" s="1"/>
      <c r="J527" s="1">
        <f t="shared" si="64"/>
        <v>0</v>
      </c>
      <c r="K527" s="19" t="str">
        <f t="shared" si="65"/>
        <v xml:space="preserve"> No Issue</v>
      </c>
      <c r="L527" s="1" t="str">
        <f t="shared" si="66"/>
        <v>No Issue</v>
      </c>
      <c r="M527" s="1" t="str">
        <f t="shared" si="67"/>
        <v>No Issue</v>
      </c>
      <c r="N527" s="1" t="str">
        <f t="shared" si="68"/>
        <v>No Issue</v>
      </c>
      <c r="O527" s="1" t="str">
        <f t="shared" si="69"/>
        <v>No Issue</v>
      </c>
      <c r="P527" s="1" t="str">
        <f t="shared" si="70"/>
        <v>NoIssue</v>
      </c>
    </row>
    <row r="528" spans="1:16" ht="22.5" customHeight="1">
      <c r="A528" s="20">
        <v>52</v>
      </c>
      <c r="B528" s="31"/>
      <c r="C528" s="32"/>
      <c r="D528" s="1"/>
      <c r="E528" s="1"/>
      <c r="F528" s="19"/>
      <c r="G528" s="19"/>
      <c r="H528" s="19"/>
      <c r="I528" s="1"/>
      <c r="J528" s="1">
        <f t="shared" si="64"/>
        <v>0</v>
      </c>
      <c r="K528" s="19" t="str">
        <f t="shared" si="65"/>
        <v xml:space="preserve"> No Issue</v>
      </c>
      <c r="L528" s="1" t="str">
        <f t="shared" si="66"/>
        <v>No Issue</v>
      </c>
      <c r="M528" s="1" t="str">
        <f t="shared" si="67"/>
        <v>No Issue</v>
      </c>
      <c r="N528" s="1" t="str">
        <f t="shared" si="68"/>
        <v>No Issue</v>
      </c>
      <c r="O528" s="1" t="str">
        <f t="shared" si="69"/>
        <v>No Issue</v>
      </c>
      <c r="P528" s="1" t="str">
        <f t="shared" si="70"/>
        <v>NoIssue</v>
      </c>
    </row>
    <row r="529" spans="1:16" ht="22.5" customHeight="1">
      <c r="A529" s="20">
        <v>53</v>
      </c>
      <c r="B529" s="31"/>
      <c r="C529" s="32"/>
      <c r="D529" s="1"/>
      <c r="E529" s="1"/>
      <c r="F529" s="19"/>
      <c r="G529" s="19"/>
      <c r="H529" s="19"/>
      <c r="I529" s="1"/>
      <c r="J529" s="1">
        <f t="shared" si="64"/>
        <v>0</v>
      </c>
      <c r="K529" s="19" t="str">
        <f t="shared" si="65"/>
        <v xml:space="preserve"> No Issue</v>
      </c>
      <c r="L529" s="1" t="str">
        <f t="shared" si="66"/>
        <v>No Issue</v>
      </c>
      <c r="M529" s="1" t="str">
        <f t="shared" si="67"/>
        <v>No Issue</v>
      </c>
      <c r="N529" s="1" t="str">
        <f t="shared" si="68"/>
        <v>No Issue</v>
      </c>
      <c r="O529" s="1" t="str">
        <f t="shared" si="69"/>
        <v>No Issue</v>
      </c>
      <c r="P529" s="1" t="str">
        <f t="shared" si="70"/>
        <v>NoIssue</v>
      </c>
    </row>
    <row r="530" spans="1:16" ht="22.5" customHeight="1">
      <c r="A530" s="20">
        <v>54</v>
      </c>
      <c r="B530" s="30"/>
      <c r="C530" s="30"/>
      <c r="D530" s="1"/>
      <c r="E530" s="1"/>
      <c r="F530" s="19"/>
      <c r="G530" s="19"/>
      <c r="H530" s="19"/>
      <c r="I530" s="1"/>
      <c r="J530" s="1">
        <f t="shared" si="64"/>
        <v>0</v>
      </c>
      <c r="K530" s="19" t="str">
        <f t="shared" si="65"/>
        <v xml:space="preserve"> No Issue</v>
      </c>
      <c r="L530" s="1" t="str">
        <f t="shared" si="66"/>
        <v>No Issue</v>
      </c>
      <c r="M530" s="1" t="str">
        <f t="shared" si="67"/>
        <v>No Issue</v>
      </c>
      <c r="N530" s="1" t="str">
        <f t="shared" si="68"/>
        <v>No Issue</v>
      </c>
      <c r="O530" s="1" t="str">
        <f t="shared" si="69"/>
        <v>No Issue</v>
      </c>
      <c r="P530" s="1" t="str">
        <f t="shared" si="70"/>
        <v>NoIssue</v>
      </c>
    </row>
    <row r="531" spans="1:16" ht="22.5" customHeight="1">
      <c r="A531" s="20">
        <v>55</v>
      </c>
      <c r="B531" s="31"/>
      <c r="C531" s="32"/>
      <c r="D531" s="1"/>
      <c r="E531" s="1"/>
      <c r="F531" s="19"/>
      <c r="G531" s="19"/>
      <c r="H531" s="19"/>
      <c r="I531" s="1"/>
      <c r="J531" s="1">
        <f t="shared" si="64"/>
        <v>0</v>
      </c>
      <c r="K531" s="19" t="str">
        <f t="shared" si="65"/>
        <v xml:space="preserve"> No Issue</v>
      </c>
      <c r="L531" s="1" t="str">
        <f t="shared" si="66"/>
        <v>No Issue</v>
      </c>
      <c r="M531" s="1" t="str">
        <f t="shared" si="67"/>
        <v>No Issue</v>
      </c>
      <c r="N531" s="1" t="str">
        <f t="shared" si="68"/>
        <v>No Issue</v>
      </c>
      <c r="O531" s="1" t="str">
        <f t="shared" si="69"/>
        <v>No Issue</v>
      </c>
      <c r="P531" s="1" t="str">
        <f t="shared" si="70"/>
        <v>NoIssue</v>
      </c>
    </row>
    <row r="532" spans="1:16" ht="22.5" customHeight="1">
      <c r="A532" s="20">
        <v>56</v>
      </c>
      <c r="B532" s="31"/>
      <c r="C532" s="32"/>
      <c r="D532" s="1"/>
      <c r="E532" s="1"/>
      <c r="F532" s="19"/>
      <c r="G532" s="19"/>
      <c r="H532" s="19"/>
      <c r="I532" s="1"/>
      <c r="J532" s="1">
        <f t="shared" si="64"/>
        <v>0</v>
      </c>
      <c r="K532" s="19" t="str">
        <f t="shared" si="65"/>
        <v xml:space="preserve"> No Issue</v>
      </c>
      <c r="L532" s="1" t="str">
        <f t="shared" si="66"/>
        <v>No Issue</v>
      </c>
      <c r="M532" s="1" t="str">
        <f t="shared" si="67"/>
        <v>No Issue</v>
      </c>
      <c r="N532" s="1" t="str">
        <f t="shared" si="68"/>
        <v>No Issue</v>
      </c>
      <c r="O532" s="1" t="str">
        <f t="shared" si="69"/>
        <v>No Issue</v>
      </c>
      <c r="P532" s="1" t="str">
        <f t="shared" si="70"/>
        <v>NoIssue</v>
      </c>
    </row>
    <row r="533" spans="1:16" ht="22.5" customHeight="1">
      <c r="A533" s="20"/>
      <c r="B533" s="1" t="s">
        <v>62</v>
      </c>
      <c r="C533" s="31"/>
      <c r="D533" s="1">
        <f t="shared" ref="D533:I533" si="71">SUMPRODUCT(D477:D532,$C477:$C532)</f>
        <v>0</v>
      </c>
      <c r="E533" s="1">
        <f t="shared" si="71"/>
        <v>0</v>
      </c>
      <c r="F533" s="1">
        <f t="shared" si="71"/>
        <v>0</v>
      </c>
      <c r="G533" s="1">
        <f t="shared" si="71"/>
        <v>0</v>
      </c>
      <c r="H533" s="1">
        <f t="shared" si="71"/>
        <v>0</v>
      </c>
      <c r="I533" s="1">
        <f t="shared" si="71"/>
        <v>0</v>
      </c>
      <c r="J533" s="1">
        <f t="shared" si="64"/>
        <v>0</v>
      </c>
      <c r="K533" s="19" t="str">
        <f t="shared" si="65"/>
        <v xml:space="preserve"> No Issue</v>
      </c>
      <c r="L533" s="1" t="str">
        <f t="shared" si="66"/>
        <v>No Issue</v>
      </c>
      <c r="M533" s="1" t="str">
        <f t="shared" si="67"/>
        <v>No Issue</v>
      </c>
      <c r="N533" s="1" t="str">
        <f t="shared" si="68"/>
        <v>No Issue</v>
      </c>
      <c r="O533" s="1" t="str">
        <f t="shared" si="69"/>
        <v>No Issue</v>
      </c>
      <c r="P533" s="1" t="str">
        <f t="shared" si="70"/>
        <v>NoIssue</v>
      </c>
    </row>
    <row r="534" spans="1:16" ht="22.5" customHeight="1">
      <c r="A534" s="8"/>
      <c r="B534" s="9" t="s">
        <v>3</v>
      </c>
      <c r="C534" s="10"/>
      <c r="D534" s="11"/>
      <c r="E534" s="9"/>
      <c r="F534" s="12"/>
      <c r="G534" s="46"/>
      <c r="H534" s="47"/>
      <c r="I534" s="12"/>
      <c r="J534" s="13"/>
      <c r="K534" s="48" t="s">
        <v>4</v>
      </c>
      <c r="L534" s="49"/>
      <c r="M534" s="49"/>
      <c r="N534" s="49"/>
      <c r="O534" s="49"/>
      <c r="P534" s="50"/>
    </row>
    <row r="535" spans="1:16" ht="22.5" customHeight="1">
      <c r="A535" s="35" t="s">
        <v>5</v>
      </c>
      <c r="B535" s="19" t="s">
        <v>6</v>
      </c>
      <c r="C535" s="19" t="s">
        <v>7</v>
      </c>
      <c r="D535" s="18" t="s">
        <v>8</v>
      </c>
      <c r="E535" s="18" t="s">
        <v>9</v>
      </c>
      <c r="F535" s="18" t="s">
        <v>10</v>
      </c>
      <c r="G535" s="18" t="s">
        <v>11</v>
      </c>
      <c r="H535" s="18" t="s">
        <v>12</v>
      </c>
      <c r="I535" s="18" t="s">
        <v>13</v>
      </c>
      <c r="J535" s="18" t="s">
        <v>14</v>
      </c>
      <c r="K535" s="19" t="s">
        <v>15</v>
      </c>
      <c r="L535" s="19" t="s">
        <v>16</v>
      </c>
      <c r="M535" s="19" t="s">
        <v>17</v>
      </c>
      <c r="N535" s="19" t="s">
        <v>18</v>
      </c>
      <c r="O535" s="19" t="s">
        <v>19</v>
      </c>
      <c r="P535" s="19" t="s">
        <v>20</v>
      </c>
    </row>
    <row r="536" spans="1:16" ht="22.5" customHeight="1">
      <c r="A536" s="20">
        <v>1</v>
      </c>
      <c r="B536" s="21" t="s">
        <v>21</v>
      </c>
      <c r="C536" s="22">
        <v>192.17</v>
      </c>
      <c r="D536" s="1"/>
      <c r="E536" s="1"/>
      <c r="F536" s="1"/>
      <c r="G536" s="1"/>
      <c r="H536" s="1"/>
      <c r="I536" s="1"/>
      <c r="J536" s="1">
        <f t="shared" ref="J536:J592" si="72">D536+E536-F536-G536+H536</f>
        <v>0</v>
      </c>
      <c r="K536" s="19" t="str">
        <f t="shared" ref="K536:K592" si="73">IF(I536&lt;&gt;(D536+E536-F536-G536+H536),"Closing stock Not Correct-Problem"," No Issue")</f>
        <v xml:space="preserve"> No Issue</v>
      </c>
      <c r="L536" s="1" t="str">
        <f t="shared" ref="L536:L592" si="74">IF((D536+E536)&lt;F536,"High Sale and Less Stock-Problem","No Issue")</f>
        <v>No Issue</v>
      </c>
      <c r="M536" s="1" t="str">
        <f t="shared" ref="M536:M592" si="75">IF(AND((D536+E536+I536)=0,F536&gt;0),"No Stock Sale Present Problem","No Issue")</f>
        <v>No Issue</v>
      </c>
      <c r="N536" s="1" t="str">
        <f t="shared" ref="N536:N592" si="76">IF(AND(SUM(D536:H536)=0,I536&gt;0),"Only Closing Entered Other Parameters No Entired Problem","No Issue")</f>
        <v>No Issue</v>
      </c>
      <c r="O536" s="1" t="str">
        <f t="shared" ref="O536:O592" si="77">IF(F536&gt;5000,"Check Once Sales quantity or Value Problem","No Issue")</f>
        <v>No Issue</v>
      </c>
      <c r="P536" s="1" t="str">
        <f t="shared" ref="P536:P592" si="78">IF(I536&gt;5000,"Check Once Closing quantity or Value Problem","NoIssue")</f>
        <v>NoIssue</v>
      </c>
    </row>
    <row r="537" spans="1:16" ht="22.5" customHeight="1">
      <c r="A537" s="20">
        <v>2</v>
      </c>
      <c r="B537" s="21" t="s">
        <v>22</v>
      </c>
      <c r="C537" s="22">
        <v>9.26</v>
      </c>
      <c r="D537" s="1"/>
      <c r="E537" s="1"/>
      <c r="F537" s="1"/>
      <c r="G537" s="1"/>
      <c r="H537" s="1"/>
      <c r="I537" s="1"/>
      <c r="J537" s="1">
        <f t="shared" si="72"/>
        <v>0</v>
      </c>
      <c r="K537" s="19" t="str">
        <f t="shared" si="73"/>
        <v xml:space="preserve"> No Issue</v>
      </c>
      <c r="L537" s="1" t="str">
        <f t="shared" si="74"/>
        <v>No Issue</v>
      </c>
      <c r="M537" s="1" t="str">
        <f t="shared" si="75"/>
        <v>No Issue</v>
      </c>
      <c r="N537" s="1" t="str">
        <f t="shared" si="76"/>
        <v>No Issue</v>
      </c>
      <c r="O537" s="1" t="str">
        <f t="shared" si="77"/>
        <v>No Issue</v>
      </c>
      <c r="P537" s="1" t="str">
        <f t="shared" si="78"/>
        <v>NoIssue</v>
      </c>
    </row>
    <row r="538" spans="1:16" ht="22.5" customHeight="1">
      <c r="A538" s="20">
        <v>3</v>
      </c>
      <c r="B538" s="21" t="s">
        <v>23</v>
      </c>
      <c r="C538" s="22">
        <v>87.79</v>
      </c>
      <c r="D538" s="1"/>
      <c r="E538" s="1"/>
      <c r="F538" s="1"/>
      <c r="G538" s="1"/>
      <c r="H538" s="1"/>
      <c r="I538" s="1"/>
      <c r="J538" s="1">
        <f t="shared" si="72"/>
        <v>0</v>
      </c>
      <c r="K538" s="19" t="str">
        <f t="shared" si="73"/>
        <v xml:space="preserve"> No Issue</v>
      </c>
      <c r="L538" s="1" t="str">
        <f t="shared" si="74"/>
        <v>No Issue</v>
      </c>
      <c r="M538" s="1" t="str">
        <f t="shared" si="75"/>
        <v>No Issue</v>
      </c>
      <c r="N538" s="1" t="str">
        <f t="shared" si="76"/>
        <v>No Issue</v>
      </c>
      <c r="O538" s="1" t="str">
        <f t="shared" si="77"/>
        <v>No Issue</v>
      </c>
      <c r="P538" s="1" t="str">
        <f t="shared" si="78"/>
        <v>NoIssue</v>
      </c>
    </row>
    <row r="539" spans="1:16" ht="22.5" customHeight="1">
      <c r="A539" s="20">
        <v>4</v>
      </c>
      <c r="B539" s="21" t="s">
        <v>24</v>
      </c>
      <c r="C539" s="22">
        <v>55.55</v>
      </c>
      <c r="D539" s="1"/>
      <c r="E539" s="1"/>
      <c r="F539" s="1"/>
      <c r="G539" s="1"/>
      <c r="H539" s="1"/>
      <c r="I539" s="1"/>
      <c r="J539" s="1">
        <f t="shared" si="72"/>
        <v>0</v>
      </c>
      <c r="K539" s="19" t="str">
        <f t="shared" si="73"/>
        <v xml:space="preserve"> No Issue</v>
      </c>
      <c r="L539" s="1" t="str">
        <f t="shared" si="74"/>
        <v>No Issue</v>
      </c>
      <c r="M539" s="1" t="str">
        <f t="shared" si="75"/>
        <v>No Issue</v>
      </c>
      <c r="N539" s="1" t="str">
        <f t="shared" si="76"/>
        <v>No Issue</v>
      </c>
      <c r="O539" s="1" t="str">
        <f t="shared" si="77"/>
        <v>No Issue</v>
      </c>
      <c r="P539" s="1" t="str">
        <f t="shared" si="78"/>
        <v>NoIssue</v>
      </c>
    </row>
    <row r="540" spans="1:16" ht="22.5" customHeight="1">
      <c r="A540" s="20">
        <v>5</v>
      </c>
      <c r="B540" s="21" t="s">
        <v>25</v>
      </c>
      <c r="C540" s="22">
        <v>70.010000000000005</v>
      </c>
      <c r="D540" s="1"/>
      <c r="E540" s="1"/>
      <c r="F540" s="1"/>
      <c r="G540" s="1"/>
      <c r="H540" s="1"/>
      <c r="I540" s="1"/>
      <c r="J540" s="1">
        <f t="shared" si="72"/>
        <v>0</v>
      </c>
      <c r="K540" s="19" t="str">
        <f t="shared" si="73"/>
        <v xml:space="preserve"> No Issue</v>
      </c>
      <c r="L540" s="1" t="str">
        <f t="shared" si="74"/>
        <v>No Issue</v>
      </c>
      <c r="M540" s="1" t="str">
        <f t="shared" si="75"/>
        <v>No Issue</v>
      </c>
      <c r="N540" s="1" t="str">
        <f t="shared" si="76"/>
        <v>No Issue</v>
      </c>
      <c r="O540" s="1" t="str">
        <f t="shared" si="77"/>
        <v>No Issue</v>
      </c>
      <c r="P540" s="1" t="str">
        <f t="shared" si="78"/>
        <v>NoIssue</v>
      </c>
    </row>
    <row r="541" spans="1:16" ht="22.5" customHeight="1">
      <c r="A541" s="20">
        <v>6</v>
      </c>
      <c r="B541" s="25" t="s">
        <v>26</v>
      </c>
      <c r="C541" s="22">
        <v>73.929999999999993</v>
      </c>
      <c r="D541" s="1"/>
      <c r="E541" s="1"/>
      <c r="F541" s="1"/>
      <c r="G541" s="1"/>
      <c r="H541" s="1"/>
      <c r="I541" s="1"/>
      <c r="J541" s="1">
        <f t="shared" si="72"/>
        <v>0</v>
      </c>
      <c r="K541" s="19" t="str">
        <f t="shared" si="73"/>
        <v xml:space="preserve"> No Issue</v>
      </c>
      <c r="L541" s="1" t="str">
        <f t="shared" si="74"/>
        <v>No Issue</v>
      </c>
      <c r="M541" s="1" t="str">
        <f t="shared" si="75"/>
        <v>No Issue</v>
      </c>
      <c r="N541" s="1" t="str">
        <f t="shared" si="76"/>
        <v>No Issue</v>
      </c>
      <c r="O541" s="1" t="str">
        <f t="shared" si="77"/>
        <v>No Issue</v>
      </c>
      <c r="P541" s="1" t="str">
        <f t="shared" si="78"/>
        <v>NoIssue</v>
      </c>
    </row>
    <row r="542" spans="1:16" ht="22.5" customHeight="1">
      <c r="A542" s="20">
        <v>7</v>
      </c>
      <c r="B542" s="21" t="s">
        <v>27</v>
      </c>
      <c r="C542" s="26">
        <v>13.91</v>
      </c>
      <c r="D542" s="1"/>
      <c r="E542" s="1"/>
      <c r="F542" s="1"/>
      <c r="G542" s="1"/>
      <c r="H542" s="1"/>
      <c r="I542" s="1"/>
      <c r="J542" s="1">
        <f t="shared" si="72"/>
        <v>0</v>
      </c>
      <c r="K542" s="19" t="str">
        <f t="shared" si="73"/>
        <v xml:space="preserve"> No Issue</v>
      </c>
      <c r="L542" s="1" t="str">
        <f t="shared" si="74"/>
        <v>No Issue</v>
      </c>
      <c r="M542" s="1" t="str">
        <f t="shared" si="75"/>
        <v>No Issue</v>
      </c>
      <c r="N542" s="1" t="str">
        <f t="shared" si="76"/>
        <v>No Issue</v>
      </c>
      <c r="O542" s="1" t="str">
        <f t="shared" si="77"/>
        <v>No Issue</v>
      </c>
      <c r="P542" s="1" t="str">
        <f t="shared" si="78"/>
        <v>NoIssue</v>
      </c>
    </row>
    <row r="543" spans="1:16" ht="22.5" customHeight="1">
      <c r="A543" s="20">
        <v>8</v>
      </c>
      <c r="B543" s="21" t="s">
        <v>28</v>
      </c>
      <c r="C543" s="26">
        <v>19.5</v>
      </c>
      <c r="D543" s="1"/>
      <c r="E543" s="1"/>
      <c r="F543" s="1"/>
      <c r="G543" s="1"/>
      <c r="H543" s="1"/>
      <c r="I543" s="1"/>
      <c r="J543" s="1">
        <f t="shared" si="72"/>
        <v>0</v>
      </c>
      <c r="K543" s="19" t="str">
        <f t="shared" si="73"/>
        <v xml:space="preserve"> No Issue</v>
      </c>
      <c r="L543" s="1" t="str">
        <f t="shared" si="74"/>
        <v>No Issue</v>
      </c>
      <c r="M543" s="1" t="str">
        <f t="shared" si="75"/>
        <v>No Issue</v>
      </c>
      <c r="N543" s="1" t="str">
        <f t="shared" si="76"/>
        <v>No Issue</v>
      </c>
      <c r="O543" s="1" t="str">
        <f t="shared" si="77"/>
        <v>No Issue</v>
      </c>
      <c r="P543" s="1" t="str">
        <f t="shared" si="78"/>
        <v>NoIssue</v>
      </c>
    </row>
    <row r="544" spans="1:16" ht="22.5" customHeight="1">
      <c r="A544" s="20">
        <v>9</v>
      </c>
      <c r="B544" s="21" t="s">
        <v>29</v>
      </c>
      <c r="C544" s="26">
        <v>28.83</v>
      </c>
      <c r="D544" s="1"/>
      <c r="E544" s="1"/>
      <c r="F544" s="1"/>
      <c r="G544" s="1"/>
      <c r="H544" s="1"/>
      <c r="I544" s="1"/>
      <c r="J544" s="1">
        <f t="shared" si="72"/>
        <v>0</v>
      </c>
      <c r="K544" s="19" t="str">
        <f t="shared" si="73"/>
        <v xml:space="preserve"> No Issue</v>
      </c>
      <c r="L544" s="1" t="str">
        <f t="shared" si="74"/>
        <v>No Issue</v>
      </c>
      <c r="M544" s="1" t="str">
        <f t="shared" si="75"/>
        <v>No Issue</v>
      </c>
      <c r="N544" s="1" t="str">
        <f t="shared" si="76"/>
        <v>No Issue</v>
      </c>
      <c r="O544" s="1" t="str">
        <f t="shared" si="77"/>
        <v>No Issue</v>
      </c>
      <c r="P544" s="1" t="str">
        <f t="shared" si="78"/>
        <v>NoIssue</v>
      </c>
    </row>
    <row r="545" spans="1:16" ht="22.5" customHeight="1">
      <c r="A545" s="20">
        <v>10</v>
      </c>
      <c r="B545" s="21" t="s">
        <v>30</v>
      </c>
      <c r="C545" s="26">
        <v>8.51</v>
      </c>
      <c r="D545" s="1"/>
      <c r="E545" s="1"/>
      <c r="F545" s="1"/>
      <c r="G545" s="1"/>
      <c r="H545" s="1"/>
      <c r="I545" s="1"/>
      <c r="J545" s="1">
        <f t="shared" si="72"/>
        <v>0</v>
      </c>
      <c r="K545" s="19" t="str">
        <f t="shared" si="73"/>
        <v xml:space="preserve"> No Issue</v>
      </c>
      <c r="L545" s="1" t="str">
        <f t="shared" si="74"/>
        <v>No Issue</v>
      </c>
      <c r="M545" s="1" t="str">
        <f t="shared" si="75"/>
        <v>No Issue</v>
      </c>
      <c r="N545" s="1" t="str">
        <f t="shared" si="76"/>
        <v>No Issue</v>
      </c>
      <c r="O545" s="1" t="str">
        <f t="shared" si="77"/>
        <v>No Issue</v>
      </c>
      <c r="P545" s="1" t="str">
        <f t="shared" si="78"/>
        <v>NoIssue</v>
      </c>
    </row>
    <row r="546" spans="1:16" ht="22.5" customHeight="1">
      <c r="A546" s="20">
        <v>11</v>
      </c>
      <c r="B546" s="21" t="s">
        <v>31</v>
      </c>
      <c r="C546" s="26">
        <v>102.17</v>
      </c>
      <c r="D546" s="1"/>
      <c r="E546" s="1"/>
      <c r="F546" s="1"/>
      <c r="G546" s="1"/>
      <c r="H546" s="1"/>
      <c r="I546" s="1"/>
      <c r="J546" s="1">
        <f t="shared" si="72"/>
        <v>0</v>
      </c>
      <c r="K546" s="19" t="str">
        <f t="shared" si="73"/>
        <v xml:space="preserve"> No Issue</v>
      </c>
      <c r="L546" s="1" t="str">
        <f t="shared" si="74"/>
        <v>No Issue</v>
      </c>
      <c r="M546" s="1" t="str">
        <f t="shared" si="75"/>
        <v>No Issue</v>
      </c>
      <c r="N546" s="1" t="str">
        <f t="shared" si="76"/>
        <v>No Issue</v>
      </c>
      <c r="O546" s="1" t="str">
        <f t="shared" si="77"/>
        <v>No Issue</v>
      </c>
      <c r="P546" s="1" t="str">
        <f t="shared" si="78"/>
        <v>NoIssue</v>
      </c>
    </row>
    <row r="547" spans="1:16" ht="22.5" customHeight="1">
      <c r="A547" s="20">
        <v>12</v>
      </c>
      <c r="B547" s="21" t="s">
        <v>32</v>
      </c>
      <c r="C547" s="26">
        <v>59.93</v>
      </c>
      <c r="D547" s="1"/>
      <c r="E547" s="1"/>
      <c r="F547" s="1"/>
      <c r="G547" s="1"/>
      <c r="H547" s="1"/>
      <c r="I547" s="1"/>
      <c r="J547" s="1">
        <f t="shared" si="72"/>
        <v>0</v>
      </c>
      <c r="K547" s="19" t="str">
        <f t="shared" si="73"/>
        <v xml:space="preserve"> No Issue</v>
      </c>
      <c r="L547" s="1" t="str">
        <f t="shared" si="74"/>
        <v>No Issue</v>
      </c>
      <c r="M547" s="1" t="str">
        <f t="shared" si="75"/>
        <v>No Issue</v>
      </c>
      <c r="N547" s="1" t="str">
        <f t="shared" si="76"/>
        <v>No Issue</v>
      </c>
      <c r="O547" s="1" t="str">
        <f t="shared" si="77"/>
        <v>No Issue</v>
      </c>
      <c r="P547" s="1" t="str">
        <f t="shared" si="78"/>
        <v>NoIssue</v>
      </c>
    </row>
    <row r="548" spans="1:16" ht="22.5" customHeight="1">
      <c r="A548" s="20">
        <v>13</v>
      </c>
      <c r="B548" s="21" t="s">
        <v>33</v>
      </c>
      <c r="C548" s="26">
        <v>118</v>
      </c>
      <c r="D548" s="1"/>
      <c r="E548" s="1"/>
      <c r="F548" s="1"/>
      <c r="G548" s="1"/>
      <c r="H548" s="1"/>
      <c r="I548" s="1"/>
      <c r="J548" s="1">
        <f t="shared" si="72"/>
        <v>0</v>
      </c>
      <c r="K548" s="19" t="str">
        <f t="shared" si="73"/>
        <v xml:space="preserve"> No Issue</v>
      </c>
      <c r="L548" s="1" t="str">
        <f t="shared" si="74"/>
        <v>No Issue</v>
      </c>
      <c r="M548" s="1" t="str">
        <f t="shared" si="75"/>
        <v>No Issue</v>
      </c>
      <c r="N548" s="1" t="str">
        <f t="shared" si="76"/>
        <v>No Issue</v>
      </c>
      <c r="O548" s="1" t="str">
        <f t="shared" si="77"/>
        <v>No Issue</v>
      </c>
      <c r="P548" s="1" t="str">
        <f t="shared" si="78"/>
        <v>NoIssue</v>
      </c>
    </row>
    <row r="549" spans="1:16" ht="22.5" customHeight="1">
      <c r="A549" s="20">
        <v>14</v>
      </c>
      <c r="B549" s="21" t="s">
        <v>34</v>
      </c>
      <c r="C549" s="26">
        <v>52.83</v>
      </c>
      <c r="D549" s="1"/>
      <c r="E549" s="1"/>
      <c r="F549" s="1"/>
      <c r="G549" s="1"/>
      <c r="H549" s="1"/>
      <c r="I549" s="1"/>
      <c r="J549" s="1">
        <f t="shared" si="72"/>
        <v>0</v>
      </c>
      <c r="K549" s="19" t="str">
        <f t="shared" si="73"/>
        <v xml:space="preserve"> No Issue</v>
      </c>
      <c r="L549" s="1" t="str">
        <f t="shared" si="74"/>
        <v>No Issue</v>
      </c>
      <c r="M549" s="1" t="str">
        <f t="shared" si="75"/>
        <v>No Issue</v>
      </c>
      <c r="N549" s="1" t="str">
        <f t="shared" si="76"/>
        <v>No Issue</v>
      </c>
      <c r="O549" s="1" t="str">
        <f t="shared" si="77"/>
        <v>No Issue</v>
      </c>
      <c r="P549" s="1" t="str">
        <f t="shared" si="78"/>
        <v>NoIssue</v>
      </c>
    </row>
    <row r="550" spans="1:16" ht="22.5" customHeight="1">
      <c r="A550" s="20">
        <v>15</v>
      </c>
      <c r="B550" s="21" t="s">
        <v>35</v>
      </c>
      <c r="C550" s="26">
        <v>93.2</v>
      </c>
      <c r="D550" s="1"/>
      <c r="E550" s="1"/>
      <c r="F550" s="1"/>
      <c r="G550" s="1"/>
      <c r="H550" s="1"/>
      <c r="I550" s="1"/>
      <c r="J550" s="1">
        <f t="shared" si="72"/>
        <v>0</v>
      </c>
      <c r="K550" s="19" t="str">
        <f t="shared" si="73"/>
        <v xml:space="preserve"> No Issue</v>
      </c>
      <c r="L550" s="1" t="str">
        <f t="shared" si="74"/>
        <v>No Issue</v>
      </c>
      <c r="M550" s="1" t="str">
        <f t="shared" si="75"/>
        <v>No Issue</v>
      </c>
      <c r="N550" s="1" t="str">
        <f t="shared" si="76"/>
        <v>No Issue</v>
      </c>
      <c r="O550" s="1" t="str">
        <f t="shared" si="77"/>
        <v>No Issue</v>
      </c>
      <c r="P550" s="1" t="str">
        <f t="shared" si="78"/>
        <v>NoIssue</v>
      </c>
    </row>
    <row r="551" spans="1:16" ht="22.5" customHeight="1">
      <c r="A551" s="20">
        <v>16</v>
      </c>
      <c r="B551" s="21" t="s">
        <v>36</v>
      </c>
      <c r="C551" s="26">
        <v>61.02</v>
      </c>
      <c r="D551" s="1"/>
      <c r="E551" s="1"/>
      <c r="F551" s="1"/>
      <c r="G551" s="1"/>
      <c r="H551" s="1"/>
      <c r="I551" s="1"/>
      <c r="J551" s="1">
        <f t="shared" si="72"/>
        <v>0</v>
      </c>
      <c r="K551" s="19" t="str">
        <f t="shared" si="73"/>
        <v xml:space="preserve"> No Issue</v>
      </c>
      <c r="L551" s="1" t="str">
        <f t="shared" si="74"/>
        <v>No Issue</v>
      </c>
      <c r="M551" s="1" t="str">
        <f t="shared" si="75"/>
        <v>No Issue</v>
      </c>
      <c r="N551" s="1" t="str">
        <f t="shared" si="76"/>
        <v>No Issue</v>
      </c>
      <c r="O551" s="1" t="str">
        <f t="shared" si="77"/>
        <v>No Issue</v>
      </c>
      <c r="P551" s="1" t="str">
        <f t="shared" si="78"/>
        <v>NoIssue</v>
      </c>
    </row>
    <row r="552" spans="1:16" ht="22.5" customHeight="1">
      <c r="A552" s="20">
        <v>17</v>
      </c>
      <c r="B552" s="21" t="s">
        <v>37</v>
      </c>
      <c r="C552" s="26">
        <v>36.619999999999997</v>
      </c>
      <c r="D552" s="1"/>
      <c r="E552" s="1"/>
      <c r="F552" s="1"/>
      <c r="G552" s="1"/>
      <c r="H552" s="1"/>
      <c r="I552" s="1"/>
      <c r="J552" s="1">
        <f t="shared" si="72"/>
        <v>0</v>
      </c>
      <c r="K552" s="19" t="str">
        <f t="shared" si="73"/>
        <v xml:space="preserve"> No Issue</v>
      </c>
      <c r="L552" s="1" t="str">
        <f t="shared" si="74"/>
        <v>No Issue</v>
      </c>
      <c r="M552" s="1" t="str">
        <f t="shared" si="75"/>
        <v>No Issue</v>
      </c>
      <c r="N552" s="1" t="str">
        <f t="shared" si="76"/>
        <v>No Issue</v>
      </c>
      <c r="O552" s="1" t="str">
        <f t="shared" si="77"/>
        <v>No Issue</v>
      </c>
      <c r="P552" s="1" t="str">
        <f t="shared" si="78"/>
        <v>NoIssue</v>
      </c>
    </row>
    <row r="553" spans="1:16" ht="22.5" customHeight="1">
      <c r="A553" s="20">
        <v>18</v>
      </c>
      <c r="B553" s="21" t="s">
        <v>38</v>
      </c>
      <c r="C553" s="26">
        <v>80.36</v>
      </c>
      <c r="D553" s="1"/>
      <c r="E553" s="1"/>
      <c r="F553" s="1"/>
      <c r="G553" s="1"/>
      <c r="H553" s="1"/>
      <c r="I553" s="1"/>
      <c r="J553" s="1">
        <f t="shared" si="72"/>
        <v>0</v>
      </c>
      <c r="K553" s="19" t="str">
        <f t="shared" si="73"/>
        <v xml:space="preserve"> No Issue</v>
      </c>
      <c r="L553" s="1" t="str">
        <f t="shared" si="74"/>
        <v>No Issue</v>
      </c>
      <c r="M553" s="1" t="str">
        <f t="shared" si="75"/>
        <v>No Issue</v>
      </c>
      <c r="N553" s="1" t="str">
        <f t="shared" si="76"/>
        <v>No Issue</v>
      </c>
      <c r="O553" s="1" t="str">
        <f t="shared" si="77"/>
        <v>No Issue</v>
      </c>
      <c r="P553" s="1" t="str">
        <f t="shared" si="78"/>
        <v>NoIssue</v>
      </c>
    </row>
    <row r="554" spans="1:16" ht="22.5" customHeight="1">
      <c r="A554" s="20">
        <v>19</v>
      </c>
      <c r="B554" s="21" t="s">
        <v>39</v>
      </c>
      <c r="C554" s="26">
        <v>160.56</v>
      </c>
      <c r="D554" s="1"/>
      <c r="E554" s="1"/>
      <c r="F554" s="1"/>
      <c r="G554" s="1"/>
      <c r="H554" s="1"/>
      <c r="I554" s="1"/>
      <c r="J554" s="1">
        <f t="shared" si="72"/>
        <v>0</v>
      </c>
      <c r="K554" s="19" t="str">
        <f t="shared" si="73"/>
        <v xml:space="preserve"> No Issue</v>
      </c>
      <c r="L554" s="1" t="str">
        <f t="shared" si="74"/>
        <v>No Issue</v>
      </c>
      <c r="M554" s="1" t="str">
        <f t="shared" si="75"/>
        <v>No Issue</v>
      </c>
      <c r="N554" s="1" t="str">
        <f t="shared" si="76"/>
        <v>No Issue</v>
      </c>
      <c r="O554" s="1" t="str">
        <f t="shared" si="77"/>
        <v>No Issue</v>
      </c>
      <c r="P554" s="1" t="str">
        <f t="shared" si="78"/>
        <v>NoIssue</v>
      </c>
    </row>
    <row r="555" spans="1:16" ht="22.5" customHeight="1">
      <c r="A555" s="20">
        <v>20</v>
      </c>
      <c r="B555" s="21" t="s">
        <v>40</v>
      </c>
      <c r="C555" s="26">
        <v>186.44</v>
      </c>
      <c r="D555" s="1"/>
      <c r="E555" s="1"/>
      <c r="F555" s="1"/>
      <c r="G555" s="1"/>
      <c r="H555" s="1"/>
      <c r="I555" s="1"/>
      <c r="J555" s="1">
        <f t="shared" si="72"/>
        <v>0</v>
      </c>
      <c r="K555" s="19" t="str">
        <f t="shared" si="73"/>
        <v xml:space="preserve"> No Issue</v>
      </c>
      <c r="L555" s="1" t="str">
        <f t="shared" si="74"/>
        <v>No Issue</v>
      </c>
      <c r="M555" s="1" t="str">
        <f t="shared" si="75"/>
        <v>No Issue</v>
      </c>
      <c r="N555" s="1" t="str">
        <f t="shared" si="76"/>
        <v>No Issue</v>
      </c>
      <c r="O555" s="1" t="str">
        <f t="shared" si="77"/>
        <v>No Issue</v>
      </c>
      <c r="P555" s="1" t="str">
        <f t="shared" si="78"/>
        <v>NoIssue</v>
      </c>
    </row>
    <row r="556" spans="1:16" ht="22.5" customHeight="1">
      <c r="A556" s="20">
        <v>21</v>
      </c>
      <c r="B556" s="21" t="s">
        <v>41</v>
      </c>
      <c r="C556" s="26">
        <v>92.59</v>
      </c>
      <c r="D556" s="1"/>
      <c r="E556" s="1"/>
      <c r="F556" s="1"/>
      <c r="G556" s="1"/>
      <c r="H556" s="1"/>
      <c r="I556" s="1"/>
      <c r="J556" s="1">
        <f t="shared" si="72"/>
        <v>0</v>
      </c>
      <c r="K556" s="19" t="str">
        <f t="shared" si="73"/>
        <v xml:space="preserve"> No Issue</v>
      </c>
      <c r="L556" s="1" t="str">
        <f t="shared" si="74"/>
        <v>No Issue</v>
      </c>
      <c r="M556" s="1" t="str">
        <f t="shared" si="75"/>
        <v>No Issue</v>
      </c>
      <c r="N556" s="1" t="str">
        <f t="shared" si="76"/>
        <v>No Issue</v>
      </c>
      <c r="O556" s="1" t="str">
        <f t="shared" si="77"/>
        <v>No Issue</v>
      </c>
      <c r="P556" s="1" t="str">
        <f t="shared" si="78"/>
        <v>NoIssue</v>
      </c>
    </row>
    <row r="557" spans="1:16" ht="22.5" customHeight="1">
      <c r="A557" s="20">
        <v>22</v>
      </c>
      <c r="B557" s="21" t="s">
        <v>42</v>
      </c>
      <c r="C557" s="26">
        <v>95.17</v>
      </c>
      <c r="D557" s="1"/>
      <c r="E557" s="1"/>
      <c r="F557" s="1"/>
      <c r="G557" s="1"/>
      <c r="H557" s="1"/>
      <c r="I557" s="1"/>
      <c r="J557" s="1">
        <f t="shared" si="72"/>
        <v>0</v>
      </c>
      <c r="K557" s="19" t="str">
        <f t="shared" si="73"/>
        <v xml:space="preserve"> No Issue</v>
      </c>
      <c r="L557" s="1" t="str">
        <f t="shared" si="74"/>
        <v>No Issue</v>
      </c>
      <c r="M557" s="1" t="str">
        <f t="shared" si="75"/>
        <v>No Issue</v>
      </c>
      <c r="N557" s="1" t="str">
        <f t="shared" si="76"/>
        <v>No Issue</v>
      </c>
      <c r="O557" s="1" t="str">
        <f t="shared" si="77"/>
        <v>No Issue</v>
      </c>
      <c r="P557" s="1" t="str">
        <f t="shared" si="78"/>
        <v>NoIssue</v>
      </c>
    </row>
    <row r="558" spans="1:16" ht="22.5" customHeight="1">
      <c r="A558" s="20">
        <v>23</v>
      </c>
      <c r="B558" s="21" t="s">
        <v>43</v>
      </c>
      <c r="C558" s="26">
        <v>92.94</v>
      </c>
      <c r="D558" s="1"/>
      <c r="E558" s="1"/>
      <c r="F558" s="1"/>
      <c r="G558" s="1"/>
      <c r="H558" s="1"/>
      <c r="I558" s="1"/>
      <c r="J558" s="1">
        <f t="shared" si="72"/>
        <v>0</v>
      </c>
      <c r="K558" s="19" t="str">
        <f t="shared" si="73"/>
        <v xml:space="preserve"> No Issue</v>
      </c>
      <c r="L558" s="1" t="str">
        <f t="shared" si="74"/>
        <v>No Issue</v>
      </c>
      <c r="M558" s="1" t="str">
        <f t="shared" si="75"/>
        <v>No Issue</v>
      </c>
      <c r="N558" s="1" t="str">
        <f t="shared" si="76"/>
        <v>No Issue</v>
      </c>
      <c r="O558" s="1" t="str">
        <f t="shared" si="77"/>
        <v>No Issue</v>
      </c>
      <c r="P558" s="1" t="str">
        <f t="shared" si="78"/>
        <v>NoIssue</v>
      </c>
    </row>
    <row r="559" spans="1:16" ht="22.5" customHeight="1">
      <c r="A559" s="20">
        <v>24</v>
      </c>
      <c r="B559" s="21" t="s">
        <v>44</v>
      </c>
      <c r="C559" s="26">
        <v>101.82</v>
      </c>
      <c r="D559" s="1"/>
      <c r="E559" s="1"/>
      <c r="F559" s="1"/>
      <c r="G559" s="1"/>
      <c r="H559" s="1"/>
      <c r="I559" s="1"/>
      <c r="J559" s="1">
        <f t="shared" si="72"/>
        <v>0</v>
      </c>
      <c r="K559" s="19" t="str">
        <f t="shared" si="73"/>
        <v xml:space="preserve"> No Issue</v>
      </c>
      <c r="L559" s="1" t="str">
        <f t="shared" si="74"/>
        <v>No Issue</v>
      </c>
      <c r="M559" s="1" t="str">
        <f t="shared" si="75"/>
        <v>No Issue</v>
      </c>
      <c r="N559" s="1" t="str">
        <f t="shared" si="76"/>
        <v>No Issue</v>
      </c>
      <c r="O559" s="1" t="str">
        <f t="shared" si="77"/>
        <v>No Issue</v>
      </c>
      <c r="P559" s="1" t="str">
        <f t="shared" si="78"/>
        <v>NoIssue</v>
      </c>
    </row>
    <row r="560" spans="1:16" ht="22.5" customHeight="1">
      <c r="A560" s="20">
        <v>25</v>
      </c>
      <c r="B560" s="21" t="s">
        <v>45</v>
      </c>
      <c r="C560" s="26">
        <v>53.49</v>
      </c>
      <c r="D560" s="1"/>
      <c r="E560" s="1"/>
      <c r="F560" s="1"/>
      <c r="G560" s="1"/>
      <c r="H560" s="1"/>
      <c r="I560" s="1"/>
      <c r="J560" s="1">
        <f t="shared" si="72"/>
        <v>0</v>
      </c>
      <c r="K560" s="19" t="str">
        <f t="shared" si="73"/>
        <v xml:space="preserve"> No Issue</v>
      </c>
      <c r="L560" s="1" t="str">
        <f t="shared" si="74"/>
        <v>No Issue</v>
      </c>
      <c r="M560" s="1" t="str">
        <f t="shared" si="75"/>
        <v>No Issue</v>
      </c>
      <c r="N560" s="1" t="str">
        <f t="shared" si="76"/>
        <v>No Issue</v>
      </c>
      <c r="O560" s="1" t="str">
        <f t="shared" si="77"/>
        <v>No Issue</v>
      </c>
      <c r="P560" s="1" t="str">
        <f t="shared" si="78"/>
        <v>NoIssue</v>
      </c>
    </row>
    <row r="561" spans="1:16" ht="22.5" customHeight="1">
      <c r="A561" s="20">
        <v>26</v>
      </c>
      <c r="B561" s="21" t="s">
        <v>46</v>
      </c>
      <c r="C561" s="26">
        <v>32.92</v>
      </c>
      <c r="D561" s="1"/>
      <c r="E561" s="1"/>
      <c r="F561" s="1"/>
      <c r="G561" s="1"/>
      <c r="H561" s="1"/>
      <c r="I561" s="1"/>
      <c r="J561" s="1">
        <f t="shared" si="72"/>
        <v>0</v>
      </c>
      <c r="K561" s="19" t="str">
        <f t="shared" si="73"/>
        <v xml:space="preserve"> No Issue</v>
      </c>
      <c r="L561" s="1" t="str">
        <f t="shared" si="74"/>
        <v>No Issue</v>
      </c>
      <c r="M561" s="1" t="str">
        <f t="shared" si="75"/>
        <v>No Issue</v>
      </c>
      <c r="N561" s="1" t="str">
        <f t="shared" si="76"/>
        <v>No Issue</v>
      </c>
      <c r="O561" s="1" t="str">
        <f t="shared" si="77"/>
        <v>No Issue</v>
      </c>
      <c r="P561" s="1" t="str">
        <f t="shared" si="78"/>
        <v>NoIssue</v>
      </c>
    </row>
    <row r="562" spans="1:16" ht="22.5" customHeight="1">
      <c r="A562" s="20">
        <v>27</v>
      </c>
      <c r="B562" s="21" t="s">
        <v>47</v>
      </c>
      <c r="C562" s="26">
        <v>116.68</v>
      </c>
      <c r="D562" s="1"/>
      <c r="E562" s="1"/>
      <c r="F562" s="1"/>
      <c r="G562" s="1"/>
      <c r="H562" s="1"/>
      <c r="I562" s="1"/>
      <c r="J562" s="1">
        <f t="shared" si="72"/>
        <v>0</v>
      </c>
      <c r="K562" s="19" t="str">
        <f t="shared" si="73"/>
        <v xml:space="preserve"> No Issue</v>
      </c>
      <c r="L562" s="1" t="str">
        <f t="shared" si="74"/>
        <v>No Issue</v>
      </c>
      <c r="M562" s="1" t="str">
        <f t="shared" si="75"/>
        <v>No Issue</v>
      </c>
      <c r="N562" s="1" t="str">
        <f t="shared" si="76"/>
        <v>No Issue</v>
      </c>
      <c r="O562" s="1" t="str">
        <f t="shared" si="77"/>
        <v>No Issue</v>
      </c>
      <c r="P562" s="1" t="str">
        <f t="shared" si="78"/>
        <v>NoIssue</v>
      </c>
    </row>
    <row r="563" spans="1:16" ht="22.5" customHeight="1">
      <c r="A563" s="20">
        <v>28</v>
      </c>
      <c r="B563" s="21" t="s">
        <v>48</v>
      </c>
      <c r="C563" s="26">
        <v>107.96</v>
      </c>
      <c r="D563" s="1"/>
      <c r="E563" s="1"/>
      <c r="F563" s="1"/>
      <c r="G563" s="1"/>
      <c r="H563" s="1"/>
      <c r="I563" s="1"/>
      <c r="J563" s="1">
        <f t="shared" si="72"/>
        <v>0</v>
      </c>
      <c r="K563" s="19" t="str">
        <f t="shared" si="73"/>
        <v xml:space="preserve"> No Issue</v>
      </c>
      <c r="L563" s="1" t="str">
        <f t="shared" si="74"/>
        <v>No Issue</v>
      </c>
      <c r="M563" s="1" t="str">
        <f t="shared" si="75"/>
        <v>No Issue</v>
      </c>
      <c r="N563" s="1" t="str">
        <f t="shared" si="76"/>
        <v>No Issue</v>
      </c>
      <c r="O563" s="1" t="str">
        <f t="shared" si="77"/>
        <v>No Issue</v>
      </c>
      <c r="P563" s="1" t="str">
        <f t="shared" si="78"/>
        <v>NoIssue</v>
      </c>
    </row>
    <row r="564" spans="1:16" ht="22.5" customHeight="1">
      <c r="A564" s="20">
        <v>29</v>
      </c>
      <c r="B564" s="21" t="s">
        <v>49</v>
      </c>
      <c r="C564" s="26">
        <v>248.89</v>
      </c>
      <c r="D564" s="1"/>
      <c r="E564" s="1"/>
      <c r="F564" s="1"/>
      <c r="G564" s="1"/>
      <c r="H564" s="1"/>
      <c r="I564" s="1"/>
      <c r="J564" s="1">
        <f t="shared" si="72"/>
        <v>0</v>
      </c>
      <c r="K564" s="19" t="str">
        <f t="shared" si="73"/>
        <v xml:space="preserve"> No Issue</v>
      </c>
      <c r="L564" s="1" t="str">
        <f t="shared" si="74"/>
        <v>No Issue</v>
      </c>
      <c r="M564" s="1" t="str">
        <f t="shared" si="75"/>
        <v>No Issue</v>
      </c>
      <c r="N564" s="1" t="str">
        <f t="shared" si="76"/>
        <v>No Issue</v>
      </c>
      <c r="O564" s="1" t="str">
        <f t="shared" si="77"/>
        <v>No Issue</v>
      </c>
      <c r="P564" s="1" t="str">
        <f t="shared" si="78"/>
        <v>NoIssue</v>
      </c>
    </row>
    <row r="565" spans="1:16" ht="22.5" customHeight="1">
      <c r="A565" s="20">
        <v>30</v>
      </c>
      <c r="B565" s="21" t="s">
        <v>50</v>
      </c>
      <c r="C565" s="26">
        <v>80.36</v>
      </c>
      <c r="D565" s="1"/>
      <c r="E565" s="1"/>
      <c r="F565" s="19"/>
      <c r="G565" s="19"/>
      <c r="H565" s="19"/>
      <c r="I565" s="1"/>
      <c r="J565" s="1">
        <f t="shared" si="72"/>
        <v>0</v>
      </c>
      <c r="K565" s="19" t="str">
        <f t="shared" si="73"/>
        <v xml:space="preserve"> No Issue</v>
      </c>
      <c r="L565" s="1" t="str">
        <f t="shared" si="74"/>
        <v>No Issue</v>
      </c>
      <c r="M565" s="1" t="str">
        <f t="shared" si="75"/>
        <v>No Issue</v>
      </c>
      <c r="N565" s="1" t="str">
        <f t="shared" si="76"/>
        <v>No Issue</v>
      </c>
      <c r="O565" s="1" t="str">
        <f t="shared" si="77"/>
        <v>No Issue</v>
      </c>
      <c r="P565" s="1" t="str">
        <f t="shared" si="78"/>
        <v>NoIssue</v>
      </c>
    </row>
    <row r="566" spans="1:16" ht="22.5" customHeight="1">
      <c r="A566" s="20">
        <v>31</v>
      </c>
      <c r="B566" s="21" t="s">
        <v>51</v>
      </c>
      <c r="C566" s="26">
        <v>52.46</v>
      </c>
      <c r="D566" s="1"/>
      <c r="E566" s="1"/>
      <c r="F566" s="19"/>
      <c r="G566" s="19"/>
      <c r="H566" s="19"/>
      <c r="I566" s="1"/>
      <c r="J566" s="1">
        <f t="shared" si="72"/>
        <v>0</v>
      </c>
      <c r="K566" s="19" t="str">
        <f t="shared" si="73"/>
        <v xml:space="preserve"> No Issue</v>
      </c>
      <c r="L566" s="1" t="str">
        <f t="shared" si="74"/>
        <v>No Issue</v>
      </c>
      <c r="M566" s="1" t="str">
        <f t="shared" si="75"/>
        <v>No Issue</v>
      </c>
      <c r="N566" s="1" t="str">
        <f t="shared" si="76"/>
        <v>No Issue</v>
      </c>
      <c r="O566" s="1" t="str">
        <f t="shared" si="77"/>
        <v>No Issue</v>
      </c>
      <c r="P566" s="1" t="str">
        <f t="shared" si="78"/>
        <v>NoIssue</v>
      </c>
    </row>
    <row r="567" spans="1:16" ht="22.5" customHeight="1">
      <c r="A567" s="20">
        <v>32</v>
      </c>
      <c r="B567" s="21" t="s">
        <v>52</v>
      </c>
      <c r="C567" s="26">
        <v>71.209999999999994</v>
      </c>
      <c r="D567" s="1"/>
      <c r="E567" s="1"/>
      <c r="F567" s="19"/>
      <c r="G567" s="19"/>
      <c r="H567" s="19"/>
      <c r="I567" s="1"/>
      <c r="J567" s="1">
        <f t="shared" si="72"/>
        <v>0</v>
      </c>
      <c r="K567" s="19" t="str">
        <f t="shared" si="73"/>
        <v xml:space="preserve"> No Issue</v>
      </c>
      <c r="L567" s="1" t="str">
        <f t="shared" si="74"/>
        <v>No Issue</v>
      </c>
      <c r="M567" s="1" t="str">
        <f t="shared" si="75"/>
        <v>No Issue</v>
      </c>
      <c r="N567" s="1" t="str">
        <f t="shared" si="76"/>
        <v>No Issue</v>
      </c>
      <c r="O567" s="1" t="str">
        <f t="shared" si="77"/>
        <v>No Issue</v>
      </c>
      <c r="P567" s="1" t="str">
        <f t="shared" si="78"/>
        <v>NoIssue</v>
      </c>
    </row>
    <row r="568" spans="1:16" ht="22.5" customHeight="1">
      <c r="A568" s="20">
        <v>33</v>
      </c>
      <c r="B568" s="21" t="s">
        <v>53</v>
      </c>
      <c r="C568" s="26">
        <v>80.349999999999994</v>
      </c>
      <c r="D568" s="1"/>
      <c r="E568" s="1"/>
      <c r="F568" s="19"/>
      <c r="G568" s="19"/>
      <c r="H568" s="19"/>
      <c r="I568" s="1"/>
      <c r="J568" s="1">
        <f t="shared" si="72"/>
        <v>0</v>
      </c>
      <c r="K568" s="19" t="str">
        <f t="shared" si="73"/>
        <v xml:space="preserve"> No Issue</v>
      </c>
      <c r="L568" s="1" t="str">
        <f t="shared" si="74"/>
        <v>No Issue</v>
      </c>
      <c r="M568" s="1" t="str">
        <f t="shared" si="75"/>
        <v>No Issue</v>
      </c>
      <c r="N568" s="1" t="str">
        <f t="shared" si="76"/>
        <v>No Issue</v>
      </c>
      <c r="O568" s="1" t="str">
        <f t="shared" si="77"/>
        <v>No Issue</v>
      </c>
      <c r="P568" s="1" t="str">
        <f t="shared" si="78"/>
        <v>NoIssue</v>
      </c>
    </row>
    <row r="569" spans="1:16" ht="22.5" customHeight="1">
      <c r="A569" s="20">
        <v>34</v>
      </c>
      <c r="B569" s="21" t="s">
        <v>54</v>
      </c>
      <c r="C569" s="26">
        <v>64.180000000000007</v>
      </c>
      <c r="D569" s="1"/>
      <c r="E569" s="1"/>
      <c r="F569" s="19"/>
      <c r="G569" s="19"/>
      <c r="H569" s="19"/>
      <c r="I569" s="1"/>
      <c r="J569" s="1">
        <f t="shared" si="72"/>
        <v>0</v>
      </c>
      <c r="K569" s="19" t="str">
        <f t="shared" si="73"/>
        <v xml:space="preserve"> No Issue</v>
      </c>
      <c r="L569" s="1" t="str">
        <f t="shared" si="74"/>
        <v>No Issue</v>
      </c>
      <c r="M569" s="1" t="str">
        <f t="shared" si="75"/>
        <v>No Issue</v>
      </c>
      <c r="N569" s="1" t="str">
        <f t="shared" si="76"/>
        <v>No Issue</v>
      </c>
      <c r="O569" s="1" t="str">
        <f t="shared" si="77"/>
        <v>No Issue</v>
      </c>
      <c r="P569" s="1" t="str">
        <f t="shared" si="78"/>
        <v>NoIssue</v>
      </c>
    </row>
    <row r="570" spans="1:16" ht="22.5" customHeight="1">
      <c r="A570" s="20">
        <v>35</v>
      </c>
      <c r="B570" s="21" t="s">
        <v>55</v>
      </c>
      <c r="C570" s="26">
        <v>36.9</v>
      </c>
      <c r="D570" s="1"/>
      <c r="E570" s="1"/>
      <c r="F570" s="19"/>
      <c r="G570" s="19"/>
      <c r="H570" s="19"/>
      <c r="I570" s="1"/>
      <c r="J570" s="1">
        <f t="shared" si="72"/>
        <v>0</v>
      </c>
      <c r="K570" s="19" t="str">
        <f t="shared" si="73"/>
        <v xml:space="preserve"> No Issue</v>
      </c>
      <c r="L570" s="1" t="str">
        <f t="shared" si="74"/>
        <v>No Issue</v>
      </c>
      <c r="M570" s="1" t="str">
        <f t="shared" si="75"/>
        <v>No Issue</v>
      </c>
      <c r="N570" s="1" t="str">
        <f t="shared" si="76"/>
        <v>No Issue</v>
      </c>
      <c r="O570" s="1" t="str">
        <f t="shared" si="77"/>
        <v>No Issue</v>
      </c>
      <c r="P570" s="1" t="str">
        <f t="shared" si="78"/>
        <v>NoIssue</v>
      </c>
    </row>
    <row r="571" spans="1:16" ht="22.5" customHeight="1">
      <c r="A571" s="20">
        <v>36</v>
      </c>
      <c r="B571" s="21" t="s">
        <v>56</v>
      </c>
      <c r="C571" s="26">
        <v>101.54</v>
      </c>
      <c r="D571" s="1"/>
      <c r="E571" s="1"/>
      <c r="F571" s="19"/>
      <c r="G571" s="19"/>
      <c r="H571" s="19"/>
      <c r="I571" s="1"/>
      <c r="J571" s="1">
        <f t="shared" si="72"/>
        <v>0</v>
      </c>
      <c r="K571" s="19" t="str">
        <f t="shared" si="73"/>
        <v xml:space="preserve"> No Issue</v>
      </c>
      <c r="L571" s="1" t="str">
        <f t="shared" si="74"/>
        <v>No Issue</v>
      </c>
      <c r="M571" s="1" t="str">
        <f t="shared" si="75"/>
        <v>No Issue</v>
      </c>
      <c r="N571" s="1" t="str">
        <f t="shared" si="76"/>
        <v>No Issue</v>
      </c>
      <c r="O571" s="1" t="str">
        <f t="shared" si="77"/>
        <v>No Issue</v>
      </c>
      <c r="P571" s="1" t="str">
        <f t="shared" si="78"/>
        <v>NoIssue</v>
      </c>
    </row>
    <row r="572" spans="1:16" ht="22.5" customHeight="1">
      <c r="A572" s="20">
        <v>37</v>
      </c>
      <c r="B572" s="21" t="s">
        <v>57</v>
      </c>
      <c r="C572" s="26">
        <v>40.5</v>
      </c>
      <c r="D572" s="1"/>
      <c r="E572" s="1"/>
      <c r="F572" s="19"/>
      <c r="G572" s="19"/>
      <c r="H572" s="19"/>
      <c r="I572" s="1"/>
      <c r="J572" s="1">
        <f t="shared" si="72"/>
        <v>0</v>
      </c>
      <c r="K572" s="19" t="str">
        <f t="shared" si="73"/>
        <v xml:space="preserve"> No Issue</v>
      </c>
      <c r="L572" s="1" t="str">
        <f t="shared" si="74"/>
        <v>No Issue</v>
      </c>
      <c r="M572" s="1" t="str">
        <f t="shared" si="75"/>
        <v>No Issue</v>
      </c>
      <c r="N572" s="1" t="str">
        <f t="shared" si="76"/>
        <v>No Issue</v>
      </c>
      <c r="O572" s="1" t="str">
        <f t="shared" si="77"/>
        <v>No Issue</v>
      </c>
      <c r="P572" s="1" t="str">
        <f t="shared" si="78"/>
        <v>NoIssue</v>
      </c>
    </row>
    <row r="573" spans="1:16" ht="22.5" customHeight="1">
      <c r="A573" s="20">
        <v>38</v>
      </c>
      <c r="B573" s="21" t="s">
        <v>58</v>
      </c>
      <c r="C573" s="26">
        <v>66.69</v>
      </c>
      <c r="D573" s="1"/>
      <c r="E573" s="1"/>
      <c r="F573" s="19"/>
      <c r="G573" s="19"/>
      <c r="H573" s="19"/>
      <c r="I573" s="1"/>
      <c r="J573" s="1">
        <f t="shared" si="72"/>
        <v>0</v>
      </c>
      <c r="K573" s="19" t="str">
        <f t="shared" si="73"/>
        <v xml:space="preserve"> No Issue</v>
      </c>
      <c r="L573" s="1" t="str">
        <f t="shared" si="74"/>
        <v>No Issue</v>
      </c>
      <c r="M573" s="1" t="str">
        <f t="shared" si="75"/>
        <v>No Issue</v>
      </c>
      <c r="N573" s="1" t="str">
        <f t="shared" si="76"/>
        <v>No Issue</v>
      </c>
      <c r="O573" s="1" t="str">
        <f t="shared" si="77"/>
        <v>No Issue</v>
      </c>
      <c r="P573" s="1" t="str">
        <f t="shared" si="78"/>
        <v>NoIssue</v>
      </c>
    </row>
    <row r="574" spans="1:16" ht="22.5" customHeight="1">
      <c r="A574" s="20">
        <v>39</v>
      </c>
      <c r="B574" s="21" t="s">
        <v>59</v>
      </c>
      <c r="C574" s="21">
        <v>150.85999999999999</v>
      </c>
      <c r="D574" s="1"/>
      <c r="E574" s="1"/>
      <c r="F574" s="19"/>
      <c r="G574" s="19"/>
      <c r="H574" s="19"/>
      <c r="I574" s="1"/>
      <c r="J574" s="1">
        <f t="shared" si="72"/>
        <v>0</v>
      </c>
      <c r="K574" s="19" t="str">
        <f t="shared" si="73"/>
        <v xml:space="preserve"> No Issue</v>
      </c>
      <c r="L574" s="1" t="str">
        <f t="shared" si="74"/>
        <v>No Issue</v>
      </c>
      <c r="M574" s="1" t="str">
        <f t="shared" si="75"/>
        <v>No Issue</v>
      </c>
      <c r="N574" s="1" t="str">
        <f t="shared" si="76"/>
        <v>No Issue</v>
      </c>
      <c r="O574" s="1" t="str">
        <f t="shared" si="77"/>
        <v>No Issue</v>
      </c>
      <c r="P574" s="1" t="str">
        <f t="shared" si="78"/>
        <v>NoIssue</v>
      </c>
    </row>
    <row r="575" spans="1:16" ht="22.5" customHeight="1">
      <c r="A575" s="20">
        <v>40</v>
      </c>
      <c r="B575" s="29" t="s">
        <v>60</v>
      </c>
      <c r="C575" s="26">
        <v>180</v>
      </c>
      <c r="D575" s="1"/>
      <c r="E575" s="1"/>
      <c r="F575" s="19"/>
      <c r="G575" s="19"/>
      <c r="H575" s="19"/>
      <c r="I575" s="1"/>
      <c r="J575" s="1">
        <f t="shared" si="72"/>
        <v>0</v>
      </c>
      <c r="K575" s="19" t="str">
        <f t="shared" si="73"/>
        <v xml:space="preserve"> No Issue</v>
      </c>
      <c r="L575" s="1" t="str">
        <f t="shared" si="74"/>
        <v>No Issue</v>
      </c>
      <c r="M575" s="1" t="str">
        <f t="shared" si="75"/>
        <v>No Issue</v>
      </c>
      <c r="N575" s="1" t="str">
        <f t="shared" si="76"/>
        <v>No Issue</v>
      </c>
      <c r="O575" s="1" t="str">
        <f t="shared" si="77"/>
        <v>No Issue</v>
      </c>
      <c r="P575" s="1" t="str">
        <f t="shared" si="78"/>
        <v>NoIssue</v>
      </c>
    </row>
    <row r="576" spans="1:16" ht="22.5" customHeight="1">
      <c r="A576" s="20">
        <v>41</v>
      </c>
      <c r="B576" s="29" t="s">
        <v>61</v>
      </c>
      <c r="C576" s="21">
        <v>128.57</v>
      </c>
      <c r="D576" s="1"/>
      <c r="E576" s="1"/>
      <c r="F576" s="19"/>
      <c r="G576" s="19"/>
      <c r="H576" s="19"/>
      <c r="I576" s="1"/>
      <c r="J576" s="1">
        <f t="shared" si="72"/>
        <v>0</v>
      </c>
      <c r="K576" s="19" t="str">
        <f t="shared" si="73"/>
        <v xml:space="preserve"> No Issue</v>
      </c>
      <c r="L576" s="1" t="str">
        <f t="shared" si="74"/>
        <v>No Issue</v>
      </c>
      <c r="M576" s="1" t="str">
        <f t="shared" si="75"/>
        <v>No Issue</v>
      </c>
      <c r="N576" s="1" t="str">
        <f t="shared" si="76"/>
        <v>No Issue</v>
      </c>
      <c r="O576" s="1" t="str">
        <f t="shared" si="77"/>
        <v>No Issue</v>
      </c>
      <c r="P576" s="1" t="str">
        <f t="shared" si="78"/>
        <v>NoIssue</v>
      </c>
    </row>
    <row r="577" spans="1:16" ht="22.5" customHeight="1">
      <c r="A577" s="20">
        <v>42</v>
      </c>
      <c r="B577" s="21"/>
      <c r="C577" s="21"/>
      <c r="D577" s="1"/>
      <c r="E577" s="1"/>
      <c r="F577" s="19"/>
      <c r="G577" s="19"/>
      <c r="H577" s="19"/>
      <c r="I577" s="1"/>
      <c r="J577" s="1">
        <f t="shared" si="72"/>
        <v>0</v>
      </c>
      <c r="K577" s="19" t="str">
        <f t="shared" si="73"/>
        <v xml:space="preserve"> No Issue</v>
      </c>
      <c r="L577" s="1" t="str">
        <f t="shared" si="74"/>
        <v>No Issue</v>
      </c>
      <c r="M577" s="1" t="str">
        <f t="shared" si="75"/>
        <v>No Issue</v>
      </c>
      <c r="N577" s="1" t="str">
        <f t="shared" si="76"/>
        <v>No Issue</v>
      </c>
      <c r="O577" s="1" t="str">
        <f t="shared" si="77"/>
        <v>No Issue</v>
      </c>
      <c r="P577" s="1" t="str">
        <f t="shared" si="78"/>
        <v>NoIssue</v>
      </c>
    </row>
    <row r="578" spans="1:16" ht="22.5" customHeight="1">
      <c r="A578" s="20">
        <v>43</v>
      </c>
      <c r="B578" s="30"/>
      <c r="C578" s="30"/>
      <c r="D578" s="1"/>
      <c r="E578" s="1"/>
      <c r="F578" s="19"/>
      <c r="G578" s="19"/>
      <c r="H578" s="19"/>
      <c r="I578" s="1"/>
      <c r="J578" s="1">
        <f t="shared" si="72"/>
        <v>0</v>
      </c>
      <c r="K578" s="19" t="str">
        <f t="shared" si="73"/>
        <v xml:space="preserve"> No Issue</v>
      </c>
      <c r="L578" s="1" t="str">
        <f t="shared" si="74"/>
        <v>No Issue</v>
      </c>
      <c r="M578" s="1" t="str">
        <f t="shared" si="75"/>
        <v>No Issue</v>
      </c>
      <c r="N578" s="1" t="str">
        <f t="shared" si="76"/>
        <v>No Issue</v>
      </c>
      <c r="O578" s="1" t="str">
        <f t="shared" si="77"/>
        <v>No Issue</v>
      </c>
      <c r="P578" s="1" t="str">
        <f t="shared" si="78"/>
        <v>NoIssue</v>
      </c>
    </row>
    <row r="579" spans="1:16" ht="22.5" customHeight="1">
      <c r="A579" s="20">
        <v>44</v>
      </c>
      <c r="B579" s="30"/>
      <c r="C579" s="30"/>
      <c r="D579" s="1"/>
      <c r="E579" s="1"/>
      <c r="F579" s="19"/>
      <c r="G579" s="19"/>
      <c r="H579" s="19"/>
      <c r="I579" s="1"/>
      <c r="J579" s="1">
        <f t="shared" si="72"/>
        <v>0</v>
      </c>
      <c r="K579" s="19" t="str">
        <f t="shared" si="73"/>
        <v xml:space="preserve"> No Issue</v>
      </c>
      <c r="L579" s="1" t="str">
        <f t="shared" si="74"/>
        <v>No Issue</v>
      </c>
      <c r="M579" s="1" t="str">
        <f t="shared" si="75"/>
        <v>No Issue</v>
      </c>
      <c r="N579" s="1" t="str">
        <f t="shared" si="76"/>
        <v>No Issue</v>
      </c>
      <c r="O579" s="1" t="str">
        <f t="shared" si="77"/>
        <v>No Issue</v>
      </c>
      <c r="P579" s="1" t="str">
        <f t="shared" si="78"/>
        <v>NoIssue</v>
      </c>
    </row>
    <row r="580" spans="1:16" ht="22.5" customHeight="1">
      <c r="A580" s="20">
        <v>45</v>
      </c>
      <c r="B580" s="30"/>
      <c r="C580" s="30"/>
      <c r="D580" s="1"/>
      <c r="E580" s="1"/>
      <c r="F580" s="19"/>
      <c r="G580" s="19"/>
      <c r="H580" s="19"/>
      <c r="I580" s="1"/>
      <c r="J580" s="1">
        <f t="shared" si="72"/>
        <v>0</v>
      </c>
      <c r="K580" s="19" t="str">
        <f t="shared" si="73"/>
        <v xml:space="preserve"> No Issue</v>
      </c>
      <c r="L580" s="1" t="str">
        <f t="shared" si="74"/>
        <v>No Issue</v>
      </c>
      <c r="M580" s="1" t="str">
        <f t="shared" si="75"/>
        <v>No Issue</v>
      </c>
      <c r="N580" s="1" t="str">
        <f t="shared" si="76"/>
        <v>No Issue</v>
      </c>
      <c r="O580" s="1" t="str">
        <f t="shared" si="77"/>
        <v>No Issue</v>
      </c>
      <c r="P580" s="1" t="str">
        <f t="shared" si="78"/>
        <v>NoIssue</v>
      </c>
    </row>
    <row r="581" spans="1:16" ht="22.5" customHeight="1">
      <c r="A581" s="20">
        <v>46</v>
      </c>
      <c r="B581" s="30"/>
      <c r="C581" s="30"/>
      <c r="D581" s="1"/>
      <c r="E581" s="1"/>
      <c r="F581" s="19"/>
      <c r="G581" s="19"/>
      <c r="H581" s="19"/>
      <c r="I581" s="1"/>
      <c r="J581" s="1">
        <f t="shared" si="72"/>
        <v>0</v>
      </c>
      <c r="K581" s="19" t="str">
        <f t="shared" si="73"/>
        <v xml:space="preserve"> No Issue</v>
      </c>
      <c r="L581" s="1" t="str">
        <f t="shared" si="74"/>
        <v>No Issue</v>
      </c>
      <c r="M581" s="1" t="str">
        <f t="shared" si="75"/>
        <v>No Issue</v>
      </c>
      <c r="N581" s="1" t="str">
        <f t="shared" si="76"/>
        <v>No Issue</v>
      </c>
      <c r="O581" s="1" t="str">
        <f t="shared" si="77"/>
        <v>No Issue</v>
      </c>
      <c r="P581" s="1" t="str">
        <f t="shared" si="78"/>
        <v>NoIssue</v>
      </c>
    </row>
    <row r="582" spans="1:16" ht="22.5" customHeight="1">
      <c r="A582" s="20">
        <v>47</v>
      </c>
      <c r="B582" s="31"/>
      <c r="C582" s="32"/>
      <c r="D582" s="1"/>
      <c r="E582" s="1"/>
      <c r="F582" s="19"/>
      <c r="G582" s="19"/>
      <c r="H582" s="19"/>
      <c r="I582" s="1"/>
      <c r="J582" s="1">
        <f t="shared" si="72"/>
        <v>0</v>
      </c>
      <c r="K582" s="19" t="str">
        <f t="shared" si="73"/>
        <v xml:space="preserve"> No Issue</v>
      </c>
      <c r="L582" s="1" t="str">
        <f t="shared" si="74"/>
        <v>No Issue</v>
      </c>
      <c r="M582" s="1" t="str">
        <f t="shared" si="75"/>
        <v>No Issue</v>
      </c>
      <c r="N582" s="1" t="str">
        <f t="shared" si="76"/>
        <v>No Issue</v>
      </c>
      <c r="O582" s="1" t="str">
        <f t="shared" si="77"/>
        <v>No Issue</v>
      </c>
      <c r="P582" s="1" t="str">
        <f t="shared" si="78"/>
        <v>NoIssue</v>
      </c>
    </row>
    <row r="583" spans="1:16" ht="22.5" customHeight="1">
      <c r="A583" s="20">
        <v>48</v>
      </c>
      <c r="B583" s="31"/>
      <c r="C583" s="32"/>
      <c r="D583" s="1"/>
      <c r="E583" s="1"/>
      <c r="F583" s="19"/>
      <c r="G583" s="19"/>
      <c r="H583" s="19"/>
      <c r="I583" s="1"/>
      <c r="J583" s="1">
        <f t="shared" si="72"/>
        <v>0</v>
      </c>
      <c r="K583" s="19" t="str">
        <f t="shared" si="73"/>
        <v xml:space="preserve"> No Issue</v>
      </c>
      <c r="L583" s="1" t="str">
        <f t="shared" si="74"/>
        <v>No Issue</v>
      </c>
      <c r="M583" s="1" t="str">
        <f t="shared" si="75"/>
        <v>No Issue</v>
      </c>
      <c r="N583" s="1" t="str">
        <f t="shared" si="76"/>
        <v>No Issue</v>
      </c>
      <c r="O583" s="1" t="str">
        <f t="shared" si="77"/>
        <v>No Issue</v>
      </c>
      <c r="P583" s="1" t="str">
        <f t="shared" si="78"/>
        <v>NoIssue</v>
      </c>
    </row>
    <row r="584" spans="1:16" ht="22.5" customHeight="1">
      <c r="A584" s="20">
        <v>49</v>
      </c>
      <c r="B584" s="31"/>
      <c r="C584" s="32"/>
      <c r="D584" s="1"/>
      <c r="E584" s="1"/>
      <c r="F584" s="19"/>
      <c r="G584" s="19"/>
      <c r="H584" s="19"/>
      <c r="I584" s="1"/>
      <c r="J584" s="1">
        <f t="shared" si="72"/>
        <v>0</v>
      </c>
      <c r="K584" s="19" t="str">
        <f t="shared" si="73"/>
        <v xml:space="preserve"> No Issue</v>
      </c>
      <c r="L584" s="1" t="str">
        <f t="shared" si="74"/>
        <v>No Issue</v>
      </c>
      <c r="M584" s="1" t="str">
        <f t="shared" si="75"/>
        <v>No Issue</v>
      </c>
      <c r="N584" s="1" t="str">
        <f t="shared" si="76"/>
        <v>No Issue</v>
      </c>
      <c r="O584" s="1" t="str">
        <f t="shared" si="77"/>
        <v>No Issue</v>
      </c>
      <c r="P584" s="1" t="str">
        <f t="shared" si="78"/>
        <v>NoIssue</v>
      </c>
    </row>
    <row r="585" spans="1:16" ht="22.5" customHeight="1">
      <c r="A585" s="20">
        <v>50</v>
      </c>
      <c r="B585" s="31"/>
      <c r="C585" s="32"/>
      <c r="D585" s="1"/>
      <c r="E585" s="1"/>
      <c r="F585" s="19"/>
      <c r="G585" s="19"/>
      <c r="H585" s="19"/>
      <c r="I585" s="1"/>
      <c r="J585" s="1">
        <f t="shared" si="72"/>
        <v>0</v>
      </c>
      <c r="K585" s="19" t="str">
        <f t="shared" si="73"/>
        <v xml:space="preserve"> No Issue</v>
      </c>
      <c r="L585" s="1" t="str">
        <f t="shared" si="74"/>
        <v>No Issue</v>
      </c>
      <c r="M585" s="1" t="str">
        <f t="shared" si="75"/>
        <v>No Issue</v>
      </c>
      <c r="N585" s="1" t="str">
        <f t="shared" si="76"/>
        <v>No Issue</v>
      </c>
      <c r="O585" s="1" t="str">
        <f t="shared" si="77"/>
        <v>No Issue</v>
      </c>
      <c r="P585" s="1" t="str">
        <f t="shared" si="78"/>
        <v>NoIssue</v>
      </c>
    </row>
    <row r="586" spans="1:16" ht="22.5" customHeight="1">
      <c r="A586" s="20">
        <v>51</v>
      </c>
      <c r="B586" s="31"/>
      <c r="C586" s="32"/>
      <c r="D586" s="1"/>
      <c r="E586" s="1"/>
      <c r="F586" s="19"/>
      <c r="G586" s="19"/>
      <c r="H586" s="19"/>
      <c r="I586" s="1"/>
      <c r="J586" s="1">
        <f t="shared" si="72"/>
        <v>0</v>
      </c>
      <c r="K586" s="19" t="str">
        <f t="shared" si="73"/>
        <v xml:space="preserve"> No Issue</v>
      </c>
      <c r="L586" s="1" t="str">
        <f t="shared" si="74"/>
        <v>No Issue</v>
      </c>
      <c r="M586" s="1" t="str">
        <f t="shared" si="75"/>
        <v>No Issue</v>
      </c>
      <c r="N586" s="1" t="str">
        <f t="shared" si="76"/>
        <v>No Issue</v>
      </c>
      <c r="O586" s="1" t="str">
        <f t="shared" si="77"/>
        <v>No Issue</v>
      </c>
      <c r="P586" s="1" t="str">
        <f t="shared" si="78"/>
        <v>NoIssue</v>
      </c>
    </row>
    <row r="587" spans="1:16" ht="22.5" customHeight="1">
      <c r="A587" s="20">
        <v>52</v>
      </c>
      <c r="B587" s="31"/>
      <c r="C587" s="32"/>
      <c r="D587" s="1"/>
      <c r="E587" s="1"/>
      <c r="F587" s="19"/>
      <c r="G587" s="19"/>
      <c r="H587" s="19"/>
      <c r="I587" s="1"/>
      <c r="J587" s="1">
        <f t="shared" si="72"/>
        <v>0</v>
      </c>
      <c r="K587" s="19" t="str">
        <f t="shared" si="73"/>
        <v xml:space="preserve"> No Issue</v>
      </c>
      <c r="L587" s="1" t="str">
        <f t="shared" si="74"/>
        <v>No Issue</v>
      </c>
      <c r="M587" s="1" t="str">
        <f t="shared" si="75"/>
        <v>No Issue</v>
      </c>
      <c r="N587" s="1" t="str">
        <f t="shared" si="76"/>
        <v>No Issue</v>
      </c>
      <c r="O587" s="1" t="str">
        <f t="shared" si="77"/>
        <v>No Issue</v>
      </c>
      <c r="P587" s="1" t="str">
        <f t="shared" si="78"/>
        <v>NoIssue</v>
      </c>
    </row>
    <row r="588" spans="1:16" ht="22.5" customHeight="1">
      <c r="A588" s="20">
        <v>53</v>
      </c>
      <c r="B588" s="31"/>
      <c r="C588" s="32"/>
      <c r="D588" s="1"/>
      <c r="E588" s="1"/>
      <c r="F588" s="19"/>
      <c r="G588" s="19"/>
      <c r="H588" s="19"/>
      <c r="I588" s="1"/>
      <c r="J588" s="1">
        <f t="shared" si="72"/>
        <v>0</v>
      </c>
      <c r="K588" s="19" t="str">
        <f t="shared" si="73"/>
        <v xml:space="preserve"> No Issue</v>
      </c>
      <c r="L588" s="1" t="str">
        <f t="shared" si="74"/>
        <v>No Issue</v>
      </c>
      <c r="M588" s="1" t="str">
        <f t="shared" si="75"/>
        <v>No Issue</v>
      </c>
      <c r="N588" s="1" t="str">
        <f t="shared" si="76"/>
        <v>No Issue</v>
      </c>
      <c r="O588" s="1" t="str">
        <f t="shared" si="77"/>
        <v>No Issue</v>
      </c>
      <c r="P588" s="1" t="str">
        <f t="shared" si="78"/>
        <v>NoIssue</v>
      </c>
    </row>
    <row r="589" spans="1:16" ht="22.5" customHeight="1">
      <c r="A589" s="20">
        <v>54</v>
      </c>
      <c r="B589" s="30"/>
      <c r="C589" s="30"/>
      <c r="D589" s="1"/>
      <c r="E589" s="1"/>
      <c r="F589" s="19"/>
      <c r="G589" s="19"/>
      <c r="H589" s="19"/>
      <c r="I589" s="1"/>
      <c r="J589" s="1">
        <f t="shared" si="72"/>
        <v>0</v>
      </c>
      <c r="K589" s="19" t="str">
        <f t="shared" si="73"/>
        <v xml:space="preserve"> No Issue</v>
      </c>
      <c r="L589" s="1" t="str">
        <f t="shared" si="74"/>
        <v>No Issue</v>
      </c>
      <c r="M589" s="1" t="str">
        <f t="shared" si="75"/>
        <v>No Issue</v>
      </c>
      <c r="N589" s="1" t="str">
        <f t="shared" si="76"/>
        <v>No Issue</v>
      </c>
      <c r="O589" s="1" t="str">
        <f t="shared" si="77"/>
        <v>No Issue</v>
      </c>
      <c r="P589" s="1" t="str">
        <f t="shared" si="78"/>
        <v>NoIssue</v>
      </c>
    </row>
    <row r="590" spans="1:16" ht="22.5" customHeight="1">
      <c r="A590" s="20">
        <v>55</v>
      </c>
      <c r="B590" s="31"/>
      <c r="C590" s="32"/>
      <c r="D590" s="1"/>
      <c r="E590" s="1"/>
      <c r="F590" s="19"/>
      <c r="G590" s="19"/>
      <c r="H590" s="19"/>
      <c r="I590" s="1"/>
      <c r="J590" s="1">
        <f t="shared" si="72"/>
        <v>0</v>
      </c>
      <c r="K590" s="19" t="str">
        <f t="shared" si="73"/>
        <v xml:space="preserve"> No Issue</v>
      </c>
      <c r="L590" s="1" t="str">
        <f t="shared" si="74"/>
        <v>No Issue</v>
      </c>
      <c r="M590" s="1" t="str">
        <f t="shared" si="75"/>
        <v>No Issue</v>
      </c>
      <c r="N590" s="1" t="str">
        <f t="shared" si="76"/>
        <v>No Issue</v>
      </c>
      <c r="O590" s="1" t="str">
        <f t="shared" si="77"/>
        <v>No Issue</v>
      </c>
      <c r="P590" s="1" t="str">
        <f t="shared" si="78"/>
        <v>NoIssue</v>
      </c>
    </row>
    <row r="591" spans="1:16" ht="22.5" customHeight="1">
      <c r="A591" s="20">
        <v>56</v>
      </c>
      <c r="B591" s="31"/>
      <c r="C591" s="32"/>
      <c r="D591" s="1"/>
      <c r="E591" s="1"/>
      <c r="F591" s="19"/>
      <c r="G591" s="19"/>
      <c r="H591" s="19"/>
      <c r="I591" s="1"/>
      <c r="J591" s="1">
        <f t="shared" si="72"/>
        <v>0</v>
      </c>
      <c r="K591" s="19" t="str">
        <f t="shared" si="73"/>
        <v xml:space="preserve"> No Issue</v>
      </c>
      <c r="L591" s="1" t="str">
        <f t="shared" si="74"/>
        <v>No Issue</v>
      </c>
      <c r="M591" s="1" t="str">
        <f t="shared" si="75"/>
        <v>No Issue</v>
      </c>
      <c r="N591" s="1" t="str">
        <f t="shared" si="76"/>
        <v>No Issue</v>
      </c>
      <c r="O591" s="1" t="str">
        <f t="shared" si="77"/>
        <v>No Issue</v>
      </c>
      <c r="P591" s="1" t="str">
        <f t="shared" si="78"/>
        <v>NoIssue</v>
      </c>
    </row>
    <row r="592" spans="1:16" ht="22.5" customHeight="1">
      <c r="A592" s="20"/>
      <c r="B592" s="1" t="s">
        <v>62</v>
      </c>
      <c r="C592" s="31"/>
      <c r="D592" s="1">
        <f t="shared" ref="D592:I592" si="79">SUMPRODUCT(D536:D591,$C536:$C591)</f>
        <v>0</v>
      </c>
      <c r="E592" s="1">
        <f t="shared" si="79"/>
        <v>0</v>
      </c>
      <c r="F592" s="1">
        <f t="shared" si="79"/>
        <v>0</v>
      </c>
      <c r="G592" s="1">
        <f t="shared" si="79"/>
        <v>0</v>
      </c>
      <c r="H592" s="1">
        <f t="shared" si="79"/>
        <v>0</v>
      </c>
      <c r="I592" s="1">
        <f t="shared" si="79"/>
        <v>0</v>
      </c>
      <c r="J592" s="1">
        <f t="shared" si="72"/>
        <v>0</v>
      </c>
      <c r="K592" s="19" t="str">
        <f t="shared" si="73"/>
        <v xml:space="preserve"> No Issue</v>
      </c>
      <c r="L592" s="1" t="str">
        <f t="shared" si="74"/>
        <v>No Issue</v>
      </c>
      <c r="M592" s="1" t="str">
        <f t="shared" si="75"/>
        <v>No Issue</v>
      </c>
      <c r="N592" s="1" t="str">
        <f t="shared" si="76"/>
        <v>No Issue</v>
      </c>
      <c r="O592" s="1" t="str">
        <f t="shared" si="77"/>
        <v>No Issue</v>
      </c>
      <c r="P592" s="1" t="str">
        <f t="shared" si="78"/>
        <v>NoIssue</v>
      </c>
    </row>
    <row r="593" spans="1:16" ht="22.5" customHeight="1">
      <c r="A593" s="8"/>
      <c r="B593" s="9" t="s">
        <v>3</v>
      </c>
      <c r="C593" s="10"/>
      <c r="D593" s="11"/>
      <c r="E593" s="9"/>
      <c r="F593" s="12"/>
      <c r="G593" s="46"/>
      <c r="H593" s="47"/>
      <c r="I593" s="12"/>
      <c r="J593" s="13"/>
      <c r="K593" s="48" t="s">
        <v>4</v>
      </c>
      <c r="L593" s="49"/>
      <c r="M593" s="49"/>
      <c r="N593" s="49"/>
      <c r="O593" s="49"/>
      <c r="P593" s="50"/>
    </row>
    <row r="594" spans="1:16" ht="22.5" customHeight="1">
      <c r="A594" s="35" t="s">
        <v>5</v>
      </c>
      <c r="B594" s="19" t="s">
        <v>6</v>
      </c>
      <c r="C594" s="19" t="s">
        <v>7</v>
      </c>
      <c r="D594" s="18" t="s">
        <v>8</v>
      </c>
      <c r="E594" s="18" t="s">
        <v>9</v>
      </c>
      <c r="F594" s="18" t="s">
        <v>10</v>
      </c>
      <c r="G594" s="18" t="s">
        <v>11</v>
      </c>
      <c r="H594" s="18" t="s">
        <v>12</v>
      </c>
      <c r="I594" s="18" t="s">
        <v>13</v>
      </c>
      <c r="J594" s="18" t="s">
        <v>14</v>
      </c>
      <c r="K594" s="19" t="s">
        <v>15</v>
      </c>
      <c r="L594" s="19" t="s">
        <v>16</v>
      </c>
      <c r="M594" s="19" t="s">
        <v>17</v>
      </c>
      <c r="N594" s="19" t="s">
        <v>18</v>
      </c>
      <c r="O594" s="19" t="s">
        <v>19</v>
      </c>
      <c r="P594" s="19" t="s">
        <v>20</v>
      </c>
    </row>
    <row r="595" spans="1:16" ht="22.5" customHeight="1">
      <c r="A595" s="20">
        <v>1</v>
      </c>
      <c r="B595" s="21" t="s">
        <v>21</v>
      </c>
      <c r="C595" s="22">
        <v>192.17</v>
      </c>
      <c r="D595" s="1"/>
      <c r="E595" s="1"/>
      <c r="F595" s="1"/>
      <c r="G595" s="1"/>
      <c r="H595" s="1"/>
      <c r="I595" s="1"/>
      <c r="J595" s="1">
        <f t="shared" ref="J595:J651" si="80">D595+E595-F595-G595+H595</f>
        <v>0</v>
      </c>
      <c r="K595" s="19" t="str">
        <f t="shared" ref="K595:K651" si="81">IF(I595&lt;&gt;(D595+E595-F595-G595+H595),"Closing stock Not Correct-Problem"," No Issue")</f>
        <v xml:space="preserve"> No Issue</v>
      </c>
      <c r="L595" s="1" t="str">
        <f t="shared" ref="L595:L651" si="82">IF((D595+E595)&lt;F595,"High Sale and Less Stock-Problem","No Issue")</f>
        <v>No Issue</v>
      </c>
      <c r="M595" s="1" t="str">
        <f t="shared" ref="M595:M651" si="83">IF(AND((D595+E595+I595)=0,F595&gt;0),"No Stock Sale Present Problem","No Issue")</f>
        <v>No Issue</v>
      </c>
      <c r="N595" s="1" t="str">
        <f t="shared" ref="N595:N651" si="84">IF(AND(SUM(D595:H595)=0,I595&gt;0),"Only Closing Entered Other Parameters No Entired Problem","No Issue")</f>
        <v>No Issue</v>
      </c>
      <c r="O595" s="1" t="str">
        <f t="shared" ref="O595:O651" si="85">IF(F595&gt;5000,"Check Once Sales quantity or Value Problem","No Issue")</f>
        <v>No Issue</v>
      </c>
      <c r="P595" s="1" t="str">
        <f t="shared" ref="P595:P651" si="86">IF(I595&gt;5000,"Check Once Closing quantity or Value Problem","NoIssue")</f>
        <v>NoIssue</v>
      </c>
    </row>
    <row r="596" spans="1:16" ht="22.5" customHeight="1">
      <c r="A596" s="20">
        <v>2</v>
      </c>
      <c r="B596" s="21" t="s">
        <v>22</v>
      </c>
      <c r="C596" s="22">
        <v>9.26</v>
      </c>
      <c r="D596" s="1"/>
      <c r="E596" s="1"/>
      <c r="F596" s="1"/>
      <c r="G596" s="1"/>
      <c r="H596" s="1"/>
      <c r="I596" s="1"/>
      <c r="J596" s="1">
        <f t="shared" si="80"/>
        <v>0</v>
      </c>
      <c r="K596" s="19" t="str">
        <f t="shared" si="81"/>
        <v xml:space="preserve"> No Issue</v>
      </c>
      <c r="L596" s="1" t="str">
        <f t="shared" si="82"/>
        <v>No Issue</v>
      </c>
      <c r="M596" s="1" t="str">
        <f t="shared" si="83"/>
        <v>No Issue</v>
      </c>
      <c r="N596" s="1" t="str">
        <f t="shared" si="84"/>
        <v>No Issue</v>
      </c>
      <c r="O596" s="1" t="str">
        <f t="shared" si="85"/>
        <v>No Issue</v>
      </c>
      <c r="P596" s="1" t="str">
        <f t="shared" si="86"/>
        <v>NoIssue</v>
      </c>
    </row>
    <row r="597" spans="1:16" ht="22.5" customHeight="1">
      <c r="A597" s="20">
        <v>3</v>
      </c>
      <c r="B597" s="21" t="s">
        <v>23</v>
      </c>
      <c r="C597" s="22">
        <v>87.79</v>
      </c>
      <c r="D597" s="1"/>
      <c r="E597" s="1"/>
      <c r="F597" s="1"/>
      <c r="G597" s="1"/>
      <c r="H597" s="1"/>
      <c r="I597" s="1"/>
      <c r="J597" s="1">
        <f t="shared" si="80"/>
        <v>0</v>
      </c>
      <c r="K597" s="19" t="str">
        <f t="shared" si="81"/>
        <v xml:space="preserve"> No Issue</v>
      </c>
      <c r="L597" s="1" t="str">
        <f t="shared" si="82"/>
        <v>No Issue</v>
      </c>
      <c r="M597" s="1" t="str">
        <f t="shared" si="83"/>
        <v>No Issue</v>
      </c>
      <c r="N597" s="1" t="str">
        <f t="shared" si="84"/>
        <v>No Issue</v>
      </c>
      <c r="O597" s="1" t="str">
        <f t="shared" si="85"/>
        <v>No Issue</v>
      </c>
      <c r="P597" s="1" t="str">
        <f t="shared" si="86"/>
        <v>NoIssue</v>
      </c>
    </row>
    <row r="598" spans="1:16" ht="22.5" customHeight="1">
      <c r="A598" s="20">
        <v>4</v>
      </c>
      <c r="B598" s="21" t="s">
        <v>24</v>
      </c>
      <c r="C598" s="22">
        <v>55.55</v>
      </c>
      <c r="D598" s="1"/>
      <c r="E598" s="1"/>
      <c r="F598" s="1"/>
      <c r="G598" s="1"/>
      <c r="H598" s="1"/>
      <c r="I598" s="1"/>
      <c r="J598" s="1">
        <f t="shared" si="80"/>
        <v>0</v>
      </c>
      <c r="K598" s="19" t="str">
        <f t="shared" si="81"/>
        <v xml:space="preserve"> No Issue</v>
      </c>
      <c r="L598" s="1" t="str">
        <f t="shared" si="82"/>
        <v>No Issue</v>
      </c>
      <c r="M598" s="1" t="str">
        <f t="shared" si="83"/>
        <v>No Issue</v>
      </c>
      <c r="N598" s="1" t="str">
        <f t="shared" si="84"/>
        <v>No Issue</v>
      </c>
      <c r="O598" s="1" t="str">
        <f t="shared" si="85"/>
        <v>No Issue</v>
      </c>
      <c r="P598" s="1" t="str">
        <f t="shared" si="86"/>
        <v>NoIssue</v>
      </c>
    </row>
    <row r="599" spans="1:16" ht="22.5" customHeight="1">
      <c r="A599" s="20">
        <v>5</v>
      </c>
      <c r="B599" s="21" t="s">
        <v>25</v>
      </c>
      <c r="C599" s="22">
        <v>70.010000000000005</v>
      </c>
      <c r="D599" s="1"/>
      <c r="E599" s="1"/>
      <c r="F599" s="1"/>
      <c r="G599" s="1"/>
      <c r="H599" s="1"/>
      <c r="I599" s="1"/>
      <c r="J599" s="1">
        <f t="shared" si="80"/>
        <v>0</v>
      </c>
      <c r="K599" s="19" t="str">
        <f t="shared" si="81"/>
        <v xml:space="preserve"> No Issue</v>
      </c>
      <c r="L599" s="1" t="str">
        <f t="shared" si="82"/>
        <v>No Issue</v>
      </c>
      <c r="M599" s="1" t="str">
        <f t="shared" si="83"/>
        <v>No Issue</v>
      </c>
      <c r="N599" s="1" t="str">
        <f t="shared" si="84"/>
        <v>No Issue</v>
      </c>
      <c r="O599" s="1" t="str">
        <f t="shared" si="85"/>
        <v>No Issue</v>
      </c>
      <c r="P599" s="1" t="str">
        <f t="shared" si="86"/>
        <v>NoIssue</v>
      </c>
    </row>
    <row r="600" spans="1:16" ht="22.5" customHeight="1">
      <c r="A600" s="20">
        <v>6</v>
      </c>
      <c r="B600" s="25" t="s">
        <v>26</v>
      </c>
      <c r="C600" s="22">
        <v>73.929999999999993</v>
      </c>
      <c r="D600" s="1"/>
      <c r="E600" s="1"/>
      <c r="F600" s="1"/>
      <c r="G600" s="1"/>
      <c r="H600" s="1"/>
      <c r="I600" s="1"/>
      <c r="J600" s="1">
        <f t="shared" si="80"/>
        <v>0</v>
      </c>
      <c r="K600" s="19" t="str">
        <f t="shared" si="81"/>
        <v xml:space="preserve"> No Issue</v>
      </c>
      <c r="L600" s="1" t="str">
        <f t="shared" si="82"/>
        <v>No Issue</v>
      </c>
      <c r="M600" s="1" t="str">
        <f t="shared" si="83"/>
        <v>No Issue</v>
      </c>
      <c r="N600" s="1" t="str">
        <f t="shared" si="84"/>
        <v>No Issue</v>
      </c>
      <c r="O600" s="1" t="str">
        <f t="shared" si="85"/>
        <v>No Issue</v>
      </c>
      <c r="P600" s="1" t="str">
        <f t="shared" si="86"/>
        <v>NoIssue</v>
      </c>
    </row>
    <row r="601" spans="1:16" ht="22.5" customHeight="1">
      <c r="A601" s="20">
        <v>7</v>
      </c>
      <c r="B601" s="21" t="s">
        <v>27</v>
      </c>
      <c r="C601" s="26">
        <v>13.91</v>
      </c>
      <c r="D601" s="1"/>
      <c r="E601" s="1"/>
      <c r="F601" s="1"/>
      <c r="G601" s="1"/>
      <c r="H601" s="1"/>
      <c r="I601" s="1"/>
      <c r="J601" s="1">
        <f t="shared" si="80"/>
        <v>0</v>
      </c>
      <c r="K601" s="19" t="str">
        <f t="shared" si="81"/>
        <v xml:space="preserve"> No Issue</v>
      </c>
      <c r="L601" s="1" t="str">
        <f t="shared" si="82"/>
        <v>No Issue</v>
      </c>
      <c r="M601" s="1" t="str">
        <f t="shared" si="83"/>
        <v>No Issue</v>
      </c>
      <c r="N601" s="1" t="str">
        <f t="shared" si="84"/>
        <v>No Issue</v>
      </c>
      <c r="O601" s="1" t="str">
        <f t="shared" si="85"/>
        <v>No Issue</v>
      </c>
      <c r="P601" s="1" t="str">
        <f t="shared" si="86"/>
        <v>NoIssue</v>
      </c>
    </row>
    <row r="602" spans="1:16" ht="22.5" customHeight="1">
      <c r="A602" s="20">
        <v>8</v>
      </c>
      <c r="B602" s="21" t="s">
        <v>28</v>
      </c>
      <c r="C602" s="26">
        <v>19.5</v>
      </c>
      <c r="D602" s="1"/>
      <c r="E602" s="1"/>
      <c r="F602" s="1"/>
      <c r="G602" s="1"/>
      <c r="H602" s="1"/>
      <c r="I602" s="1"/>
      <c r="J602" s="1">
        <f t="shared" si="80"/>
        <v>0</v>
      </c>
      <c r="K602" s="19" t="str">
        <f t="shared" si="81"/>
        <v xml:space="preserve"> No Issue</v>
      </c>
      <c r="L602" s="1" t="str">
        <f t="shared" si="82"/>
        <v>No Issue</v>
      </c>
      <c r="M602" s="1" t="str">
        <f t="shared" si="83"/>
        <v>No Issue</v>
      </c>
      <c r="N602" s="1" t="str">
        <f t="shared" si="84"/>
        <v>No Issue</v>
      </c>
      <c r="O602" s="1" t="str">
        <f t="shared" si="85"/>
        <v>No Issue</v>
      </c>
      <c r="P602" s="1" t="str">
        <f t="shared" si="86"/>
        <v>NoIssue</v>
      </c>
    </row>
    <row r="603" spans="1:16" ht="22.5" customHeight="1">
      <c r="A603" s="20">
        <v>9</v>
      </c>
      <c r="B603" s="21" t="s">
        <v>29</v>
      </c>
      <c r="C603" s="26">
        <v>28.83</v>
      </c>
      <c r="D603" s="1"/>
      <c r="E603" s="1"/>
      <c r="F603" s="1"/>
      <c r="G603" s="1"/>
      <c r="H603" s="1"/>
      <c r="I603" s="1"/>
      <c r="J603" s="1">
        <f t="shared" si="80"/>
        <v>0</v>
      </c>
      <c r="K603" s="19" t="str">
        <f t="shared" si="81"/>
        <v xml:space="preserve"> No Issue</v>
      </c>
      <c r="L603" s="1" t="str">
        <f t="shared" si="82"/>
        <v>No Issue</v>
      </c>
      <c r="M603" s="1" t="str">
        <f t="shared" si="83"/>
        <v>No Issue</v>
      </c>
      <c r="N603" s="1" t="str">
        <f t="shared" si="84"/>
        <v>No Issue</v>
      </c>
      <c r="O603" s="1" t="str">
        <f t="shared" si="85"/>
        <v>No Issue</v>
      </c>
      <c r="P603" s="1" t="str">
        <f t="shared" si="86"/>
        <v>NoIssue</v>
      </c>
    </row>
    <row r="604" spans="1:16" ht="22.5" customHeight="1">
      <c r="A604" s="20">
        <v>10</v>
      </c>
      <c r="B604" s="21" t="s">
        <v>30</v>
      </c>
      <c r="C604" s="26">
        <v>8.51</v>
      </c>
      <c r="D604" s="1"/>
      <c r="E604" s="1"/>
      <c r="F604" s="1"/>
      <c r="G604" s="1"/>
      <c r="H604" s="1"/>
      <c r="I604" s="1"/>
      <c r="J604" s="1">
        <f t="shared" si="80"/>
        <v>0</v>
      </c>
      <c r="K604" s="19" t="str">
        <f t="shared" si="81"/>
        <v xml:space="preserve"> No Issue</v>
      </c>
      <c r="L604" s="1" t="str">
        <f t="shared" si="82"/>
        <v>No Issue</v>
      </c>
      <c r="M604" s="1" t="str">
        <f t="shared" si="83"/>
        <v>No Issue</v>
      </c>
      <c r="N604" s="1" t="str">
        <f t="shared" si="84"/>
        <v>No Issue</v>
      </c>
      <c r="O604" s="1" t="str">
        <f t="shared" si="85"/>
        <v>No Issue</v>
      </c>
      <c r="P604" s="1" t="str">
        <f t="shared" si="86"/>
        <v>NoIssue</v>
      </c>
    </row>
    <row r="605" spans="1:16" ht="22.5" customHeight="1">
      <c r="A605" s="20">
        <v>11</v>
      </c>
      <c r="B605" s="21" t="s">
        <v>31</v>
      </c>
      <c r="C605" s="26">
        <v>102.17</v>
      </c>
      <c r="D605" s="1"/>
      <c r="E605" s="1"/>
      <c r="F605" s="1"/>
      <c r="G605" s="1"/>
      <c r="H605" s="1"/>
      <c r="I605" s="1"/>
      <c r="J605" s="1">
        <f t="shared" si="80"/>
        <v>0</v>
      </c>
      <c r="K605" s="19" t="str">
        <f t="shared" si="81"/>
        <v xml:space="preserve"> No Issue</v>
      </c>
      <c r="L605" s="1" t="str">
        <f t="shared" si="82"/>
        <v>No Issue</v>
      </c>
      <c r="M605" s="1" t="str">
        <f t="shared" si="83"/>
        <v>No Issue</v>
      </c>
      <c r="N605" s="1" t="str">
        <f t="shared" si="84"/>
        <v>No Issue</v>
      </c>
      <c r="O605" s="1" t="str">
        <f t="shared" si="85"/>
        <v>No Issue</v>
      </c>
      <c r="P605" s="1" t="str">
        <f t="shared" si="86"/>
        <v>NoIssue</v>
      </c>
    </row>
    <row r="606" spans="1:16" ht="22.5" customHeight="1">
      <c r="A606" s="20">
        <v>12</v>
      </c>
      <c r="B606" s="21" t="s">
        <v>32</v>
      </c>
      <c r="C606" s="26">
        <v>59.93</v>
      </c>
      <c r="D606" s="1"/>
      <c r="E606" s="1"/>
      <c r="F606" s="1"/>
      <c r="G606" s="1"/>
      <c r="H606" s="1"/>
      <c r="I606" s="1"/>
      <c r="J606" s="1">
        <f t="shared" si="80"/>
        <v>0</v>
      </c>
      <c r="K606" s="19" t="str">
        <f t="shared" si="81"/>
        <v xml:space="preserve"> No Issue</v>
      </c>
      <c r="L606" s="1" t="str">
        <f t="shared" si="82"/>
        <v>No Issue</v>
      </c>
      <c r="M606" s="1" t="str">
        <f t="shared" si="83"/>
        <v>No Issue</v>
      </c>
      <c r="N606" s="1" t="str">
        <f t="shared" si="84"/>
        <v>No Issue</v>
      </c>
      <c r="O606" s="1" t="str">
        <f t="shared" si="85"/>
        <v>No Issue</v>
      </c>
      <c r="P606" s="1" t="str">
        <f t="shared" si="86"/>
        <v>NoIssue</v>
      </c>
    </row>
    <row r="607" spans="1:16" ht="22.5" customHeight="1">
      <c r="A607" s="20">
        <v>13</v>
      </c>
      <c r="B607" s="21" t="s">
        <v>33</v>
      </c>
      <c r="C607" s="26">
        <v>118</v>
      </c>
      <c r="D607" s="1"/>
      <c r="E607" s="1"/>
      <c r="F607" s="1"/>
      <c r="G607" s="1"/>
      <c r="H607" s="1"/>
      <c r="I607" s="1"/>
      <c r="J607" s="1">
        <f t="shared" si="80"/>
        <v>0</v>
      </c>
      <c r="K607" s="19" t="str">
        <f t="shared" si="81"/>
        <v xml:space="preserve"> No Issue</v>
      </c>
      <c r="L607" s="1" t="str">
        <f t="shared" si="82"/>
        <v>No Issue</v>
      </c>
      <c r="M607" s="1" t="str">
        <f t="shared" si="83"/>
        <v>No Issue</v>
      </c>
      <c r="N607" s="1" t="str">
        <f t="shared" si="84"/>
        <v>No Issue</v>
      </c>
      <c r="O607" s="1" t="str">
        <f t="shared" si="85"/>
        <v>No Issue</v>
      </c>
      <c r="P607" s="1" t="str">
        <f t="shared" si="86"/>
        <v>NoIssue</v>
      </c>
    </row>
    <row r="608" spans="1:16" ht="22.5" customHeight="1">
      <c r="A608" s="20">
        <v>14</v>
      </c>
      <c r="B608" s="21" t="s">
        <v>34</v>
      </c>
      <c r="C608" s="26">
        <v>52.83</v>
      </c>
      <c r="D608" s="1"/>
      <c r="E608" s="1"/>
      <c r="F608" s="1"/>
      <c r="G608" s="1"/>
      <c r="H608" s="1"/>
      <c r="I608" s="1"/>
      <c r="J608" s="1">
        <f t="shared" si="80"/>
        <v>0</v>
      </c>
      <c r="K608" s="19" t="str">
        <f t="shared" si="81"/>
        <v xml:space="preserve"> No Issue</v>
      </c>
      <c r="L608" s="1" t="str">
        <f t="shared" si="82"/>
        <v>No Issue</v>
      </c>
      <c r="M608" s="1" t="str">
        <f t="shared" si="83"/>
        <v>No Issue</v>
      </c>
      <c r="N608" s="1" t="str">
        <f t="shared" si="84"/>
        <v>No Issue</v>
      </c>
      <c r="O608" s="1" t="str">
        <f t="shared" si="85"/>
        <v>No Issue</v>
      </c>
      <c r="P608" s="1" t="str">
        <f t="shared" si="86"/>
        <v>NoIssue</v>
      </c>
    </row>
    <row r="609" spans="1:16" ht="22.5" customHeight="1">
      <c r="A609" s="20">
        <v>15</v>
      </c>
      <c r="B609" s="21" t="s">
        <v>35</v>
      </c>
      <c r="C609" s="26">
        <v>93.2</v>
      </c>
      <c r="D609" s="1"/>
      <c r="E609" s="1"/>
      <c r="F609" s="1"/>
      <c r="G609" s="1"/>
      <c r="H609" s="1"/>
      <c r="I609" s="1"/>
      <c r="J609" s="1">
        <f t="shared" si="80"/>
        <v>0</v>
      </c>
      <c r="K609" s="19" t="str">
        <f t="shared" si="81"/>
        <v xml:space="preserve"> No Issue</v>
      </c>
      <c r="L609" s="1" t="str">
        <f t="shared" si="82"/>
        <v>No Issue</v>
      </c>
      <c r="M609" s="1" t="str">
        <f t="shared" si="83"/>
        <v>No Issue</v>
      </c>
      <c r="N609" s="1" t="str">
        <f t="shared" si="84"/>
        <v>No Issue</v>
      </c>
      <c r="O609" s="1" t="str">
        <f t="shared" si="85"/>
        <v>No Issue</v>
      </c>
      <c r="P609" s="1" t="str">
        <f t="shared" si="86"/>
        <v>NoIssue</v>
      </c>
    </row>
    <row r="610" spans="1:16" ht="22.5" customHeight="1">
      <c r="A610" s="20">
        <v>16</v>
      </c>
      <c r="B610" s="21" t="s">
        <v>36</v>
      </c>
      <c r="C610" s="26">
        <v>61.02</v>
      </c>
      <c r="D610" s="1"/>
      <c r="E610" s="1"/>
      <c r="F610" s="1"/>
      <c r="G610" s="1"/>
      <c r="H610" s="1"/>
      <c r="I610" s="1"/>
      <c r="J610" s="1">
        <f t="shared" si="80"/>
        <v>0</v>
      </c>
      <c r="K610" s="19" t="str">
        <f t="shared" si="81"/>
        <v xml:space="preserve"> No Issue</v>
      </c>
      <c r="L610" s="1" t="str">
        <f t="shared" si="82"/>
        <v>No Issue</v>
      </c>
      <c r="M610" s="1" t="str">
        <f t="shared" si="83"/>
        <v>No Issue</v>
      </c>
      <c r="N610" s="1" t="str">
        <f t="shared" si="84"/>
        <v>No Issue</v>
      </c>
      <c r="O610" s="1" t="str">
        <f t="shared" si="85"/>
        <v>No Issue</v>
      </c>
      <c r="P610" s="1" t="str">
        <f t="shared" si="86"/>
        <v>NoIssue</v>
      </c>
    </row>
    <row r="611" spans="1:16" ht="22.5" customHeight="1">
      <c r="A611" s="20">
        <v>17</v>
      </c>
      <c r="B611" s="21" t="s">
        <v>37</v>
      </c>
      <c r="C611" s="26">
        <v>36.619999999999997</v>
      </c>
      <c r="D611" s="1"/>
      <c r="E611" s="1"/>
      <c r="F611" s="1"/>
      <c r="G611" s="1"/>
      <c r="H611" s="1"/>
      <c r="I611" s="1"/>
      <c r="J611" s="1">
        <f t="shared" si="80"/>
        <v>0</v>
      </c>
      <c r="K611" s="19" t="str">
        <f t="shared" si="81"/>
        <v xml:space="preserve"> No Issue</v>
      </c>
      <c r="L611" s="1" t="str">
        <f t="shared" si="82"/>
        <v>No Issue</v>
      </c>
      <c r="M611" s="1" t="str">
        <f t="shared" si="83"/>
        <v>No Issue</v>
      </c>
      <c r="N611" s="1" t="str">
        <f t="shared" si="84"/>
        <v>No Issue</v>
      </c>
      <c r="O611" s="1" t="str">
        <f t="shared" si="85"/>
        <v>No Issue</v>
      </c>
      <c r="P611" s="1" t="str">
        <f t="shared" si="86"/>
        <v>NoIssue</v>
      </c>
    </row>
    <row r="612" spans="1:16" ht="22.5" customHeight="1">
      <c r="A612" s="20">
        <v>18</v>
      </c>
      <c r="B612" s="21" t="s">
        <v>38</v>
      </c>
      <c r="C612" s="26">
        <v>80.36</v>
      </c>
      <c r="D612" s="1"/>
      <c r="E612" s="1"/>
      <c r="F612" s="1"/>
      <c r="G612" s="1"/>
      <c r="H612" s="1"/>
      <c r="I612" s="1"/>
      <c r="J612" s="1">
        <f t="shared" si="80"/>
        <v>0</v>
      </c>
      <c r="K612" s="19" t="str">
        <f t="shared" si="81"/>
        <v xml:space="preserve"> No Issue</v>
      </c>
      <c r="L612" s="1" t="str">
        <f t="shared" si="82"/>
        <v>No Issue</v>
      </c>
      <c r="M612" s="1" t="str">
        <f t="shared" si="83"/>
        <v>No Issue</v>
      </c>
      <c r="N612" s="1" t="str">
        <f t="shared" si="84"/>
        <v>No Issue</v>
      </c>
      <c r="O612" s="1" t="str">
        <f t="shared" si="85"/>
        <v>No Issue</v>
      </c>
      <c r="P612" s="1" t="str">
        <f t="shared" si="86"/>
        <v>NoIssue</v>
      </c>
    </row>
    <row r="613" spans="1:16" ht="22.5" customHeight="1">
      <c r="A613" s="20">
        <v>19</v>
      </c>
      <c r="B613" s="21" t="s">
        <v>39</v>
      </c>
      <c r="C613" s="26">
        <v>160.56</v>
      </c>
      <c r="D613" s="1"/>
      <c r="E613" s="1"/>
      <c r="F613" s="1"/>
      <c r="G613" s="1"/>
      <c r="H613" s="1"/>
      <c r="I613" s="1"/>
      <c r="J613" s="1">
        <f t="shared" si="80"/>
        <v>0</v>
      </c>
      <c r="K613" s="19" t="str">
        <f t="shared" si="81"/>
        <v xml:space="preserve"> No Issue</v>
      </c>
      <c r="L613" s="1" t="str">
        <f t="shared" si="82"/>
        <v>No Issue</v>
      </c>
      <c r="M613" s="1" t="str">
        <f t="shared" si="83"/>
        <v>No Issue</v>
      </c>
      <c r="N613" s="1" t="str">
        <f t="shared" si="84"/>
        <v>No Issue</v>
      </c>
      <c r="O613" s="1" t="str">
        <f t="shared" si="85"/>
        <v>No Issue</v>
      </c>
      <c r="P613" s="1" t="str">
        <f t="shared" si="86"/>
        <v>NoIssue</v>
      </c>
    </row>
    <row r="614" spans="1:16" ht="22.5" customHeight="1">
      <c r="A614" s="20">
        <v>20</v>
      </c>
      <c r="B614" s="21" t="s">
        <v>40</v>
      </c>
      <c r="C614" s="26">
        <v>186.44</v>
      </c>
      <c r="D614" s="1"/>
      <c r="E614" s="1"/>
      <c r="F614" s="1"/>
      <c r="G614" s="1"/>
      <c r="H614" s="1"/>
      <c r="I614" s="1"/>
      <c r="J614" s="1">
        <f t="shared" si="80"/>
        <v>0</v>
      </c>
      <c r="K614" s="19" t="str">
        <f t="shared" si="81"/>
        <v xml:space="preserve"> No Issue</v>
      </c>
      <c r="L614" s="1" t="str">
        <f t="shared" si="82"/>
        <v>No Issue</v>
      </c>
      <c r="M614" s="1" t="str">
        <f t="shared" si="83"/>
        <v>No Issue</v>
      </c>
      <c r="N614" s="1" t="str">
        <f t="shared" si="84"/>
        <v>No Issue</v>
      </c>
      <c r="O614" s="1" t="str">
        <f t="shared" si="85"/>
        <v>No Issue</v>
      </c>
      <c r="P614" s="1" t="str">
        <f t="shared" si="86"/>
        <v>NoIssue</v>
      </c>
    </row>
    <row r="615" spans="1:16" ht="22.5" customHeight="1">
      <c r="A615" s="20">
        <v>21</v>
      </c>
      <c r="B615" s="21" t="s">
        <v>41</v>
      </c>
      <c r="C615" s="26">
        <v>92.59</v>
      </c>
      <c r="D615" s="1"/>
      <c r="E615" s="1"/>
      <c r="F615" s="1"/>
      <c r="G615" s="1"/>
      <c r="H615" s="1"/>
      <c r="I615" s="1"/>
      <c r="J615" s="1">
        <f t="shared" si="80"/>
        <v>0</v>
      </c>
      <c r="K615" s="19" t="str">
        <f t="shared" si="81"/>
        <v xml:space="preserve"> No Issue</v>
      </c>
      <c r="L615" s="1" t="str">
        <f t="shared" si="82"/>
        <v>No Issue</v>
      </c>
      <c r="M615" s="1" t="str">
        <f t="shared" si="83"/>
        <v>No Issue</v>
      </c>
      <c r="N615" s="1" t="str">
        <f t="shared" si="84"/>
        <v>No Issue</v>
      </c>
      <c r="O615" s="1" t="str">
        <f t="shared" si="85"/>
        <v>No Issue</v>
      </c>
      <c r="P615" s="1" t="str">
        <f t="shared" si="86"/>
        <v>NoIssue</v>
      </c>
    </row>
    <row r="616" spans="1:16" ht="22.5" customHeight="1">
      <c r="A616" s="20">
        <v>22</v>
      </c>
      <c r="B616" s="21" t="s">
        <v>42</v>
      </c>
      <c r="C616" s="26">
        <v>95.17</v>
      </c>
      <c r="D616" s="1"/>
      <c r="E616" s="1"/>
      <c r="F616" s="1"/>
      <c r="G616" s="1"/>
      <c r="H616" s="1"/>
      <c r="I616" s="1"/>
      <c r="J616" s="1">
        <f t="shared" si="80"/>
        <v>0</v>
      </c>
      <c r="K616" s="19" t="str">
        <f t="shared" si="81"/>
        <v xml:space="preserve"> No Issue</v>
      </c>
      <c r="L616" s="1" t="str">
        <f t="shared" si="82"/>
        <v>No Issue</v>
      </c>
      <c r="M616" s="1" t="str">
        <f t="shared" si="83"/>
        <v>No Issue</v>
      </c>
      <c r="N616" s="1" t="str">
        <f t="shared" si="84"/>
        <v>No Issue</v>
      </c>
      <c r="O616" s="1" t="str">
        <f t="shared" si="85"/>
        <v>No Issue</v>
      </c>
      <c r="P616" s="1" t="str">
        <f t="shared" si="86"/>
        <v>NoIssue</v>
      </c>
    </row>
    <row r="617" spans="1:16" ht="22.5" customHeight="1">
      <c r="A617" s="20">
        <v>23</v>
      </c>
      <c r="B617" s="21" t="s">
        <v>43</v>
      </c>
      <c r="C617" s="26">
        <v>92.94</v>
      </c>
      <c r="D617" s="1"/>
      <c r="E617" s="1"/>
      <c r="F617" s="1"/>
      <c r="G617" s="1"/>
      <c r="H617" s="1"/>
      <c r="I617" s="1"/>
      <c r="J617" s="1">
        <f t="shared" si="80"/>
        <v>0</v>
      </c>
      <c r="K617" s="19" t="str">
        <f t="shared" si="81"/>
        <v xml:space="preserve"> No Issue</v>
      </c>
      <c r="L617" s="1" t="str">
        <f t="shared" si="82"/>
        <v>No Issue</v>
      </c>
      <c r="M617" s="1" t="str">
        <f t="shared" si="83"/>
        <v>No Issue</v>
      </c>
      <c r="N617" s="1" t="str">
        <f t="shared" si="84"/>
        <v>No Issue</v>
      </c>
      <c r="O617" s="1" t="str">
        <f t="shared" si="85"/>
        <v>No Issue</v>
      </c>
      <c r="P617" s="1" t="str">
        <f t="shared" si="86"/>
        <v>NoIssue</v>
      </c>
    </row>
    <row r="618" spans="1:16" ht="22.5" customHeight="1">
      <c r="A618" s="20">
        <v>24</v>
      </c>
      <c r="B618" s="21" t="s">
        <v>44</v>
      </c>
      <c r="C618" s="26">
        <v>101.82</v>
      </c>
      <c r="D618" s="1"/>
      <c r="E618" s="1"/>
      <c r="F618" s="1"/>
      <c r="G618" s="1"/>
      <c r="H618" s="1"/>
      <c r="I618" s="1"/>
      <c r="J618" s="1">
        <f t="shared" si="80"/>
        <v>0</v>
      </c>
      <c r="K618" s="19" t="str">
        <f t="shared" si="81"/>
        <v xml:space="preserve"> No Issue</v>
      </c>
      <c r="L618" s="1" t="str">
        <f t="shared" si="82"/>
        <v>No Issue</v>
      </c>
      <c r="M618" s="1" t="str">
        <f t="shared" si="83"/>
        <v>No Issue</v>
      </c>
      <c r="N618" s="1" t="str">
        <f t="shared" si="84"/>
        <v>No Issue</v>
      </c>
      <c r="O618" s="1" t="str">
        <f t="shared" si="85"/>
        <v>No Issue</v>
      </c>
      <c r="P618" s="1" t="str">
        <f t="shared" si="86"/>
        <v>NoIssue</v>
      </c>
    </row>
    <row r="619" spans="1:16" ht="22.5" customHeight="1">
      <c r="A619" s="20">
        <v>25</v>
      </c>
      <c r="B619" s="21" t="s">
        <v>45</v>
      </c>
      <c r="C619" s="26">
        <v>53.49</v>
      </c>
      <c r="D619" s="1"/>
      <c r="E619" s="1"/>
      <c r="F619" s="1"/>
      <c r="G619" s="1"/>
      <c r="H619" s="1"/>
      <c r="I619" s="1"/>
      <c r="J619" s="1">
        <f t="shared" si="80"/>
        <v>0</v>
      </c>
      <c r="K619" s="19" t="str">
        <f t="shared" si="81"/>
        <v xml:space="preserve"> No Issue</v>
      </c>
      <c r="L619" s="1" t="str">
        <f t="shared" si="82"/>
        <v>No Issue</v>
      </c>
      <c r="M619" s="1" t="str">
        <f t="shared" si="83"/>
        <v>No Issue</v>
      </c>
      <c r="N619" s="1" t="str">
        <f t="shared" si="84"/>
        <v>No Issue</v>
      </c>
      <c r="O619" s="1" t="str">
        <f t="shared" si="85"/>
        <v>No Issue</v>
      </c>
      <c r="P619" s="1" t="str">
        <f t="shared" si="86"/>
        <v>NoIssue</v>
      </c>
    </row>
    <row r="620" spans="1:16" ht="22.5" customHeight="1">
      <c r="A620" s="20">
        <v>26</v>
      </c>
      <c r="B620" s="21" t="s">
        <v>46</v>
      </c>
      <c r="C620" s="26">
        <v>32.92</v>
      </c>
      <c r="D620" s="1"/>
      <c r="E620" s="1"/>
      <c r="F620" s="1"/>
      <c r="G620" s="1"/>
      <c r="H620" s="1"/>
      <c r="I620" s="1"/>
      <c r="J620" s="1">
        <f t="shared" si="80"/>
        <v>0</v>
      </c>
      <c r="K620" s="19" t="str">
        <f t="shared" si="81"/>
        <v xml:space="preserve"> No Issue</v>
      </c>
      <c r="L620" s="1" t="str">
        <f t="shared" si="82"/>
        <v>No Issue</v>
      </c>
      <c r="M620" s="1" t="str">
        <f t="shared" si="83"/>
        <v>No Issue</v>
      </c>
      <c r="N620" s="1" t="str">
        <f t="shared" si="84"/>
        <v>No Issue</v>
      </c>
      <c r="O620" s="1" t="str">
        <f t="shared" si="85"/>
        <v>No Issue</v>
      </c>
      <c r="P620" s="1" t="str">
        <f t="shared" si="86"/>
        <v>NoIssue</v>
      </c>
    </row>
    <row r="621" spans="1:16" ht="22.5" customHeight="1">
      <c r="A621" s="20">
        <v>27</v>
      </c>
      <c r="B621" s="21" t="s">
        <v>47</v>
      </c>
      <c r="C621" s="26">
        <v>116.68</v>
      </c>
      <c r="D621" s="1"/>
      <c r="E621" s="1"/>
      <c r="F621" s="1"/>
      <c r="G621" s="1"/>
      <c r="H621" s="1"/>
      <c r="I621" s="1"/>
      <c r="J621" s="1">
        <f t="shared" si="80"/>
        <v>0</v>
      </c>
      <c r="K621" s="19" t="str">
        <f t="shared" si="81"/>
        <v xml:space="preserve"> No Issue</v>
      </c>
      <c r="L621" s="1" t="str">
        <f t="shared" si="82"/>
        <v>No Issue</v>
      </c>
      <c r="M621" s="1" t="str">
        <f t="shared" si="83"/>
        <v>No Issue</v>
      </c>
      <c r="N621" s="1" t="str">
        <f t="shared" si="84"/>
        <v>No Issue</v>
      </c>
      <c r="O621" s="1" t="str">
        <f t="shared" si="85"/>
        <v>No Issue</v>
      </c>
      <c r="P621" s="1" t="str">
        <f t="shared" si="86"/>
        <v>NoIssue</v>
      </c>
    </row>
    <row r="622" spans="1:16" ht="22.5" customHeight="1">
      <c r="A622" s="20">
        <v>28</v>
      </c>
      <c r="B622" s="21" t="s">
        <v>48</v>
      </c>
      <c r="C622" s="26">
        <v>107.96</v>
      </c>
      <c r="D622" s="1"/>
      <c r="E622" s="1"/>
      <c r="F622" s="1"/>
      <c r="G622" s="1"/>
      <c r="H622" s="1"/>
      <c r="I622" s="1"/>
      <c r="J622" s="1">
        <f t="shared" si="80"/>
        <v>0</v>
      </c>
      <c r="K622" s="19" t="str">
        <f t="shared" si="81"/>
        <v xml:space="preserve"> No Issue</v>
      </c>
      <c r="L622" s="1" t="str">
        <f t="shared" si="82"/>
        <v>No Issue</v>
      </c>
      <c r="M622" s="1" t="str">
        <f t="shared" si="83"/>
        <v>No Issue</v>
      </c>
      <c r="N622" s="1" t="str">
        <f t="shared" si="84"/>
        <v>No Issue</v>
      </c>
      <c r="O622" s="1" t="str">
        <f t="shared" si="85"/>
        <v>No Issue</v>
      </c>
      <c r="P622" s="1" t="str">
        <f t="shared" si="86"/>
        <v>NoIssue</v>
      </c>
    </row>
    <row r="623" spans="1:16" ht="22.5" customHeight="1">
      <c r="A623" s="20">
        <v>29</v>
      </c>
      <c r="B623" s="21" t="s">
        <v>49</v>
      </c>
      <c r="C623" s="26">
        <v>248.89</v>
      </c>
      <c r="D623" s="1"/>
      <c r="E623" s="1"/>
      <c r="F623" s="1"/>
      <c r="G623" s="1"/>
      <c r="H623" s="1"/>
      <c r="I623" s="1"/>
      <c r="J623" s="1">
        <f t="shared" si="80"/>
        <v>0</v>
      </c>
      <c r="K623" s="19" t="str">
        <f t="shared" si="81"/>
        <v xml:space="preserve"> No Issue</v>
      </c>
      <c r="L623" s="1" t="str">
        <f t="shared" si="82"/>
        <v>No Issue</v>
      </c>
      <c r="M623" s="1" t="str">
        <f t="shared" si="83"/>
        <v>No Issue</v>
      </c>
      <c r="N623" s="1" t="str">
        <f t="shared" si="84"/>
        <v>No Issue</v>
      </c>
      <c r="O623" s="1" t="str">
        <f t="shared" si="85"/>
        <v>No Issue</v>
      </c>
      <c r="P623" s="1" t="str">
        <f t="shared" si="86"/>
        <v>NoIssue</v>
      </c>
    </row>
    <row r="624" spans="1:16" ht="22.5" customHeight="1">
      <c r="A624" s="20">
        <v>30</v>
      </c>
      <c r="B624" s="21" t="s">
        <v>50</v>
      </c>
      <c r="C624" s="26">
        <v>80.36</v>
      </c>
      <c r="D624" s="1"/>
      <c r="E624" s="1"/>
      <c r="F624" s="19"/>
      <c r="G624" s="19"/>
      <c r="H624" s="19"/>
      <c r="I624" s="1"/>
      <c r="J624" s="1">
        <f t="shared" si="80"/>
        <v>0</v>
      </c>
      <c r="K624" s="19" t="str">
        <f t="shared" si="81"/>
        <v xml:space="preserve"> No Issue</v>
      </c>
      <c r="L624" s="1" t="str">
        <f t="shared" si="82"/>
        <v>No Issue</v>
      </c>
      <c r="M624" s="1" t="str">
        <f t="shared" si="83"/>
        <v>No Issue</v>
      </c>
      <c r="N624" s="1" t="str">
        <f t="shared" si="84"/>
        <v>No Issue</v>
      </c>
      <c r="O624" s="1" t="str">
        <f t="shared" si="85"/>
        <v>No Issue</v>
      </c>
      <c r="P624" s="1" t="str">
        <f t="shared" si="86"/>
        <v>NoIssue</v>
      </c>
    </row>
    <row r="625" spans="1:16" ht="22.5" customHeight="1">
      <c r="A625" s="20">
        <v>31</v>
      </c>
      <c r="B625" s="21" t="s">
        <v>51</v>
      </c>
      <c r="C625" s="26">
        <v>52.46</v>
      </c>
      <c r="D625" s="1"/>
      <c r="E625" s="1"/>
      <c r="F625" s="19"/>
      <c r="G625" s="19"/>
      <c r="H625" s="19"/>
      <c r="I625" s="1"/>
      <c r="J625" s="1">
        <f t="shared" si="80"/>
        <v>0</v>
      </c>
      <c r="K625" s="19" t="str">
        <f t="shared" si="81"/>
        <v xml:space="preserve"> No Issue</v>
      </c>
      <c r="L625" s="1" t="str">
        <f t="shared" si="82"/>
        <v>No Issue</v>
      </c>
      <c r="M625" s="1" t="str">
        <f t="shared" si="83"/>
        <v>No Issue</v>
      </c>
      <c r="N625" s="1" t="str">
        <f t="shared" si="84"/>
        <v>No Issue</v>
      </c>
      <c r="O625" s="1" t="str">
        <f t="shared" si="85"/>
        <v>No Issue</v>
      </c>
      <c r="P625" s="1" t="str">
        <f t="shared" si="86"/>
        <v>NoIssue</v>
      </c>
    </row>
    <row r="626" spans="1:16" ht="22.5" customHeight="1">
      <c r="A626" s="20">
        <v>32</v>
      </c>
      <c r="B626" s="21" t="s">
        <v>52</v>
      </c>
      <c r="C626" s="26">
        <v>71.209999999999994</v>
      </c>
      <c r="D626" s="1"/>
      <c r="E626" s="1"/>
      <c r="F626" s="19"/>
      <c r="G626" s="19"/>
      <c r="H626" s="19"/>
      <c r="I626" s="1"/>
      <c r="J626" s="1">
        <f t="shared" si="80"/>
        <v>0</v>
      </c>
      <c r="K626" s="19" t="str">
        <f t="shared" si="81"/>
        <v xml:space="preserve"> No Issue</v>
      </c>
      <c r="L626" s="1" t="str">
        <f t="shared" si="82"/>
        <v>No Issue</v>
      </c>
      <c r="M626" s="1" t="str">
        <f t="shared" si="83"/>
        <v>No Issue</v>
      </c>
      <c r="N626" s="1" t="str">
        <f t="shared" si="84"/>
        <v>No Issue</v>
      </c>
      <c r="O626" s="1" t="str">
        <f t="shared" si="85"/>
        <v>No Issue</v>
      </c>
      <c r="P626" s="1" t="str">
        <f t="shared" si="86"/>
        <v>NoIssue</v>
      </c>
    </row>
    <row r="627" spans="1:16" ht="22.5" customHeight="1">
      <c r="A627" s="20">
        <v>33</v>
      </c>
      <c r="B627" s="21" t="s">
        <v>53</v>
      </c>
      <c r="C627" s="26">
        <v>80.349999999999994</v>
      </c>
      <c r="D627" s="1"/>
      <c r="E627" s="1"/>
      <c r="F627" s="19"/>
      <c r="G627" s="19"/>
      <c r="H627" s="19"/>
      <c r="I627" s="1"/>
      <c r="J627" s="1">
        <f t="shared" si="80"/>
        <v>0</v>
      </c>
      <c r="K627" s="19" t="str">
        <f t="shared" si="81"/>
        <v xml:space="preserve"> No Issue</v>
      </c>
      <c r="L627" s="1" t="str">
        <f t="shared" si="82"/>
        <v>No Issue</v>
      </c>
      <c r="M627" s="1" t="str">
        <f t="shared" si="83"/>
        <v>No Issue</v>
      </c>
      <c r="N627" s="1" t="str">
        <f t="shared" si="84"/>
        <v>No Issue</v>
      </c>
      <c r="O627" s="1" t="str">
        <f t="shared" si="85"/>
        <v>No Issue</v>
      </c>
      <c r="P627" s="1" t="str">
        <f t="shared" si="86"/>
        <v>NoIssue</v>
      </c>
    </row>
    <row r="628" spans="1:16" ht="22.5" customHeight="1">
      <c r="A628" s="20">
        <v>34</v>
      </c>
      <c r="B628" s="21" t="s">
        <v>54</v>
      </c>
      <c r="C628" s="26">
        <v>64.180000000000007</v>
      </c>
      <c r="D628" s="1"/>
      <c r="E628" s="1"/>
      <c r="F628" s="19"/>
      <c r="G628" s="19"/>
      <c r="H628" s="19"/>
      <c r="I628" s="1"/>
      <c r="J628" s="1">
        <f t="shared" si="80"/>
        <v>0</v>
      </c>
      <c r="K628" s="19" t="str">
        <f t="shared" si="81"/>
        <v xml:space="preserve"> No Issue</v>
      </c>
      <c r="L628" s="1" t="str">
        <f t="shared" si="82"/>
        <v>No Issue</v>
      </c>
      <c r="M628" s="1" t="str">
        <f t="shared" si="83"/>
        <v>No Issue</v>
      </c>
      <c r="N628" s="1" t="str">
        <f t="shared" si="84"/>
        <v>No Issue</v>
      </c>
      <c r="O628" s="1" t="str">
        <f t="shared" si="85"/>
        <v>No Issue</v>
      </c>
      <c r="P628" s="1" t="str">
        <f t="shared" si="86"/>
        <v>NoIssue</v>
      </c>
    </row>
    <row r="629" spans="1:16" ht="22.5" customHeight="1">
      <c r="A629" s="20">
        <v>35</v>
      </c>
      <c r="B629" s="21" t="s">
        <v>55</v>
      </c>
      <c r="C629" s="26">
        <v>36.9</v>
      </c>
      <c r="D629" s="1"/>
      <c r="E629" s="1"/>
      <c r="F629" s="19"/>
      <c r="G629" s="19"/>
      <c r="H629" s="19"/>
      <c r="I629" s="1"/>
      <c r="J629" s="1">
        <f t="shared" si="80"/>
        <v>0</v>
      </c>
      <c r="K629" s="19" t="str">
        <f t="shared" si="81"/>
        <v xml:space="preserve"> No Issue</v>
      </c>
      <c r="L629" s="1" t="str">
        <f t="shared" si="82"/>
        <v>No Issue</v>
      </c>
      <c r="M629" s="1" t="str">
        <f t="shared" si="83"/>
        <v>No Issue</v>
      </c>
      <c r="N629" s="1" t="str">
        <f t="shared" si="84"/>
        <v>No Issue</v>
      </c>
      <c r="O629" s="1" t="str">
        <f t="shared" si="85"/>
        <v>No Issue</v>
      </c>
      <c r="P629" s="1" t="str">
        <f t="shared" si="86"/>
        <v>NoIssue</v>
      </c>
    </row>
    <row r="630" spans="1:16" ht="22.5" customHeight="1">
      <c r="A630" s="20">
        <v>36</v>
      </c>
      <c r="B630" s="21" t="s">
        <v>56</v>
      </c>
      <c r="C630" s="26">
        <v>101.54</v>
      </c>
      <c r="D630" s="1"/>
      <c r="E630" s="1"/>
      <c r="F630" s="19"/>
      <c r="G630" s="19"/>
      <c r="H630" s="19"/>
      <c r="I630" s="1"/>
      <c r="J630" s="1">
        <f t="shared" si="80"/>
        <v>0</v>
      </c>
      <c r="K630" s="19" t="str">
        <f t="shared" si="81"/>
        <v xml:space="preserve"> No Issue</v>
      </c>
      <c r="L630" s="1" t="str">
        <f t="shared" si="82"/>
        <v>No Issue</v>
      </c>
      <c r="M630" s="1" t="str">
        <f t="shared" si="83"/>
        <v>No Issue</v>
      </c>
      <c r="N630" s="1" t="str">
        <f t="shared" si="84"/>
        <v>No Issue</v>
      </c>
      <c r="O630" s="1" t="str">
        <f t="shared" si="85"/>
        <v>No Issue</v>
      </c>
      <c r="P630" s="1" t="str">
        <f t="shared" si="86"/>
        <v>NoIssue</v>
      </c>
    </row>
    <row r="631" spans="1:16" ht="22.5" customHeight="1">
      <c r="A631" s="20">
        <v>37</v>
      </c>
      <c r="B631" s="21" t="s">
        <v>57</v>
      </c>
      <c r="C631" s="26">
        <v>40.5</v>
      </c>
      <c r="D631" s="1"/>
      <c r="E631" s="1"/>
      <c r="F631" s="19"/>
      <c r="G631" s="19"/>
      <c r="H631" s="19"/>
      <c r="I631" s="1"/>
      <c r="J631" s="1">
        <f t="shared" si="80"/>
        <v>0</v>
      </c>
      <c r="K631" s="19" t="str">
        <f t="shared" si="81"/>
        <v xml:space="preserve"> No Issue</v>
      </c>
      <c r="L631" s="1" t="str">
        <f t="shared" si="82"/>
        <v>No Issue</v>
      </c>
      <c r="M631" s="1" t="str">
        <f t="shared" si="83"/>
        <v>No Issue</v>
      </c>
      <c r="N631" s="1" t="str">
        <f t="shared" si="84"/>
        <v>No Issue</v>
      </c>
      <c r="O631" s="1" t="str">
        <f t="shared" si="85"/>
        <v>No Issue</v>
      </c>
      <c r="P631" s="1" t="str">
        <f t="shared" si="86"/>
        <v>NoIssue</v>
      </c>
    </row>
    <row r="632" spans="1:16" ht="22.5" customHeight="1">
      <c r="A632" s="20">
        <v>38</v>
      </c>
      <c r="B632" s="21" t="s">
        <v>58</v>
      </c>
      <c r="C632" s="26">
        <v>66.69</v>
      </c>
      <c r="D632" s="1"/>
      <c r="E632" s="1"/>
      <c r="F632" s="19"/>
      <c r="G632" s="19"/>
      <c r="H632" s="19"/>
      <c r="I632" s="1"/>
      <c r="J632" s="1">
        <f t="shared" si="80"/>
        <v>0</v>
      </c>
      <c r="K632" s="19" t="str">
        <f t="shared" si="81"/>
        <v xml:space="preserve"> No Issue</v>
      </c>
      <c r="L632" s="1" t="str">
        <f t="shared" si="82"/>
        <v>No Issue</v>
      </c>
      <c r="M632" s="1" t="str">
        <f t="shared" si="83"/>
        <v>No Issue</v>
      </c>
      <c r="N632" s="1" t="str">
        <f t="shared" si="84"/>
        <v>No Issue</v>
      </c>
      <c r="O632" s="1" t="str">
        <f t="shared" si="85"/>
        <v>No Issue</v>
      </c>
      <c r="P632" s="1" t="str">
        <f t="shared" si="86"/>
        <v>NoIssue</v>
      </c>
    </row>
    <row r="633" spans="1:16" ht="22.5" customHeight="1">
      <c r="A633" s="20">
        <v>39</v>
      </c>
      <c r="B633" s="21" t="s">
        <v>59</v>
      </c>
      <c r="C633" s="21">
        <v>150.85999999999999</v>
      </c>
      <c r="D633" s="1"/>
      <c r="E633" s="1"/>
      <c r="F633" s="19"/>
      <c r="G633" s="19"/>
      <c r="H633" s="19"/>
      <c r="I633" s="1"/>
      <c r="J633" s="1">
        <f t="shared" si="80"/>
        <v>0</v>
      </c>
      <c r="K633" s="19" t="str">
        <f t="shared" si="81"/>
        <v xml:space="preserve"> No Issue</v>
      </c>
      <c r="L633" s="1" t="str">
        <f t="shared" si="82"/>
        <v>No Issue</v>
      </c>
      <c r="M633" s="1" t="str">
        <f t="shared" si="83"/>
        <v>No Issue</v>
      </c>
      <c r="N633" s="1" t="str">
        <f t="shared" si="84"/>
        <v>No Issue</v>
      </c>
      <c r="O633" s="1" t="str">
        <f t="shared" si="85"/>
        <v>No Issue</v>
      </c>
      <c r="P633" s="1" t="str">
        <f t="shared" si="86"/>
        <v>NoIssue</v>
      </c>
    </row>
    <row r="634" spans="1:16" ht="22.5" customHeight="1">
      <c r="A634" s="20">
        <v>40</v>
      </c>
      <c r="B634" s="29" t="s">
        <v>60</v>
      </c>
      <c r="C634" s="26">
        <v>180</v>
      </c>
      <c r="D634" s="1"/>
      <c r="E634" s="1"/>
      <c r="F634" s="19"/>
      <c r="G634" s="19"/>
      <c r="H634" s="19"/>
      <c r="I634" s="1"/>
      <c r="J634" s="1">
        <f t="shared" si="80"/>
        <v>0</v>
      </c>
      <c r="K634" s="19" t="str">
        <f t="shared" si="81"/>
        <v xml:space="preserve"> No Issue</v>
      </c>
      <c r="L634" s="1" t="str">
        <f t="shared" si="82"/>
        <v>No Issue</v>
      </c>
      <c r="M634" s="1" t="str">
        <f t="shared" si="83"/>
        <v>No Issue</v>
      </c>
      <c r="N634" s="1" t="str">
        <f t="shared" si="84"/>
        <v>No Issue</v>
      </c>
      <c r="O634" s="1" t="str">
        <f t="shared" si="85"/>
        <v>No Issue</v>
      </c>
      <c r="P634" s="1" t="str">
        <f t="shared" si="86"/>
        <v>NoIssue</v>
      </c>
    </row>
    <row r="635" spans="1:16" ht="22.5" customHeight="1">
      <c r="A635" s="20">
        <v>41</v>
      </c>
      <c r="B635" s="29" t="s">
        <v>61</v>
      </c>
      <c r="C635" s="21">
        <v>128.57</v>
      </c>
      <c r="D635" s="1"/>
      <c r="E635" s="1"/>
      <c r="F635" s="19"/>
      <c r="G635" s="19"/>
      <c r="H635" s="19"/>
      <c r="I635" s="1"/>
      <c r="J635" s="1">
        <f t="shared" si="80"/>
        <v>0</v>
      </c>
      <c r="K635" s="19" t="str">
        <f t="shared" si="81"/>
        <v xml:space="preserve"> No Issue</v>
      </c>
      <c r="L635" s="1" t="str">
        <f t="shared" si="82"/>
        <v>No Issue</v>
      </c>
      <c r="M635" s="1" t="str">
        <f t="shared" si="83"/>
        <v>No Issue</v>
      </c>
      <c r="N635" s="1" t="str">
        <f t="shared" si="84"/>
        <v>No Issue</v>
      </c>
      <c r="O635" s="1" t="str">
        <f t="shared" si="85"/>
        <v>No Issue</v>
      </c>
      <c r="P635" s="1" t="str">
        <f t="shared" si="86"/>
        <v>NoIssue</v>
      </c>
    </row>
    <row r="636" spans="1:16" ht="22.5" customHeight="1">
      <c r="A636" s="20">
        <v>42</v>
      </c>
      <c r="B636" s="21"/>
      <c r="C636" s="21"/>
      <c r="D636" s="1"/>
      <c r="E636" s="1"/>
      <c r="F636" s="19"/>
      <c r="G636" s="19"/>
      <c r="H636" s="19"/>
      <c r="I636" s="1"/>
      <c r="J636" s="1">
        <f t="shared" si="80"/>
        <v>0</v>
      </c>
      <c r="K636" s="19" t="str">
        <f t="shared" si="81"/>
        <v xml:space="preserve"> No Issue</v>
      </c>
      <c r="L636" s="1" t="str">
        <f t="shared" si="82"/>
        <v>No Issue</v>
      </c>
      <c r="M636" s="1" t="str">
        <f t="shared" si="83"/>
        <v>No Issue</v>
      </c>
      <c r="N636" s="1" t="str">
        <f t="shared" si="84"/>
        <v>No Issue</v>
      </c>
      <c r="O636" s="1" t="str">
        <f t="shared" si="85"/>
        <v>No Issue</v>
      </c>
      <c r="P636" s="1" t="str">
        <f t="shared" si="86"/>
        <v>NoIssue</v>
      </c>
    </row>
    <row r="637" spans="1:16" ht="22.5" customHeight="1">
      <c r="A637" s="20">
        <v>43</v>
      </c>
      <c r="B637" s="30"/>
      <c r="C637" s="30"/>
      <c r="D637" s="1"/>
      <c r="E637" s="1"/>
      <c r="F637" s="19"/>
      <c r="G637" s="19"/>
      <c r="H637" s="19"/>
      <c r="I637" s="1"/>
      <c r="J637" s="1">
        <f t="shared" si="80"/>
        <v>0</v>
      </c>
      <c r="K637" s="19" t="str">
        <f t="shared" si="81"/>
        <v xml:space="preserve"> No Issue</v>
      </c>
      <c r="L637" s="1" t="str">
        <f t="shared" si="82"/>
        <v>No Issue</v>
      </c>
      <c r="M637" s="1" t="str">
        <f t="shared" si="83"/>
        <v>No Issue</v>
      </c>
      <c r="N637" s="1" t="str">
        <f t="shared" si="84"/>
        <v>No Issue</v>
      </c>
      <c r="O637" s="1" t="str">
        <f t="shared" si="85"/>
        <v>No Issue</v>
      </c>
      <c r="P637" s="1" t="str">
        <f t="shared" si="86"/>
        <v>NoIssue</v>
      </c>
    </row>
    <row r="638" spans="1:16" ht="22.5" customHeight="1">
      <c r="A638" s="20">
        <v>44</v>
      </c>
      <c r="B638" s="30"/>
      <c r="C638" s="30"/>
      <c r="D638" s="1"/>
      <c r="E638" s="1"/>
      <c r="F638" s="19"/>
      <c r="G638" s="19"/>
      <c r="H638" s="19"/>
      <c r="I638" s="1"/>
      <c r="J638" s="1">
        <f t="shared" si="80"/>
        <v>0</v>
      </c>
      <c r="K638" s="19" t="str">
        <f t="shared" si="81"/>
        <v xml:space="preserve"> No Issue</v>
      </c>
      <c r="L638" s="1" t="str">
        <f t="shared" si="82"/>
        <v>No Issue</v>
      </c>
      <c r="M638" s="1" t="str">
        <f t="shared" si="83"/>
        <v>No Issue</v>
      </c>
      <c r="N638" s="1" t="str">
        <f t="shared" si="84"/>
        <v>No Issue</v>
      </c>
      <c r="O638" s="1" t="str">
        <f t="shared" si="85"/>
        <v>No Issue</v>
      </c>
      <c r="P638" s="1" t="str">
        <f t="shared" si="86"/>
        <v>NoIssue</v>
      </c>
    </row>
    <row r="639" spans="1:16" ht="22.5" customHeight="1">
      <c r="A639" s="20">
        <v>45</v>
      </c>
      <c r="B639" s="30"/>
      <c r="C639" s="30"/>
      <c r="D639" s="1"/>
      <c r="E639" s="1"/>
      <c r="F639" s="19"/>
      <c r="G639" s="19"/>
      <c r="H639" s="19"/>
      <c r="I639" s="1"/>
      <c r="J639" s="1">
        <f t="shared" si="80"/>
        <v>0</v>
      </c>
      <c r="K639" s="19" t="str">
        <f t="shared" si="81"/>
        <v xml:space="preserve"> No Issue</v>
      </c>
      <c r="L639" s="1" t="str">
        <f t="shared" si="82"/>
        <v>No Issue</v>
      </c>
      <c r="M639" s="1" t="str">
        <f t="shared" si="83"/>
        <v>No Issue</v>
      </c>
      <c r="N639" s="1" t="str">
        <f t="shared" si="84"/>
        <v>No Issue</v>
      </c>
      <c r="O639" s="1" t="str">
        <f t="shared" si="85"/>
        <v>No Issue</v>
      </c>
      <c r="P639" s="1" t="str">
        <f t="shared" si="86"/>
        <v>NoIssue</v>
      </c>
    </row>
    <row r="640" spans="1:16" ht="22.5" customHeight="1">
      <c r="A640" s="20">
        <v>46</v>
      </c>
      <c r="B640" s="30"/>
      <c r="C640" s="30"/>
      <c r="D640" s="1"/>
      <c r="E640" s="1"/>
      <c r="F640" s="19"/>
      <c r="G640" s="19"/>
      <c r="H640" s="19"/>
      <c r="I640" s="1"/>
      <c r="J640" s="1">
        <f t="shared" si="80"/>
        <v>0</v>
      </c>
      <c r="K640" s="19" t="str">
        <f t="shared" si="81"/>
        <v xml:space="preserve"> No Issue</v>
      </c>
      <c r="L640" s="1" t="str">
        <f t="shared" si="82"/>
        <v>No Issue</v>
      </c>
      <c r="M640" s="1" t="str">
        <f t="shared" si="83"/>
        <v>No Issue</v>
      </c>
      <c r="N640" s="1" t="str">
        <f t="shared" si="84"/>
        <v>No Issue</v>
      </c>
      <c r="O640" s="1" t="str">
        <f t="shared" si="85"/>
        <v>No Issue</v>
      </c>
      <c r="P640" s="1" t="str">
        <f t="shared" si="86"/>
        <v>NoIssue</v>
      </c>
    </row>
    <row r="641" spans="1:16" ht="22.5" customHeight="1">
      <c r="A641" s="20">
        <v>47</v>
      </c>
      <c r="B641" s="31"/>
      <c r="C641" s="32"/>
      <c r="D641" s="1"/>
      <c r="E641" s="1"/>
      <c r="F641" s="19"/>
      <c r="G641" s="19"/>
      <c r="H641" s="19"/>
      <c r="I641" s="1"/>
      <c r="J641" s="1">
        <f t="shared" si="80"/>
        <v>0</v>
      </c>
      <c r="K641" s="19" t="str">
        <f t="shared" si="81"/>
        <v xml:space="preserve"> No Issue</v>
      </c>
      <c r="L641" s="1" t="str">
        <f t="shared" si="82"/>
        <v>No Issue</v>
      </c>
      <c r="M641" s="1" t="str">
        <f t="shared" si="83"/>
        <v>No Issue</v>
      </c>
      <c r="N641" s="1" t="str">
        <f t="shared" si="84"/>
        <v>No Issue</v>
      </c>
      <c r="O641" s="1" t="str">
        <f t="shared" si="85"/>
        <v>No Issue</v>
      </c>
      <c r="P641" s="1" t="str">
        <f t="shared" si="86"/>
        <v>NoIssue</v>
      </c>
    </row>
    <row r="642" spans="1:16" ht="22.5" customHeight="1">
      <c r="A642" s="20">
        <v>48</v>
      </c>
      <c r="B642" s="31"/>
      <c r="C642" s="32"/>
      <c r="D642" s="1"/>
      <c r="E642" s="1"/>
      <c r="F642" s="19"/>
      <c r="G642" s="19"/>
      <c r="H642" s="19"/>
      <c r="I642" s="1"/>
      <c r="J642" s="1">
        <f t="shared" si="80"/>
        <v>0</v>
      </c>
      <c r="K642" s="19" t="str">
        <f t="shared" si="81"/>
        <v xml:space="preserve"> No Issue</v>
      </c>
      <c r="L642" s="1" t="str">
        <f t="shared" si="82"/>
        <v>No Issue</v>
      </c>
      <c r="M642" s="1" t="str">
        <f t="shared" si="83"/>
        <v>No Issue</v>
      </c>
      <c r="N642" s="1" t="str">
        <f t="shared" si="84"/>
        <v>No Issue</v>
      </c>
      <c r="O642" s="1" t="str">
        <f t="shared" si="85"/>
        <v>No Issue</v>
      </c>
      <c r="P642" s="1" t="str">
        <f t="shared" si="86"/>
        <v>NoIssue</v>
      </c>
    </row>
    <row r="643" spans="1:16" ht="22.5" customHeight="1">
      <c r="A643" s="20">
        <v>49</v>
      </c>
      <c r="B643" s="31"/>
      <c r="C643" s="32"/>
      <c r="D643" s="1"/>
      <c r="E643" s="1"/>
      <c r="F643" s="19"/>
      <c r="G643" s="19"/>
      <c r="H643" s="19"/>
      <c r="I643" s="1"/>
      <c r="J643" s="1">
        <f t="shared" si="80"/>
        <v>0</v>
      </c>
      <c r="K643" s="19" t="str">
        <f t="shared" si="81"/>
        <v xml:space="preserve"> No Issue</v>
      </c>
      <c r="L643" s="1" t="str">
        <f t="shared" si="82"/>
        <v>No Issue</v>
      </c>
      <c r="M643" s="1" t="str">
        <f t="shared" si="83"/>
        <v>No Issue</v>
      </c>
      <c r="N643" s="1" t="str">
        <f t="shared" si="84"/>
        <v>No Issue</v>
      </c>
      <c r="O643" s="1" t="str">
        <f t="shared" si="85"/>
        <v>No Issue</v>
      </c>
      <c r="P643" s="1" t="str">
        <f t="shared" si="86"/>
        <v>NoIssue</v>
      </c>
    </row>
    <row r="644" spans="1:16" ht="22.5" customHeight="1">
      <c r="A644" s="20">
        <v>50</v>
      </c>
      <c r="B644" s="31"/>
      <c r="C644" s="32"/>
      <c r="D644" s="1"/>
      <c r="E644" s="1"/>
      <c r="F644" s="19"/>
      <c r="G644" s="19"/>
      <c r="H644" s="19"/>
      <c r="I644" s="1"/>
      <c r="J644" s="1">
        <f t="shared" si="80"/>
        <v>0</v>
      </c>
      <c r="K644" s="19" t="str">
        <f t="shared" si="81"/>
        <v xml:space="preserve"> No Issue</v>
      </c>
      <c r="L644" s="1" t="str">
        <f t="shared" si="82"/>
        <v>No Issue</v>
      </c>
      <c r="M644" s="1" t="str">
        <f t="shared" si="83"/>
        <v>No Issue</v>
      </c>
      <c r="N644" s="1" t="str">
        <f t="shared" si="84"/>
        <v>No Issue</v>
      </c>
      <c r="O644" s="1" t="str">
        <f t="shared" si="85"/>
        <v>No Issue</v>
      </c>
      <c r="P644" s="1" t="str">
        <f t="shared" si="86"/>
        <v>NoIssue</v>
      </c>
    </row>
    <row r="645" spans="1:16" ht="22.5" customHeight="1">
      <c r="A645" s="20">
        <v>51</v>
      </c>
      <c r="B645" s="31"/>
      <c r="C645" s="32"/>
      <c r="D645" s="1"/>
      <c r="E645" s="1"/>
      <c r="F645" s="19"/>
      <c r="G645" s="19"/>
      <c r="H645" s="19"/>
      <c r="I645" s="1"/>
      <c r="J645" s="1">
        <f t="shared" si="80"/>
        <v>0</v>
      </c>
      <c r="K645" s="19" t="str">
        <f t="shared" si="81"/>
        <v xml:space="preserve"> No Issue</v>
      </c>
      <c r="L645" s="1" t="str">
        <f t="shared" si="82"/>
        <v>No Issue</v>
      </c>
      <c r="M645" s="1" t="str">
        <f t="shared" si="83"/>
        <v>No Issue</v>
      </c>
      <c r="N645" s="1" t="str">
        <f t="shared" si="84"/>
        <v>No Issue</v>
      </c>
      <c r="O645" s="1" t="str">
        <f t="shared" si="85"/>
        <v>No Issue</v>
      </c>
      <c r="P645" s="1" t="str">
        <f t="shared" si="86"/>
        <v>NoIssue</v>
      </c>
    </row>
    <row r="646" spans="1:16" ht="22.5" customHeight="1">
      <c r="A646" s="20">
        <v>52</v>
      </c>
      <c r="B646" s="31"/>
      <c r="C646" s="32"/>
      <c r="D646" s="1"/>
      <c r="E646" s="1"/>
      <c r="F646" s="19"/>
      <c r="G646" s="19"/>
      <c r="H646" s="19"/>
      <c r="I646" s="1"/>
      <c r="J646" s="1">
        <f t="shared" si="80"/>
        <v>0</v>
      </c>
      <c r="K646" s="19" t="str">
        <f t="shared" si="81"/>
        <v xml:space="preserve"> No Issue</v>
      </c>
      <c r="L646" s="1" t="str">
        <f t="shared" si="82"/>
        <v>No Issue</v>
      </c>
      <c r="M646" s="1" t="str">
        <f t="shared" si="83"/>
        <v>No Issue</v>
      </c>
      <c r="N646" s="1" t="str">
        <f t="shared" si="84"/>
        <v>No Issue</v>
      </c>
      <c r="O646" s="1" t="str">
        <f t="shared" si="85"/>
        <v>No Issue</v>
      </c>
      <c r="P646" s="1" t="str">
        <f t="shared" si="86"/>
        <v>NoIssue</v>
      </c>
    </row>
    <row r="647" spans="1:16" ht="22.5" customHeight="1">
      <c r="A647" s="20">
        <v>53</v>
      </c>
      <c r="B647" s="31"/>
      <c r="C647" s="32"/>
      <c r="D647" s="1"/>
      <c r="E647" s="1"/>
      <c r="F647" s="19"/>
      <c r="G647" s="19"/>
      <c r="H647" s="19"/>
      <c r="I647" s="1"/>
      <c r="J647" s="1">
        <f t="shared" si="80"/>
        <v>0</v>
      </c>
      <c r="K647" s="19" t="str">
        <f t="shared" si="81"/>
        <v xml:space="preserve"> No Issue</v>
      </c>
      <c r="L647" s="1" t="str">
        <f t="shared" si="82"/>
        <v>No Issue</v>
      </c>
      <c r="M647" s="1" t="str">
        <f t="shared" si="83"/>
        <v>No Issue</v>
      </c>
      <c r="N647" s="1" t="str">
        <f t="shared" si="84"/>
        <v>No Issue</v>
      </c>
      <c r="O647" s="1" t="str">
        <f t="shared" si="85"/>
        <v>No Issue</v>
      </c>
      <c r="P647" s="1" t="str">
        <f t="shared" si="86"/>
        <v>NoIssue</v>
      </c>
    </row>
    <row r="648" spans="1:16" ht="22.5" customHeight="1">
      <c r="A648" s="20">
        <v>54</v>
      </c>
      <c r="B648" s="30"/>
      <c r="C648" s="30"/>
      <c r="D648" s="1"/>
      <c r="E648" s="1"/>
      <c r="F648" s="19"/>
      <c r="G648" s="19"/>
      <c r="H648" s="19"/>
      <c r="I648" s="1"/>
      <c r="J648" s="1">
        <f t="shared" si="80"/>
        <v>0</v>
      </c>
      <c r="K648" s="19" t="str">
        <f t="shared" si="81"/>
        <v xml:space="preserve"> No Issue</v>
      </c>
      <c r="L648" s="1" t="str">
        <f t="shared" si="82"/>
        <v>No Issue</v>
      </c>
      <c r="M648" s="1" t="str">
        <f t="shared" si="83"/>
        <v>No Issue</v>
      </c>
      <c r="N648" s="1" t="str">
        <f t="shared" si="84"/>
        <v>No Issue</v>
      </c>
      <c r="O648" s="1" t="str">
        <f t="shared" si="85"/>
        <v>No Issue</v>
      </c>
      <c r="P648" s="1" t="str">
        <f t="shared" si="86"/>
        <v>NoIssue</v>
      </c>
    </row>
    <row r="649" spans="1:16" ht="22.5" customHeight="1">
      <c r="A649" s="20">
        <v>55</v>
      </c>
      <c r="B649" s="31"/>
      <c r="C649" s="32"/>
      <c r="D649" s="1"/>
      <c r="E649" s="1"/>
      <c r="F649" s="19"/>
      <c r="G649" s="19"/>
      <c r="H649" s="19"/>
      <c r="I649" s="1"/>
      <c r="J649" s="1">
        <f t="shared" si="80"/>
        <v>0</v>
      </c>
      <c r="K649" s="19" t="str">
        <f t="shared" si="81"/>
        <v xml:space="preserve"> No Issue</v>
      </c>
      <c r="L649" s="1" t="str">
        <f t="shared" si="82"/>
        <v>No Issue</v>
      </c>
      <c r="M649" s="1" t="str">
        <f t="shared" si="83"/>
        <v>No Issue</v>
      </c>
      <c r="N649" s="1" t="str">
        <f t="shared" si="84"/>
        <v>No Issue</v>
      </c>
      <c r="O649" s="1" t="str">
        <f t="shared" si="85"/>
        <v>No Issue</v>
      </c>
      <c r="P649" s="1" t="str">
        <f t="shared" si="86"/>
        <v>NoIssue</v>
      </c>
    </row>
    <row r="650" spans="1:16" ht="22.5" customHeight="1">
      <c r="A650" s="20">
        <v>56</v>
      </c>
      <c r="B650" s="31"/>
      <c r="C650" s="32"/>
      <c r="D650" s="1"/>
      <c r="E650" s="1"/>
      <c r="F650" s="19"/>
      <c r="G650" s="19"/>
      <c r="H650" s="19"/>
      <c r="I650" s="1"/>
      <c r="J650" s="1">
        <f t="shared" si="80"/>
        <v>0</v>
      </c>
      <c r="K650" s="19" t="str">
        <f t="shared" si="81"/>
        <v xml:space="preserve"> No Issue</v>
      </c>
      <c r="L650" s="1" t="str">
        <f t="shared" si="82"/>
        <v>No Issue</v>
      </c>
      <c r="M650" s="1" t="str">
        <f t="shared" si="83"/>
        <v>No Issue</v>
      </c>
      <c r="N650" s="1" t="str">
        <f t="shared" si="84"/>
        <v>No Issue</v>
      </c>
      <c r="O650" s="1" t="str">
        <f t="shared" si="85"/>
        <v>No Issue</v>
      </c>
      <c r="P650" s="1" t="str">
        <f t="shared" si="86"/>
        <v>NoIssue</v>
      </c>
    </row>
    <row r="651" spans="1:16" ht="22.5" customHeight="1">
      <c r="A651" s="20"/>
      <c r="B651" s="1" t="s">
        <v>62</v>
      </c>
      <c r="C651" s="31"/>
      <c r="D651" s="1">
        <f t="shared" ref="D651:I651" si="87">SUMPRODUCT(D595:D650,$C595:$C650)</f>
        <v>0</v>
      </c>
      <c r="E651" s="1">
        <f t="shared" si="87"/>
        <v>0</v>
      </c>
      <c r="F651" s="1">
        <f t="shared" si="87"/>
        <v>0</v>
      </c>
      <c r="G651" s="1">
        <f t="shared" si="87"/>
        <v>0</v>
      </c>
      <c r="H651" s="1">
        <f t="shared" si="87"/>
        <v>0</v>
      </c>
      <c r="I651" s="1">
        <f t="shared" si="87"/>
        <v>0</v>
      </c>
      <c r="J651" s="1">
        <f t="shared" si="80"/>
        <v>0</v>
      </c>
      <c r="K651" s="19" t="str">
        <f t="shared" si="81"/>
        <v xml:space="preserve"> No Issue</v>
      </c>
      <c r="L651" s="1" t="str">
        <f t="shared" si="82"/>
        <v>No Issue</v>
      </c>
      <c r="M651" s="1" t="str">
        <f t="shared" si="83"/>
        <v>No Issue</v>
      </c>
      <c r="N651" s="1" t="str">
        <f t="shared" si="84"/>
        <v>No Issue</v>
      </c>
      <c r="O651" s="1" t="str">
        <f t="shared" si="85"/>
        <v>No Issue</v>
      </c>
      <c r="P651" s="1" t="str">
        <f t="shared" si="86"/>
        <v>NoIssue</v>
      </c>
    </row>
    <row r="652" spans="1:16" ht="22.5" customHeight="1">
      <c r="A652" s="8"/>
      <c r="B652" s="9" t="s">
        <v>3</v>
      </c>
      <c r="C652" s="10"/>
      <c r="D652" s="11"/>
      <c r="E652" s="9"/>
      <c r="F652" s="12"/>
      <c r="G652" s="46"/>
      <c r="H652" s="47"/>
      <c r="I652" s="12"/>
      <c r="J652" s="13"/>
      <c r="K652" s="48" t="s">
        <v>4</v>
      </c>
      <c r="L652" s="49"/>
      <c r="M652" s="49"/>
      <c r="N652" s="49"/>
      <c r="O652" s="49"/>
      <c r="P652" s="50"/>
    </row>
    <row r="653" spans="1:16" ht="22.5" customHeight="1">
      <c r="A653" s="35" t="s">
        <v>5</v>
      </c>
      <c r="B653" s="19" t="s">
        <v>6</v>
      </c>
      <c r="C653" s="19" t="s">
        <v>7</v>
      </c>
      <c r="D653" s="18" t="s">
        <v>8</v>
      </c>
      <c r="E653" s="18" t="s">
        <v>9</v>
      </c>
      <c r="F653" s="18" t="s">
        <v>10</v>
      </c>
      <c r="G653" s="18" t="s">
        <v>11</v>
      </c>
      <c r="H653" s="18" t="s">
        <v>12</v>
      </c>
      <c r="I653" s="18" t="s">
        <v>13</v>
      </c>
      <c r="J653" s="18" t="s">
        <v>14</v>
      </c>
      <c r="K653" s="19" t="s">
        <v>15</v>
      </c>
      <c r="L653" s="19" t="s">
        <v>16</v>
      </c>
      <c r="M653" s="19" t="s">
        <v>17</v>
      </c>
      <c r="N653" s="19" t="s">
        <v>18</v>
      </c>
      <c r="O653" s="19" t="s">
        <v>19</v>
      </c>
      <c r="P653" s="19" t="s">
        <v>20</v>
      </c>
    </row>
    <row r="654" spans="1:16" ht="22.5" customHeight="1">
      <c r="A654" s="20">
        <v>1</v>
      </c>
      <c r="B654" s="21" t="s">
        <v>21</v>
      </c>
      <c r="C654" s="22">
        <v>192.17</v>
      </c>
      <c r="D654" s="1"/>
      <c r="E654" s="1"/>
      <c r="F654" s="1"/>
      <c r="G654" s="1"/>
      <c r="H654" s="1"/>
      <c r="I654" s="1"/>
      <c r="J654" s="1">
        <f t="shared" ref="J654:J710" si="88">D654+E654-F654-G654+H654</f>
        <v>0</v>
      </c>
      <c r="K654" s="19" t="str">
        <f t="shared" ref="K654:K710" si="89">IF(I654&lt;&gt;(D654+E654-F654-G654+H654),"Closing stock Not Correct-Problem"," No Issue")</f>
        <v xml:space="preserve"> No Issue</v>
      </c>
      <c r="L654" s="1" t="str">
        <f t="shared" ref="L654:L710" si="90">IF((D654+E654)&lt;F654,"High Sale and Less Stock-Problem","No Issue")</f>
        <v>No Issue</v>
      </c>
      <c r="M654" s="1" t="str">
        <f t="shared" ref="M654:M710" si="91">IF(AND((D654+E654+I654)=0,F654&gt;0),"No Stock Sale Present Problem","No Issue")</f>
        <v>No Issue</v>
      </c>
      <c r="N654" s="1" t="str">
        <f t="shared" ref="N654:N710" si="92">IF(AND(SUM(D654:H654)=0,I654&gt;0),"Only Closing Entered Other Parameters No Entired Problem","No Issue")</f>
        <v>No Issue</v>
      </c>
      <c r="O654" s="1" t="str">
        <f t="shared" ref="O654:O710" si="93">IF(F654&gt;5000,"Check Once Sales quantity or Value Problem","No Issue")</f>
        <v>No Issue</v>
      </c>
      <c r="P654" s="1" t="str">
        <f t="shared" ref="P654:P710" si="94">IF(I654&gt;5000,"Check Once Closing quantity or Value Problem","NoIssue")</f>
        <v>NoIssue</v>
      </c>
    </row>
    <row r="655" spans="1:16" ht="22.5" customHeight="1">
      <c r="A655" s="20">
        <v>2</v>
      </c>
      <c r="B655" s="21" t="s">
        <v>22</v>
      </c>
      <c r="C655" s="22">
        <v>9.26</v>
      </c>
      <c r="D655" s="1"/>
      <c r="E655" s="1"/>
      <c r="F655" s="1"/>
      <c r="G655" s="1"/>
      <c r="H655" s="1"/>
      <c r="I655" s="1"/>
      <c r="J655" s="1">
        <f t="shared" si="88"/>
        <v>0</v>
      </c>
      <c r="K655" s="19" t="str">
        <f t="shared" si="89"/>
        <v xml:space="preserve"> No Issue</v>
      </c>
      <c r="L655" s="1" t="str">
        <f t="shared" si="90"/>
        <v>No Issue</v>
      </c>
      <c r="M655" s="1" t="str">
        <f t="shared" si="91"/>
        <v>No Issue</v>
      </c>
      <c r="N655" s="1" t="str">
        <f t="shared" si="92"/>
        <v>No Issue</v>
      </c>
      <c r="O655" s="1" t="str">
        <f t="shared" si="93"/>
        <v>No Issue</v>
      </c>
      <c r="P655" s="1" t="str">
        <f t="shared" si="94"/>
        <v>NoIssue</v>
      </c>
    </row>
    <row r="656" spans="1:16" ht="22.5" customHeight="1">
      <c r="A656" s="20">
        <v>3</v>
      </c>
      <c r="B656" s="21" t="s">
        <v>23</v>
      </c>
      <c r="C656" s="22">
        <v>87.79</v>
      </c>
      <c r="D656" s="1"/>
      <c r="E656" s="1"/>
      <c r="F656" s="1"/>
      <c r="G656" s="1"/>
      <c r="H656" s="1"/>
      <c r="I656" s="1"/>
      <c r="J656" s="1">
        <f t="shared" si="88"/>
        <v>0</v>
      </c>
      <c r="K656" s="19" t="str">
        <f t="shared" si="89"/>
        <v xml:space="preserve"> No Issue</v>
      </c>
      <c r="L656" s="1" t="str">
        <f t="shared" si="90"/>
        <v>No Issue</v>
      </c>
      <c r="M656" s="1" t="str">
        <f t="shared" si="91"/>
        <v>No Issue</v>
      </c>
      <c r="N656" s="1" t="str">
        <f t="shared" si="92"/>
        <v>No Issue</v>
      </c>
      <c r="O656" s="1" t="str">
        <f t="shared" si="93"/>
        <v>No Issue</v>
      </c>
      <c r="P656" s="1" t="str">
        <f t="shared" si="94"/>
        <v>NoIssue</v>
      </c>
    </row>
    <row r="657" spans="1:16" ht="22.5" customHeight="1">
      <c r="A657" s="20">
        <v>4</v>
      </c>
      <c r="B657" s="21" t="s">
        <v>24</v>
      </c>
      <c r="C657" s="22">
        <v>55.55</v>
      </c>
      <c r="D657" s="1"/>
      <c r="E657" s="1"/>
      <c r="F657" s="1"/>
      <c r="G657" s="1"/>
      <c r="H657" s="1"/>
      <c r="I657" s="1"/>
      <c r="J657" s="1">
        <f t="shared" si="88"/>
        <v>0</v>
      </c>
      <c r="K657" s="19" t="str">
        <f t="shared" si="89"/>
        <v xml:space="preserve"> No Issue</v>
      </c>
      <c r="L657" s="1" t="str">
        <f t="shared" si="90"/>
        <v>No Issue</v>
      </c>
      <c r="M657" s="1" t="str">
        <f t="shared" si="91"/>
        <v>No Issue</v>
      </c>
      <c r="N657" s="1" t="str">
        <f t="shared" si="92"/>
        <v>No Issue</v>
      </c>
      <c r="O657" s="1" t="str">
        <f t="shared" si="93"/>
        <v>No Issue</v>
      </c>
      <c r="P657" s="1" t="str">
        <f t="shared" si="94"/>
        <v>NoIssue</v>
      </c>
    </row>
    <row r="658" spans="1:16" ht="22.5" customHeight="1">
      <c r="A658" s="20">
        <v>5</v>
      </c>
      <c r="B658" s="21" t="s">
        <v>25</v>
      </c>
      <c r="C658" s="22">
        <v>70.010000000000005</v>
      </c>
      <c r="D658" s="1"/>
      <c r="E658" s="1"/>
      <c r="F658" s="1"/>
      <c r="G658" s="1"/>
      <c r="H658" s="1"/>
      <c r="I658" s="1"/>
      <c r="J658" s="1">
        <f t="shared" si="88"/>
        <v>0</v>
      </c>
      <c r="K658" s="19" t="str">
        <f t="shared" si="89"/>
        <v xml:space="preserve"> No Issue</v>
      </c>
      <c r="L658" s="1" t="str">
        <f t="shared" si="90"/>
        <v>No Issue</v>
      </c>
      <c r="M658" s="1" t="str">
        <f t="shared" si="91"/>
        <v>No Issue</v>
      </c>
      <c r="N658" s="1" t="str">
        <f t="shared" si="92"/>
        <v>No Issue</v>
      </c>
      <c r="O658" s="1" t="str">
        <f t="shared" si="93"/>
        <v>No Issue</v>
      </c>
      <c r="P658" s="1" t="str">
        <f t="shared" si="94"/>
        <v>NoIssue</v>
      </c>
    </row>
    <row r="659" spans="1:16" ht="22.5" customHeight="1">
      <c r="A659" s="20">
        <v>6</v>
      </c>
      <c r="B659" s="25" t="s">
        <v>26</v>
      </c>
      <c r="C659" s="22">
        <v>73.929999999999993</v>
      </c>
      <c r="D659" s="1"/>
      <c r="E659" s="1"/>
      <c r="F659" s="1"/>
      <c r="G659" s="1"/>
      <c r="H659" s="1"/>
      <c r="I659" s="1"/>
      <c r="J659" s="1">
        <f t="shared" si="88"/>
        <v>0</v>
      </c>
      <c r="K659" s="19" t="str">
        <f t="shared" si="89"/>
        <v xml:space="preserve"> No Issue</v>
      </c>
      <c r="L659" s="1" t="str">
        <f t="shared" si="90"/>
        <v>No Issue</v>
      </c>
      <c r="M659" s="1" t="str">
        <f t="shared" si="91"/>
        <v>No Issue</v>
      </c>
      <c r="N659" s="1" t="str">
        <f t="shared" si="92"/>
        <v>No Issue</v>
      </c>
      <c r="O659" s="1" t="str">
        <f t="shared" si="93"/>
        <v>No Issue</v>
      </c>
      <c r="P659" s="1" t="str">
        <f t="shared" si="94"/>
        <v>NoIssue</v>
      </c>
    </row>
    <row r="660" spans="1:16" ht="22.5" customHeight="1">
      <c r="A660" s="20">
        <v>7</v>
      </c>
      <c r="B660" s="21" t="s">
        <v>27</v>
      </c>
      <c r="C660" s="26">
        <v>13.91</v>
      </c>
      <c r="D660" s="1"/>
      <c r="E660" s="1"/>
      <c r="F660" s="1"/>
      <c r="G660" s="1"/>
      <c r="H660" s="1"/>
      <c r="I660" s="1"/>
      <c r="J660" s="1">
        <f t="shared" si="88"/>
        <v>0</v>
      </c>
      <c r="K660" s="19" t="str">
        <f t="shared" si="89"/>
        <v xml:space="preserve"> No Issue</v>
      </c>
      <c r="L660" s="1" t="str">
        <f t="shared" si="90"/>
        <v>No Issue</v>
      </c>
      <c r="M660" s="1" t="str">
        <f t="shared" si="91"/>
        <v>No Issue</v>
      </c>
      <c r="N660" s="1" t="str">
        <f t="shared" si="92"/>
        <v>No Issue</v>
      </c>
      <c r="O660" s="1" t="str">
        <f t="shared" si="93"/>
        <v>No Issue</v>
      </c>
      <c r="P660" s="1" t="str">
        <f t="shared" si="94"/>
        <v>NoIssue</v>
      </c>
    </row>
    <row r="661" spans="1:16" ht="22.5" customHeight="1">
      <c r="A661" s="20">
        <v>8</v>
      </c>
      <c r="B661" s="21" t="s">
        <v>28</v>
      </c>
      <c r="C661" s="26">
        <v>19.5</v>
      </c>
      <c r="D661" s="1"/>
      <c r="E661" s="1"/>
      <c r="F661" s="1"/>
      <c r="G661" s="1"/>
      <c r="H661" s="1"/>
      <c r="I661" s="1"/>
      <c r="J661" s="1">
        <f t="shared" si="88"/>
        <v>0</v>
      </c>
      <c r="K661" s="19" t="str">
        <f t="shared" si="89"/>
        <v xml:space="preserve"> No Issue</v>
      </c>
      <c r="L661" s="1" t="str">
        <f t="shared" si="90"/>
        <v>No Issue</v>
      </c>
      <c r="M661" s="1" t="str">
        <f t="shared" si="91"/>
        <v>No Issue</v>
      </c>
      <c r="N661" s="1" t="str">
        <f t="shared" si="92"/>
        <v>No Issue</v>
      </c>
      <c r="O661" s="1" t="str">
        <f t="shared" si="93"/>
        <v>No Issue</v>
      </c>
      <c r="P661" s="1" t="str">
        <f t="shared" si="94"/>
        <v>NoIssue</v>
      </c>
    </row>
    <row r="662" spans="1:16" ht="22.5" customHeight="1">
      <c r="A662" s="20">
        <v>9</v>
      </c>
      <c r="B662" s="21" t="s">
        <v>29</v>
      </c>
      <c r="C662" s="26">
        <v>28.83</v>
      </c>
      <c r="D662" s="1"/>
      <c r="E662" s="1"/>
      <c r="F662" s="1"/>
      <c r="G662" s="1"/>
      <c r="H662" s="1"/>
      <c r="I662" s="1"/>
      <c r="J662" s="1">
        <f t="shared" si="88"/>
        <v>0</v>
      </c>
      <c r="K662" s="19" t="str">
        <f t="shared" si="89"/>
        <v xml:space="preserve"> No Issue</v>
      </c>
      <c r="L662" s="1" t="str">
        <f t="shared" si="90"/>
        <v>No Issue</v>
      </c>
      <c r="M662" s="1" t="str">
        <f t="shared" si="91"/>
        <v>No Issue</v>
      </c>
      <c r="N662" s="1" t="str">
        <f t="shared" si="92"/>
        <v>No Issue</v>
      </c>
      <c r="O662" s="1" t="str">
        <f t="shared" si="93"/>
        <v>No Issue</v>
      </c>
      <c r="P662" s="1" t="str">
        <f t="shared" si="94"/>
        <v>NoIssue</v>
      </c>
    </row>
    <row r="663" spans="1:16" ht="22.5" customHeight="1">
      <c r="A663" s="20">
        <v>10</v>
      </c>
      <c r="B663" s="21" t="s">
        <v>30</v>
      </c>
      <c r="C663" s="26">
        <v>8.51</v>
      </c>
      <c r="D663" s="1"/>
      <c r="E663" s="1"/>
      <c r="F663" s="1"/>
      <c r="G663" s="1"/>
      <c r="H663" s="1"/>
      <c r="I663" s="1"/>
      <c r="J663" s="1">
        <f t="shared" si="88"/>
        <v>0</v>
      </c>
      <c r="K663" s="19" t="str">
        <f t="shared" si="89"/>
        <v xml:space="preserve"> No Issue</v>
      </c>
      <c r="L663" s="1" t="str">
        <f t="shared" si="90"/>
        <v>No Issue</v>
      </c>
      <c r="M663" s="1" t="str">
        <f t="shared" si="91"/>
        <v>No Issue</v>
      </c>
      <c r="N663" s="1" t="str">
        <f t="shared" si="92"/>
        <v>No Issue</v>
      </c>
      <c r="O663" s="1" t="str">
        <f t="shared" si="93"/>
        <v>No Issue</v>
      </c>
      <c r="P663" s="1" t="str">
        <f t="shared" si="94"/>
        <v>NoIssue</v>
      </c>
    </row>
    <row r="664" spans="1:16" ht="22.5" customHeight="1">
      <c r="A664" s="20">
        <v>11</v>
      </c>
      <c r="B664" s="21" t="s">
        <v>31</v>
      </c>
      <c r="C664" s="26">
        <v>102.17</v>
      </c>
      <c r="D664" s="1"/>
      <c r="E664" s="1"/>
      <c r="F664" s="1"/>
      <c r="G664" s="1"/>
      <c r="H664" s="1"/>
      <c r="I664" s="1"/>
      <c r="J664" s="1">
        <f t="shared" si="88"/>
        <v>0</v>
      </c>
      <c r="K664" s="19" t="str">
        <f t="shared" si="89"/>
        <v xml:space="preserve"> No Issue</v>
      </c>
      <c r="L664" s="1" t="str">
        <f t="shared" si="90"/>
        <v>No Issue</v>
      </c>
      <c r="M664" s="1" t="str">
        <f t="shared" si="91"/>
        <v>No Issue</v>
      </c>
      <c r="N664" s="1" t="str">
        <f t="shared" si="92"/>
        <v>No Issue</v>
      </c>
      <c r="O664" s="1" t="str">
        <f t="shared" si="93"/>
        <v>No Issue</v>
      </c>
      <c r="P664" s="1" t="str">
        <f t="shared" si="94"/>
        <v>NoIssue</v>
      </c>
    </row>
    <row r="665" spans="1:16" ht="22.5" customHeight="1">
      <c r="A665" s="20">
        <v>12</v>
      </c>
      <c r="B665" s="21" t="s">
        <v>32</v>
      </c>
      <c r="C665" s="26">
        <v>59.93</v>
      </c>
      <c r="D665" s="1"/>
      <c r="E665" s="1"/>
      <c r="F665" s="1"/>
      <c r="G665" s="1"/>
      <c r="H665" s="1"/>
      <c r="I665" s="1"/>
      <c r="J665" s="1">
        <f t="shared" si="88"/>
        <v>0</v>
      </c>
      <c r="K665" s="19" t="str">
        <f t="shared" si="89"/>
        <v xml:space="preserve"> No Issue</v>
      </c>
      <c r="L665" s="1" t="str">
        <f t="shared" si="90"/>
        <v>No Issue</v>
      </c>
      <c r="M665" s="1" t="str">
        <f t="shared" si="91"/>
        <v>No Issue</v>
      </c>
      <c r="N665" s="1" t="str">
        <f t="shared" si="92"/>
        <v>No Issue</v>
      </c>
      <c r="O665" s="1" t="str">
        <f t="shared" si="93"/>
        <v>No Issue</v>
      </c>
      <c r="P665" s="1" t="str">
        <f t="shared" si="94"/>
        <v>NoIssue</v>
      </c>
    </row>
    <row r="666" spans="1:16" ht="22.5" customHeight="1">
      <c r="A666" s="20">
        <v>13</v>
      </c>
      <c r="B666" s="21" t="s">
        <v>33</v>
      </c>
      <c r="C666" s="26">
        <v>118</v>
      </c>
      <c r="D666" s="1"/>
      <c r="E666" s="1"/>
      <c r="F666" s="1"/>
      <c r="G666" s="1"/>
      <c r="H666" s="1"/>
      <c r="I666" s="1"/>
      <c r="J666" s="1">
        <f t="shared" si="88"/>
        <v>0</v>
      </c>
      <c r="K666" s="19" t="str">
        <f t="shared" si="89"/>
        <v xml:space="preserve"> No Issue</v>
      </c>
      <c r="L666" s="1" t="str">
        <f t="shared" si="90"/>
        <v>No Issue</v>
      </c>
      <c r="M666" s="1" t="str">
        <f t="shared" si="91"/>
        <v>No Issue</v>
      </c>
      <c r="N666" s="1" t="str">
        <f t="shared" si="92"/>
        <v>No Issue</v>
      </c>
      <c r="O666" s="1" t="str">
        <f t="shared" si="93"/>
        <v>No Issue</v>
      </c>
      <c r="P666" s="1" t="str">
        <f t="shared" si="94"/>
        <v>NoIssue</v>
      </c>
    </row>
    <row r="667" spans="1:16" ht="22.5" customHeight="1">
      <c r="A667" s="20">
        <v>14</v>
      </c>
      <c r="B667" s="21" t="s">
        <v>34</v>
      </c>
      <c r="C667" s="26">
        <v>52.83</v>
      </c>
      <c r="D667" s="1"/>
      <c r="E667" s="1"/>
      <c r="F667" s="1"/>
      <c r="G667" s="1"/>
      <c r="H667" s="1"/>
      <c r="I667" s="1"/>
      <c r="J667" s="1">
        <f t="shared" si="88"/>
        <v>0</v>
      </c>
      <c r="K667" s="19" t="str">
        <f t="shared" si="89"/>
        <v xml:space="preserve"> No Issue</v>
      </c>
      <c r="L667" s="1" t="str">
        <f t="shared" si="90"/>
        <v>No Issue</v>
      </c>
      <c r="M667" s="1" t="str">
        <f t="shared" si="91"/>
        <v>No Issue</v>
      </c>
      <c r="N667" s="1" t="str">
        <f t="shared" si="92"/>
        <v>No Issue</v>
      </c>
      <c r="O667" s="1" t="str">
        <f t="shared" si="93"/>
        <v>No Issue</v>
      </c>
      <c r="P667" s="1" t="str">
        <f t="shared" si="94"/>
        <v>NoIssue</v>
      </c>
    </row>
    <row r="668" spans="1:16" ht="22.5" customHeight="1">
      <c r="A668" s="20">
        <v>15</v>
      </c>
      <c r="B668" s="21" t="s">
        <v>35</v>
      </c>
      <c r="C668" s="26">
        <v>93.2</v>
      </c>
      <c r="D668" s="1"/>
      <c r="E668" s="1"/>
      <c r="F668" s="1"/>
      <c r="G668" s="1"/>
      <c r="H668" s="1"/>
      <c r="I668" s="1"/>
      <c r="J668" s="1">
        <f t="shared" si="88"/>
        <v>0</v>
      </c>
      <c r="K668" s="19" t="str">
        <f t="shared" si="89"/>
        <v xml:space="preserve"> No Issue</v>
      </c>
      <c r="L668" s="1" t="str">
        <f t="shared" si="90"/>
        <v>No Issue</v>
      </c>
      <c r="M668" s="1" t="str">
        <f t="shared" si="91"/>
        <v>No Issue</v>
      </c>
      <c r="N668" s="1" t="str">
        <f t="shared" si="92"/>
        <v>No Issue</v>
      </c>
      <c r="O668" s="1" t="str">
        <f t="shared" si="93"/>
        <v>No Issue</v>
      </c>
      <c r="P668" s="1" t="str">
        <f t="shared" si="94"/>
        <v>NoIssue</v>
      </c>
    </row>
    <row r="669" spans="1:16" ht="22.5" customHeight="1">
      <c r="A669" s="20">
        <v>16</v>
      </c>
      <c r="B669" s="21" t="s">
        <v>36</v>
      </c>
      <c r="C669" s="26">
        <v>61.02</v>
      </c>
      <c r="D669" s="1"/>
      <c r="E669" s="1"/>
      <c r="F669" s="1"/>
      <c r="G669" s="1"/>
      <c r="H669" s="1"/>
      <c r="I669" s="1"/>
      <c r="J669" s="1">
        <f t="shared" si="88"/>
        <v>0</v>
      </c>
      <c r="K669" s="19" t="str">
        <f t="shared" si="89"/>
        <v xml:space="preserve"> No Issue</v>
      </c>
      <c r="L669" s="1" t="str">
        <f t="shared" si="90"/>
        <v>No Issue</v>
      </c>
      <c r="M669" s="1" t="str">
        <f t="shared" si="91"/>
        <v>No Issue</v>
      </c>
      <c r="N669" s="1" t="str">
        <f t="shared" si="92"/>
        <v>No Issue</v>
      </c>
      <c r="O669" s="1" t="str">
        <f t="shared" si="93"/>
        <v>No Issue</v>
      </c>
      <c r="P669" s="1" t="str">
        <f t="shared" si="94"/>
        <v>NoIssue</v>
      </c>
    </row>
    <row r="670" spans="1:16" ht="22.5" customHeight="1">
      <c r="A670" s="20">
        <v>17</v>
      </c>
      <c r="B670" s="21" t="s">
        <v>37</v>
      </c>
      <c r="C670" s="26">
        <v>36.619999999999997</v>
      </c>
      <c r="D670" s="1"/>
      <c r="E670" s="1"/>
      <c r="F670" s="1"/>
      <c r="G670" s="1"/>
      <c r="H670" s="1"/>
      <c r="I670" s="1"/>
      <c r="J670" s="1">
        <f t="shared" si="88"/>
        <v>0</v>
      </c>
      <c r="K670" s="19" t="str">
        <f t="shared" si="89"/>
        <v xml:space="preserve"> No Issue</v>
      </c>
      <c r="L670" s="1" t="str">
        <f t="shared" si="90"/>
        <v>No Issue</v>
      </c>
      <c r="M670" s="1" t="str">
        <f t="shared" si="91"/>
        <v>No Issue</v>
      </c>
      <c r="N670" s="1" t="str">
        <f t="shared" si="92"/>
        <v>No Issue</v>
      </c>
      <c r="O670" s="1" t="str">
        <f t="shared" si="93"/>
        <v>No Issue</v>
      </c>
      <c r="P670" s="1" t="str">
        <f t="shared" si="94"/>
        <v>NoIssue</v>
      </c>
    </row>
    <row r="671" spans="1:16" ht="22.5" customHeight="1">
      <c r="A671" s="20">
        <v>18</v>
      </c>
      <c r="B671" s="21" t="s">
        <v>38</v>
      </c>
      <c r="C671" s="26">
        <v>80.36</v>
      </c>
      <c r="D671" s="1"/>
      <c r="E671" s="1"/>
      <c r="F671" s="1"/>
      <c r="G671" s="1"/>
      <c r="H671" s="1"/>
      <c r="I671" s="1"/>
      <c r="J671" s="1">
        <f t="shared" si="88"/>
        <v>0</v>
      </c>
      <c r="K671" s="19" t="str">
        <f t="shared" si="89"/>
        <v xml:space="preserve"> No Issue</v>
      </c>
      <c r="L671" s="1" t="str">
        <f t="shared" si="90"/>
        <v>No Issue</v>
      </c>
      <c r="M671" s="1" t="str">
        <f t="shared" si="91"/>
        <v>No Issue</v>
      </c>
      <c r="N671" s="1" t="str">
        <f t="shared" si="92"/>
        <v>No Issue</v>
      </c>
      <c r="O671" s="1" t="str">
        <f t="shared" si="93"/>
        <v>No Issue</v>
      </c>
      <c r="P671" s="1" t="str">
        <f t="shared" si="94"/>
        <v>NoIssue</v>
      </c>
    </row>
    <row r="672" spans="1:16" ht="22.5" customHeight="1">
      <c r="A672" s="20">
        <v>19</v>
      </c>
      <c r="B672" s="21" t="s">
        <v>39</v>
      </c>
      <c r="C672" s="26">
        <v>160.56</v>
      </c>
      <c r="D672" s="1"/>
      <c r="E672" s="1"/>
      <c r="F672" s="1"/>
      <c r="G672" s="1"/>
      <c r="H672" s="1"/>
      <c r="I672" s="1"/>
      <c r="J672" s="1">
        <f t="shared" si="88"/>
        <v>0</v>
      </c>
      <c r="K672" s="19" t="str">
        <f t="shared" si="89"/>
        <v xml:space="preserve"> No Issue</v>
      </c>
      <c r="L672" s="1" t="str">
        <f t="shared" si="90"/>
        <v>No Issue</v>
      </c>
      <c r="M672" s="1" t="str">
        <f t="shared" si="91"/>
        <v>No Issue</v>
      </c>
      <c r="N672" s="1" t="str">
        <f t="shared" si="92"/>
        <v>No Issue</v>
      </c>
      <c r="O672" s="1" t="str">
        <f t="shared" si="93"/>
        <v>No Issue</v>
      </c>
      <c r="P672" s="1" t="str">
        <f t="shared" si="94"/>
        <v>NoIssue</v>
      </c>
    </row>
    <row r="673" spans="1:16" ht="22.5" customHeight="1">
      <c r="A673" s="20">
        <v>20</v>
      </c>
      <c r="B673" s="21" t="s">
        <v>40</v>
      </c>
      <c r="C673" s="26">
        <v>186.44</v>
      </c>
      <c r="D673" s="1"/>
      <c r="E673" s="1"/>
      <c r="F673" s="1"/>
      <c r="G673" s="1"/>
      <c r="H673" s="1"/>
      <c r="I673" s="1"/>
      <c r="J673" s="1">
        <f t="shared" si="88"/>
        <v>0</v>
      </c>
      <c r="K673" s="19" t="str">
        <f t="shared" si="89"/>
        <v xml:space="preserve"> No Issue</v>
      </c>
      <c r="L673" s="1" t="str">
        <f t="shared" si="90"/>
        <v>No Issue</v>
      </c>
      <c r="M673" s="1" t="str">
        <f t="shared" si="91"/>
        <v>No Issue</v>
      </c>
      <c r="N673" s="1" t="str">
        <f t="shared" si="92"/>
        <v>No Issue</v>
      </c>
      <c r="O673" s="1" t="str">
        <f t="shared" si="93"/>
        <v>No Issue</v>
      </c>
      <c r="P673" s="1" t="str">
        <f t="shared" si="94"/>
        <v>NoIssue</v>
      </c>
    </row>
    <row r="674" spans="1:16" ht="22.5" customHeight="1">
      <c r="A674" s="20">
        <v>21</v>
      </c>
      <c r="B674" s="21" t="s">
        <v>41</v>
      </c>
      <c r="C674" s="26">
        <v>92.59</v>
      </c>
      <c r="D674" s="1"/>
      <c r="E674" s="1"/>
      <c r="F674" s="1"/>
      <c r="G674" s="1"/>
      <c r="H674" s="1"/>
      <c r="I674" s="1"/>
      <c r="J674" s="1">
        <f t="shared" si="88"/>
        <v>0</v>
      </c>
      <c r="K674" s="19" t="str">
        <f t="shared" si="89"/>
        <v xml:space="preserve"> No Issue</v>
      </c>
      <c r="L674" s="1" t="str">
        <f t="shared" si="90"/>
        <v>No Issue</v>
      </c>
      <c r="M674" s="1" t="str">
        <f t="shared" si="91"/>
        <v>No Issue</v>
      </c>
      <c r="N674" s="1" t="str">
        <f t="shared" si="92"/>
        <v>No Issue</v>
      </c>
      <c r="O674" s="1" t="str">
        <f t="shared" si="93"/>
        <v>No Issue</v>
      </c>
      <c r="P674" s="1" t="str">
        <f t="shared" si="94"/>
        <v>NoIssue</v>
      </c>
    </row>
    <row r="675" spans="1:16" ht="22.5" customHeight="1">
      <c r="A675" s="20">
        <v>22</v>
      </c>
      <c r="B675" s="21" t="s">
        <v>42</v>
      </c>
      <c r="C675" s="26">
        <v>95.17</v>
      </c>
      <c r="D675" s="1"/>
      <c r="E675" s="1"/>
      <c r="F675" s="1"/>
      <c r="G675" s="1"/>
      <c r="H675" s="1"/>
      <c r="I675" s="1"/>
      <c r="J675" s="1">
        <f t="shared" si="88"/>
        <v>0</v>
      </c>
      <c r="K675" s="19" t="str">
        <f t="shared" si="89"/>
        <v xml:space="preserve"> No Issue</v>
      </c>
      <c r="L675" s="1" t="str">
        <f t="shared" si="90"/>
        <v>No Issue</v>
      </c>
      <c r="M675" s="1" t="str">
        <f t="shared" si="91"/>
        <v>No Issue</v>
      </c>
      <c r="N675" s="1" t="str">
        <f t="shared" si="92"/>
        <v>No Issue</v>
      </c>
      <c r="O675" s="1" t="str">
        <f t="shared" si="93"/>
        <v>No Issue</v>
      </c>
      <c r="P675" s="1" t="str">
        <f t="shared" si="94"/>
        <v>NoIssue</v>
      </c>
    </row>
    <row r="676" spans="1:16" ht="22.5" customHeight="1">
      <c r="A676" s="20">
        <v>23</v>
      </c>
      <c r="B676" s="21" t="s">
        <v>43</v>
      </c>
      <c r="C676" s="26">
        <v>92.94</v>
      </c>
      <c r="D676" s="1"/>
      <c r="E676" s="1"/>
      <c r="F676" s="1"/>
      <c r="G676" s="1"/>
      <c r="H676" s="1"/>
      <c r="I676" s="1"/>
      <c r="J676" s="1">
        <f t="shared" si="88"/>
        <v>0</v>
      </c>
      <c r="K676" s="19" t="str">
        <f t="shared" si="89"/>
        <v xml:space="preserve"> No Issue</v>
      </c>
      <c r="L676" s="1" t="str">
        <f t="shared" si="90"/>
        <v>No Issue</v>
      </c>
      <c r="M676" s="1" t="str">
        <f t="shared" si="91"/>
        <v>No Issue</v>
      </c>
      <c r="N676" s="1" t="str">
        <f t="shared" si="92"/>
        <v>No Issue</v>
      </c>
      <c r="O676" s="1" t="str">
        <f t="shared" si="93"/>
        <v>No Issue</v>
      </c>
      <c r="P676" s="1" t="str">
        <f t="shared" si="94"/>
        <v>NoIssue</v>
      </c>
    </row>
    <row r="677" spans="1:16" ht="22.5" customHeight="1">
      <c r="A677" s="20">
        <v>24</v>
      </c>
      <c r="B677" s="21" t="s">
        <v>44</v>
      </c>
      <c r="C677" s="26">
        <v>101.82</v>
      </c>
      <c r="D677" s="1"/>
      <c r="E677" s="1"/>
      <c r="F677" s="1"/>
      <c r="G677" s="1"/>
      <c r="H677" s="1"/>
      <c r="I677" s="1"/>
      <c r="J677" s="1">
        <f t="shared" si="88"/>
        <v>0</v>
      </c>
      <c r="K677" s="19" t="str">
        <f t="shared" si="89"/>
        <v xml:space="preserve"> No Issue</v>
      </c>
      <c r="L677" s="1" t="str">
        <f t="shared" si="90"/>
        <v>No Issue</v>
      </c>
      <c r="M677" s="1" t="str">
        <f t="shared" si="91"/>
        <v>No Issue</v>
      </c>
      <c r="N677" s="1" t="str">
        <f t="shared" si="92"/>
        <v>No Issue</v>
      </c>
      <c r="O677" s="1" t="str">
        <f t="shared" si="93"/>
        <v>No Issue</v>
      </c>
      <c r="P677" s="1" t="str">
        <f t="shared" si="94"/>
        <v>NoIssue</v>
      </c>
    </row>
    <row r="678" spans="1:16" ht="22.5" customHeight="1">
      <c r="A678" s="20">
        <v>25</v>
      </c>
      <c r="B678" s="21" t="s">
        <v>45</v>
      </c>
      <c r="C678" s="26">
        <v>53.49</v>
      </c>
      <c r="D678" s="1"/>
      <c r="E678" s="1"/>
      <c r="F678" s="1"/>
      <c r="G678" s="1"/>
      <c r="H678" s="1"/>
      <c r="I678" s="1"/>
      <c r="J678" s="1">
        <f t="shared" si="88"/>
        <v>0</v>
      </c>
      <c r="K678" s="19" t="str">
        <f t="shared" si="89"/>
        <v xml:space="preserve"> No Issue</v>
      </c>
      <c r="L678" s="1" t="str">
        <f t="shared" si="90"/>
        <v>No Issue</v>
      </c>
      <c r="M678" s="1" t="str">
        <f t="shared" si="91"/>
        <v>No Issue</v>
      </c>
      <c r="N678" s="1" t="str">
        <f t="shared" si="92"/>
        <v>No Issue</v>
      </c>
      <c r="O678" s="1" t="str">
        <f t="shared" si="93"/>
        <v>No Issue</v>
      </c>
      <c r="P678" s="1" t="str">
        <f t="shared" si="94"/>
        <v>NoIssue</v>
      </c>
    </row>
    <row r="679" spans="1:16" ht="22.5" customHeight="1">
      <c r="A679" s="20">
        <v>26</v>
      </c>
      <c r="B679" s="21" t="s">
        <v>46</v>
      </c>
      <c r="C679" s="26">
        <v>32.92</v>
      </c>
      <c r="D679" s="1"/>
      <c r="E679" s="1"/>
      <c r="F679" s="1"/>
      <c r="G679" s="1"/>
      <c r="H679" s="1"/>
      <c r="I679" s="1"/>
      <c r="J679" s="1">
        <f t="shared" si="88"/>
        <v>0</v>
      </c>
      <c r="K679" s="19" t="str">
        <f t="shared" si="89"/>
        <v xml:space="preserve"> No Issue</v>
      </c>
      <c r="L679" s="1" t="str">
        <f t="shared" si="90"/>
        <v>No Issue</v>
      </c>
      <c r="M679" s="1" t="str">
        <f t="shared" si="91"/>
        <v>No Issue</v>
      </c>
      <c r="N679" s="1" t="str">
        <f t="shared" si="92"/>
        <v>No Issue</v>
      </c>
      <c r="O679" s="1" t="str">
        <f t="shared" si="93"/>
        <v>No Issue</v>
      </c>
      <c r="P679" s="1" t="str">
        <f t="shared" si="94"/>
        <v>NoIssue</v>
      </c>
    </row>
    <row r="680" spans="1:16" ht="22.5" customHeight="1">
      <c r="A680" s="20">
        <v>27</v>
      </c>
      <c r="B680" s="21" t="s">
        <v>47</v>
      </c>
      <c r="C680" s="26">
        <v>116.68</v>
      </c>
      <c r="D680" s="1"/>
      <c r="E680" s="1"/>
      <c r="F680" s="1"/>
      <c r="G680" s="1"/>
      <c r="H680" s="1"/>
      <c r="I680" s="1"/>
      <c r="J680" s="1">
        <f t="shared" si="88"/>
        <v>0</v>
      </c>
      <c r="K680" s="19" t="str">
        <f t="shared" si="89"/>
        <v xml:space="preserve"> No Issue</v>
      </c>
      <c r="L680" s="1" t="str">
        <f t="shared" si="90"/>
        <v>No Issue</v>
      </c>
      <c r="M680" s="1" t="str">
        <f t="shared" si="91"/>
        <v>No Issue</v>
      </c>
      <c r="N680" s="1" t="str">
        <f t="shared" si="92"/>
        <v>No Issue</v>
      </c>
      <c r="O680" s="1" t="str">
        <f t="shared" si="93"/>
        <v>No Issue</v>
      </c>
      <c r="P680" s="1" t="str">
        <f t="shared" si="94"/>
        <v>NoIssue</v>
      </c>
    </row>
    <row r="681" spans="1:16" ht="22.5" customHeight="1">
      <c r="A681" s="20">
        <v>28</v>
      </c>
      <c r="B681" s="21" t="s">
        <v>48</v>
      </c>
      <c r="C681" s="26">
        <v>107.96</v>
      </c>
      <c r="D681" s="1"/>
      <c r="E681" s="1"/>
      <c r="F681" s="1"/>
      <c r="G681" s="1"/>
      <c r="H681" s="1"/>
      <c r="I681" s="1"/>
      <c r="J681" s="1">
        <f t="shared" si="88"/>
        <v>0</v>
      </c>
      <c r="K681" s="19" t="str">
        <f t="shared" si="89"/>
        <v xml:space="preserve"> No Issue</v>
      </c>
      <c r="L681" s="1" t="str">
        <f t="shared" si="90"/>
        <v>No Issue</v>
      </c>
      <c r="M681" s="1" t="str">
        <f t="shared" si="91"/>
        <v>No Issue</v>
      </c>
      <c r="N681" s="1" t="str">
        <f t="shared" si="92"/>
        <v>No Issue</v>
      </c>
      <c r="O681" s="1" t="str">
        <f t="shared" si="93"/>
        <v>No Issue</v>
      </c>
      <c r="P681" s="1" t="str">
        <f t="shared" si="94"/>
        <v>NoIssue</v>
      </c>
    </row>
    <row r="682" spans="1:16" ht="22.5" customHeight="1">
      <c r="A682" s="20">
        <v>29</v>
      </c>
      <c r="B682" s="21" t="s">
        <v>49</v>
      </c>
      <c r="C682" s="26">
        <v>248.89</v>
      </c>
      <c r="D682" s="1"/>
      <c r="E682" s="1"/>
      <c r="F682" s="1"/>
      <c r="G682" s="1"/>
      <c r="H682" s="1"/>
      <c r="I682" s="1"/>
      <c r="J682" s="1">
        <f t="shared" si="88"/>
        <v>0</v>
      </c>
      <c r="K682" s="19" t="str">
        <f t="shared" si="89"/>
        <v xml:space="preserve"> No Issue</v>
      </c>
      <c r="L682" s="1" t="str">
        <f t="shared" si="90"/>
        <v>No Issue</v>
      </c>
      <c r="M682" s="1" t="str">
        <f t="shared" si="91"/>
        <v>No Issue</v>
      </c>
      <c r="N682" s="1" t="str">
        <f t="shared" si="92"/>
        <v>No Issue</v>
      </c>
      <c r="O682" s="1" t="str">
        <f t="shared" si="93"/>
        <v>No Issue</v>
      </c>
      <c r="P682" s="1" t="str">
        <f t="shared" si="94"/>
        <v>NoIssue</v>
      </c>
    </row>
    <row r="683" spans="1:16" ht="22.5" customHeight="1">
      <c r="A683" s="20">
        <v>30</v>
      </c>
      <c r="B683" s="21" t="s">
        <v>50</v>
      </c>
      <c r="C683" s="26">
        <v>80.36</v>
      </c>
      <c r="D683" s="1"/>
      <c r="E683" s="1"/>
      <c r="F683" s="19"/>
      <c r="G683" s="19"/>
      <c r="H683" s="19"/>
      <c r="I683" s="1"/>
      <c r="J683" s="1">
        <f t="shared" si="88"/>
        <v>0</v>
      </c>
      <c r="K683" s="19" t="str">
        <f t="shared" si="89"/>
        <v xml:space="preserve"> No Issue</v>
      </c>
      <c r="L683" s="1" t="str">
        <f t="shared" si="90"/>
        <v>No Issue</v>
      </c>
      <c r="M683" s="1" t="str">
        <f t="shared" si="91"/>
        <v>No Issue</v>
      </c>
      <c r="N683" s="1" t="str">
        <f t="shared" si="92"/>
        <v>No Issue</v>
      </c>
      <c r="O683" s="1" t="str">
        <f t="shared" si="93"/>
        <v>No Issue</v>
      </c>
      <c r="P683" s="1" t="str">
        <f t="shared" si="94"/>
        <v>NoIssue</v>
      </c>
    </row>
    <row r="684" spans="1:16" ht="22.5" customHeight="1">
      <c r="A684" s="20">
        <v>31</v>
      </c>
      <c r="B684" s="21" t="s">
        <v>51</v>
      </c>
      <c r="C684" s="26">
        <v>52.46</v>
      </c>
      <c r="D684" s="1"/>
      <c r="E684" s="1"/>
      <c r="F684" s="19"/>
      <c r="G684" s="19"/>
      <c r="H684" s="19"/>
      <c r="I684" s="1"/>
      <c r="J684" s="1">
        <f t="shared" si="88"/>
        <v>0</v>
      </c>
      <c r="K684" s="19" t="str">
        <f t="shared" si="89"/>
        <v xml:space="preserve"> No Issue</v>
      </c>
      <c r="L684" s="1" t="str">
        <f t="shared" si="90"/>
        <v>No Issue</v>
      </c>
      <c r="M684" s="1" t="str">
        <f t="shared" si="91"/>
        <v>No Issue</v>
      </c>
      <c r="N684" s="1" t="str">
        <f t="shared" si="92"/>
        <v>No Issue</v>
      </c>
      <c r="O684" s="1" t="str">
        <f t="shared" si="93"/>
        <v>No Issue</v>
      </c>
      <c r="P684" s="1" t="str">
        <f t="shared" si="94"/>
        <v>NoIssue</v>
      </c>
    </row>
    <row r="685" spans="1:16" ht="22.5" customHeight="1">
      <c r="A685" s="20">
        <v>32</v>
      </c>
      <c r="B685" s="21" t="s">
        <v>52</v>
      </c>
      <c r="C685" s="26">
        <v>71.209999999999994</v>
      </c>
      <c r="D685" s="1"/>
      <c r="E685" s="1"/>
      <c r="F685" s="19"/>
      <c r="G685" s="19"/>
      <c r="H685" s="19"/>
      <c r="I685" s="1"/>
      <c r="J685" s="1">
        <f t="shared" si="88"/>
        <v>0</v>
      </c>
      <c r="K685" s="19" t="str">
        <f t="shared" si="89"/>
        <v xml:space="preserve"> No Issue</v>
      </c>
      <c r="L685" s="1" t="str">
        <f t="shared" si="90"/>
        <v>No Issue</v>
      </c>
      <c r="M685" s="1" t="str">
        <f t="shared" si="91"/>
        <v>No Issue</v>
      </c>
      <c r="N685" s="1" t="str">
        <f t="shared" si="92"/>
        <v>No Issue</v>
      </c>
      <c r="O685" s="1" t="str">
        <f t="shared" si="93"/>
        <v>No Issue</v>
      </c>
      <c r="P685" s="1" t="str">
        <f t="shared" si="94"/>
        <v>NoIssue</v>
      </c>
    </row>
    <row r="686" spans="1:16" ht="22.5" customHeight="1">
      <c r="A686" s="20">
        <v>33</v>
      </c>
      <c r="B686" s="21" t="s">
        <v>53</v>
      </c>
      <c r="C686" s="26">
        <v>80.349999999999994</v>
      </c>
      <c r="D686" s="1"/>
      <c r="E686" s="1"/>
      <c r="F686" s="19"/>
      <c r="G686" s="19"/>
      <c r="H686" s="19"/>
      <c r="I686" s="1"/>
      <c r="J686" s="1">
        <f t="shared" si="88"/>
        <v>0</v>
      </c>
      <c r="K686" s="19" t="str">
        <f t="shared" si="89"/>
        <v xml:space="preserve"> No Issue</v>
      </c>
      <c r="L686" s="1" t="str">
        <f t="shared" si="90"/>
        <v>No Issue</v>
      </c>
      <c r="M686" s="1" t="str">
        <f t="shared" si="91"/>
        <v>No Issue</v>
      </c>
      <c r="N686" s="1" t="str">
        <f t="shared" si="92"/>
        <v>No Issue</v>
      </c>
      <c r="O686" s="1" t="str">
        <f t="shared" si="93"/>
        <v>No Issue</v>
      </c>
      <c r="P686" s="1" t="str">
        <f t="shared" si="94"/>
        <v>NoIssue</v>
      </c>
    </row>
    <row r="687" spans="1:16" ht="22.5" customHeight="1">
      <c r="A687" s="20">
        <v>34</v>
      </c>
      <c r="B687" s="21" t="s">
        <v>54</v>
      </c>
      <c r="C687" s="26">
        <v>64.180000000000007</v>
      </c>
      <c r="D687" s="1"/>
      <c r="E687" s="1"/>
      <c r="F687" s="19"/>
      <c r="G687" s="19"/>
      <c r="H687" s="19"/>
      <c r="I687" s="1"/>
      <c r="J687" s="1">
        <f t="shared" si="88"/>
        <v>0</v>
      </c>
      <c r="K687" s="19" t="str">
        <f t="shared" si="89"/>
        <v xml:space="preserve"> No Issue</v>
      </c>
      <c r="L687" s="1" t="str">
        <f t="shared" si="90"/>
        <v>No Issue</v>
      </c>
      <c r="M687" s="1" t="str">
        <f t="shared" si="91"/>
        <v>No Issue</v>
      </c>
      <c r="N687" s="1" t="str">
        <f t="shared" si="92"/>
        <v>No Issue</v>
      </c>
      <c r="O687" s="1" t="str">
        <f t="shared" si="93"/>
        <v>No Issue</v>
      </c>
      <c r="P687" s="1" t="str">
        <f t="shared" si="94"/>
        <v>NoIssue</v>
      </c>
    </row>
    <row r="688" spans="1:16" ht="22.5" customHeight="1">
      <c r="A688" s="20">
        <v>35</v>
      </c>
      <c r="B688" s="21" t="s">
        <v>55</v>
      </c>
      <c r="C688" s="26">
        <v>36.9</v>
      </c>
      <c r="D688" s="1"/>
      <c r="E688" s="1"/>
      <c r="F688" s="19"/>
      <c r="G688" s="19"/>
      <c r="H688" s="19"/>
      <c r="I688" s="1"/>
      <c r="J688" s="1">
        <f t="shared" si="88"/>
        <v>0</v>
      </c>
      <c r="K688" s="19" t="str">
        <f t="shared" si="89"/>
        <v xml:space="preserve"> No Issue</v>
      </c>
      <c r="L688" s="1" t="str">
        <f t="shared" si="90"/>
        <v>No Issue</v>
      </c>
      <c r="M688" s="1" t="str">
        <f t="shared" si="91"/>
        <v>No Issue</v>
      </c>
      <c r="N688" s="1" t="str">
        <f t="shared" si="92"/>
        <v>No Issue</v>
      </c>
      <c r="O688" s="1" t="str">
        <f t="shared" si="93"/>
        <v>No Issue</v>
      </c>
      <c r="P688" s="1" t="str">
        <f t="shared" si="94"/>
        <v>NoIssue</v>
      </c>
    </row>
    <row r="689" spans="1:16" ht="22.5" customHeight="1">
      <c r="A689" s="20">
        <v>36</v>
      </c>
      <c r="B689" s="21" t="s">
        <v>56</v>
      </c>
      <c r="C689" s="26">
        <v>101.54</v>
      </c>
      <c r="D689" s="1"/>
      <c r="E689" s="1"/>
      <c r="F689" s="19"/>
      <c r="G689" s="19"/>
      <c r="H689" s="19"/>
      <c r="I689" s="1"/>
      <c r="J689" s="1">
        <f t="shared" si="88"/>
        <v>0</v>
      </c>
      <c r="K689" s="19" t="str">
        <f t="shared" si="89"/>
        <v xml:space="preserve"> No Issue</v>
      </c>
      <c r="L689" s="1" t="str">
        <f t="shared" si="90"/>
        <v>No Issue</v>
      </c>
      <c r="M689" s="1" t="str">
        <f t="shared" si="91"/>
        <v>No Issue</v>
      </c>
      <c r="N689" s="1" t="str">
        <f t="shared" si="92"/>
        <v>No Issue</v>
      </c>
      <c r="O689" s="1" t="str">
        <f t="shared" si="93"/>
        <v>No Issue</v>
      </c>
      <c r="P689" s="1" t="str">
        <f t="shared" si="94"/>
        <v>NoIssue</v>
      </c>
    </row>
    <row r="690" spans="1:16" ht="22.5" customHeight="1">
      <c r="A690" s="20">
        <v>37</v>
      </c>
      <c r="B690" s="21" t="s">
        <v>57</v>
      </c>
      <c r="C690" s="26">
        <v>40.5</v>
      </c>
      <c r="D690" s="1"/>
      <c r="E690" s="1"/>
      <c r="F690" s="19"/>
      <c r="G690" s="19"/>
      <c r="H690" s="19"/>
      <c r="I690" s="1"/>
      <c r="J690" s="1">
        <f t="shared" si="88"/>
        <v>0</v>
      </c>
      <c r="K690" s="19" t="str">
        <f t="shared" si="89"/>
        <v xml:space="preserve"> No Issue</v>
      </c>
      <c r="L690" s="1" t="str">
        <f t="shared" si="90"/>
        <v>No Issue</v>
      </c>
      <c r="M690" s="1" t="str">
        <f t="shared" si="91"/>
        <v>No Issue</v>
      </c>
      <c r="N690" s="1" t="str">
        <f t="shared" si="92"/>
        <v>No Issue</v>
      </c>
      <c r="O690" s="1" t="str">
        <f t="shared" si="93"/>
        <v>No Issue</v>
      </c>
      <c r="P690" s="1" t="str">
        <f t="shared" si="94"/>
        <v>NoIssue</v>
      </c>
    </row>
    <row r="691" spans="1:16" ht="22.5" customHeight="1">
      <c r="A691" s="20">
        <v>38</v>
      </c>
      <c r="B691" s="21" t="s">
        <v>58</v>
      </c>
      <c r="C691" s="26">
        <v>66.69</v>
      </c>
      <c r="D691" s="1"/>
      <c r="E691" s="1"/>
      <c r="F691" s="19"/>
      <c r="G691" s="19"/>
      <c r="H691" s="19"/>
      <c r="I691" s="1"/>
      <c r="J691" s="1">
        <f t="shared" si="88"/>
        <v>0</v>
      </c>
      <c r="K691" s="19" t="str">
        <f t="shared" si="89"/>
        <v xml:space="preserve"> No Issue</v>
      </c>
      <c r="L691" s="1" t="str">
        <f t="shared" si="90"/>
        <v>No Issue</v>
      </c>
      <c r="M691" s="1" t="str">
        <f t="shared" si="91"/>
        <v>No Issue</v>
      </c>
      <c r="N691" s="1" t="str">
        <f t="shared" si="92"/>
        <v>No Issue</v>
      </c>
      <c r="O691" s="1" t="str">
        <f t="shared" si="93"/>
        <v>No Issue</v>
      </c>
      <c r="P691" s="1" t="str">
        <f t="shared" si="94"/>
        <v>NoIssue</v>
      </c>
    </row>
    <row r="692" spans="1:16" ht="22.5" customHeight="1">
      <c r="A692" s="20">
        <v>39</v>
      </c>
      <c r="B692" s="21" t="s">
        <v>59</v>
      </c>
      <c r="C692" s="21">
        <v>150.85999999999999</v>
      </c>
      <c r="D692" s="1"/>
      <c r="E692" s="1"/>
      <c r="F692" s="19"/>
      <c r="G692" s="19"/>
      <c r="H692" s="19"/>
      <c r="I692" s="1"/>
      <c r="J692" s="1">
        <f t="shared" si="88"/>
        <v>0</v>
      </c>
      <c r="K692" s="19" t="str">
        <f t="shared" si="89"/>
        <v xml:space="preserve"> No Issue</v>
      </c>
      <c r="L692" s="1" t="str">
        <f t="shared" si="90"/>
        <v>No Issue</v>
      </c>
      <c r="M692" s="1" t="str">
        <f t="shared" si="91"/>
        <v>No Issue</v>
      </c>
      <c r="N692" s="1" t="str">
        <f t="shared" si="92"/>
        <v>No Issue</v>
      </c>
      <c r="O692" s="1" t="str">
        <f t="shared" si="93"/>
        <v>No Issue</v>
      </c>
      <c r="P692" s="1" t="str">
        <f t="shared" si="94"/>
        <v>NoIssue</v>
      </c>
    </row>
    <row r="693" spans="1:16" ht="22.5" customHeight="1">
      <c r="A693" s="20">
        <v>40</v>
      </c>
      <c r="B693" s="29" t="s">
        <v>60</v>
      </c>
      <c r="C693" s="26">
        <v>180</v>
      </c>
      <c r="D693" s="1"/>
      <c r="E693" s="1"/>
      <c r="F693" s="19"/>
      <c r="G693" s="19"/>
      <c r="H693" s="19"/>
      <c r="I693" s="1"/>
      <c r="J693" s="1">
        <f t="shared" si="88"/>
        <v>0</v>
      </c>
      <c r="K693" s="19" t="str">
        <f t="shared" si="89"/>
        <v xml:space="preserve"> No Issue</v>
      </c>
      <c r="L693" s="1" t="str">
        <f t="shared" si="90"/>
        <v>No Issue</v>
      </c>
      <c r="M693" s="1" t="str">
        <f t="shared" si="91"/>
        <v>No Issue</v>
      </c>
      <c r="N693" s="1" t="str">
        <f t="shared" si="92"/>
        <v>No Issue</v>
      </c>
      <c r="O693" s="1" t="str">
        <f t="shared" si="93"/>
        <v>No Issue</v>
      </c>
      <c r="P693" s="1" t="str">
        <f t="shared" si="94"/>
        <v>NoIssue</v>
      </c>
    </row>
    <row r="694" spans="1:16" ht="22.5" customHeight="1">
      <c r="A694" s="20">
        <v>41</v>
      </c>
      <c r="B694" s="29" t="s">
        <v>61</v>
      </c>
      <c r="C694" s="21">
        <v>128.57</v>
      </c>
      <c r="D694" s="1"/>
      <c r="E694" s="1"/>
      <c r="F694" s="19"/>
      <c r="G694" s="19"/>
      <c r="H694" s="19"/>
      <c r="I694" s="1"/>
      <c r="J694" s="1">
        <f t="shared" si="88"/>
        <v>0</v>
      </c>
      <c r="K694" s="19" t="str">
        <f t="shared" si="89"/>
        <v xml:space="preserve"> No Issue</v>
      </c>
      <c r="L694" s="1" t="str">
        <f t="shared" si="90"/>
        <v>No Issue</v>
      </c>
      <c r="M694" s="1" t="str">
        <f t="shared" si="91"/>
        <v>No Issue</v>
      </c>
      <c r="N694" s="1" t="str">
        <f t="shared" si="92"/>
        <v>No Issue</v>
      </c>
      <c r="O694" s="1" t="str">
        <f t="shared" si="93"/>
        <v>No Issue</v>
      </c>
      <c r="P694" s="1" t="str">
        <f t="shared" si="94"/>
        <v>NoIssue</v>
      </c>
    </row>
    <row r="695" spans="1:16" ht="22.5" customHeight="1">
      <c r="A695" s="20">
        <v>42</v>
      </c>
      <c r="B695" s="21"/>
      <c r="C695" s="21"/>
      <c r="D695" s="1"/>
      <c r="E695" s="1"/>
      <c r="F695" s="19"/>
      <c r="G695" s="19"/>
      <c r="H695" s="19"/>
      <c r="I695" s="1"/>
      <c r="J695" s="1">
        <f t="shared" si="88"/>
        <v>0</v>
      </c>
      <c r="K695" s="19" t="str">
        <f t="shared" si="89"/>
        <v xml:space="preserve"> No Issue</v>
      </c>
      <c r="L695" s="1" t="str">
        <f t="shared" si="90"/>
        <v>No Issue</v>
      </c>
      <c r="M695" s="1" t="str">
        <f t="shared" si="91"/>
        <v>No Issue</v>
      </c>
      <c r="N695" s="1" t="str">
        <f t="shared" si="92"/>
        <v>No Issue</v>
      </c>
      <c r="O695" s="1" t="str">
        <f t="shared" si="93"/>
        <v>No Issue</v>
      </c>
      <c r="P695" s="1" t="str">
        <f t="shared" si="94"/>
        <v>NoIssue</v>
      </c>
    </row>
    <row r="696" spans="1:16" ht="22.5" customHeight="1">
      <c r="A696" s="20">
        <v>43</v>
      </c>
      <c r="B696" s="30"/>
      <c r="C696" s="30"/>
      <c r="D696" s="1"/>
      <c r="E696" s="1"/>
      <c r="F696" s="19"/>
      <c r="G696" s="19"/>
      <c r="H696" s="19"/>
      <c r="I696" s="1"/>
      <c r="J696" s="1">
        <f t="shared" si="88"/>
        <v>0</v>
      </c>
      <c r="K696" s="19" t="str">
        <f t="shared" si="89"/>
        <v xml:space="preserve"> No Issue</v>
      </c>
      <c r="L696" s="1" t="str">
        <f t="shared" si="90"/>
        <v>No Issue</v>
      </c>
      <c r="M696" s="1" t="str">
        <f t="shared" si="91"/>
        <v>No Issue</v>
      </c>
      <c r="N696" s="1" t="str">
        <f t="shared" si="92"/>
        <v>No Issue</v>
      </c>
      <c r="O696" s="1" t="str">
        <f t="shared" si="93"/>
        <v>No Issue</v>
      </c>
      <c r="P696" s="1" t="str">
        <f t="shared" si="94"/>
        <v>NoIssue</v>
      </c>
    </row>
    <row r="697" spans="1:16" ht="22.5" customHeight="1">
      <c r="A697" s="20">
        <v>44</v>
      </c>
      <c r="B697" s="30"/>
      <c r="C697" s="30"/>
      <c r="D697" s="1"/>
      <c r="E697" s="1"/>
      <c r="F697" s="19"/>
      <c r="G697" s="19"/>
      <c r="H697" s="19"/>
      <c r="I697" s="1"/>
      <c r="J697" s="1">
        <f t="shared" si="88"/>
        <v>0</v>
      </c>
      <c r="K697" s="19" t="str">
        <f t="shared" si="89"/>
        <v xml:space="preserve"> No Issue</v>
      </c>
      <c r="L697" s="1" t="str">
        <f t="shared" si="90"/>
        <v>No Issue</v>
      </c>
      <c r="M697" s="1" t="str">
        <f t="shared" si="91"/>
        <v>No Issue</v>
      </c>
      <c r="N697" s="1" t="str">
        <f t="shared" si="92"/>
        <v>No Issue</v>
      </c>
      <c r="O697" s="1" t="str">
        <f t="shared" si="93"/>
        <v>No Issue</v>
      </c>
      <c r="P697" s="1" t="str">
        <f t="shared" si="94"/>
        <v>NoIssue</v>
      </c>
    </row>
    <row r="698" spans="1:16" ht="22.5" customHeight="1">
      <c r="A698" s="20">
        <v>45</v>
      </c>
      <c r="B698" s="30"/>
      <c r="C698" s="30"/>
      <c r="D698" s="1"/>
      <c r="E698" s="1"/>
      <c r="F698" s="19"/>
      <c r="G698" s="19"/>
      <c r="H698" s="19"/>
      <c r="I698" s="1"/>
      <c r="J698" s="1">
        <f t="shared" si="88"/>
        <v>0</v>
      </c>
      <c r="K698" s="19" t="str">
        <f t="shared" si="89"/>
        <v xml:space="preserve"> No Issue</v>
      </c>
      <c r="L698" s="1" t="str">
        <f t="shared" si="90"/>
        <v>No Issue</v>
      </c>
      <c r="M698" s="1" t="str">
        <f t="shared" si="91"/>
        <v>No Issue</v>
      </c>
      <c r="N698" s="1" t="str">
        <f t="shared" si="92"/>
        <v>No Issue</v>
      </c>
      <c r="O698" s="1" t="str">
        <f t="shared" si="93"/>
        <v>No Issue</v>
      </c>
      <c r="P698" s="1" t="str">
        <f t="shared" si="94"/>
        <v>NoIssue</v>
      </c>
    </row>
    <row r="699" spans="1:16" ht="22.5" customHeight="1">
      <c r="A699" s="20">
        <v>46</v>
      </c>
      <c r="B699" s="30"/>
      <c r="C699" s="30"/>
      <c r="D699" s="1"/>
      <c r="E699" s="1"/>
      <c r="F699" s="19"/>
      <c r="G699" s="19"/>
      <c r="H699" s="19"/>
      <c r="I699" s="1"/>
      <c r="J699" s="1">
        <f t="shared" si="88"/>
        <v>0</v>
      </c>
      <c r="K699" s="19" t="str">
        <f t="shared" si="89"/>
        <v xml:space="preserve"> No Issue</v>
      </c>
      <c r="L699" s="1" t="str">
        <f t="shared" si="90"/>
        <v>No Issue</v>
      </c>
      <c r="M699" s="1" t="str">
        <f t="shared" si="91"/>
        <v>No Issue</v>
      </c>
      <c r="N699" s="1" t="str">
        <f t="shared" si="92"/>
        <v>No Issue</v>
      </c>
      <c r="O699" s="1" t="str">
        <f t="shared" si="93"/>
        <v>No Issue</v>
      </c>
      <c r="P699" s="1" t="str">
        <f t="shared" si="94"/>
        <v>NoIssue</v>
      </c>
    </row>
    <row r="700" spans="1:16" ht="22.5" customHeight="1">
      <c r="A700" s="20">
        <v>47</v>
      </c>
      <c r="B700" s="31"/>
      <c r="C700" s="32"/>
      <c r="D700" s="1"/>
      <c r="E700" s="1"/>
      <c r="F700" s="19"/>
      <c r="G700" s="19"/>
      <c r="H700" s="19"/>
      <c r="I700" s="1"/>
      <c r="J700" s="1">
        <f t="shared" si="88"/>
        <v>0</v>
      </c>
      <c r="K700" s="19" t="str">
        <f t="shared" si="89"/>
        <v xml:space="preserve"> No Issue</v>
      </c>
      <c r="L700" s="1" t="str">
        <f t="shared" si="90"/>
        <v>No Issue</v>
      </c>
      <c r="M700" s="1" t="str">
        <f t="shared" si="91"/>
        <v>No Issue</v>
      </c>
      <c r="N700" s="1" t="str">
        <f t="shared" si="92"/>
        <v>No Issue</v>
      </c>
      <c r="O700" s="1" t="str">
        <f t="shared" si="93"/>
        <v>No Issue</v>
      </c>
      <c r="P700" s="1" t="str">
        <f t="shared" si="94"/>
        <v>NoIssue</v>
      </c>
    </row>
    <row r="701" spans="1:16" ht="22.5" customHeight="1">
      <c r="A701" s="20">
        <v>48</v>
      </c>
      <c r="B701" s="31"/>
      <c r="C701" s="32"/>
      <c r="D701" s="1"/>
      <c r="E701" s="1"/>
      <c r="F701" s="19"/>
      <c r="G701" s="19"/>
      <c r="H701" s="19"/>
      <c r="I701" s="1"/>
      <c r="J701" s="1">
        <f t="shared" si="88"/>
        <v>0</v>
      </c>
      <c r="K701" s="19" t="str">
        <f t="shared" si="89"/>
        <v xml:space="preserve"> No Issue</v>
      </c>
      <c r="L701" s="1" t="str">
        <f t="shared" si="90"/>
        <v>No Issue</v>
      </c>
      <c r="M701" s="1" t="str">
        <f t="shared" si="91"/>
        <v>No Issue</v>
      </c>
      <c r="N701" s="1" t="str">
        <f t="shared" si="92"/>
        <v>No Issue</v>
      </c>
      <c r="O701" s="1" t="str">
        <f t="shared" si="93"/>
        <v>No Issue</v>
      </c>
      <c r="P701" s="1" t="str">
        <f t="shared" si="94"/>
        <v>NoIssue</v>
      </c>
    </row>
    <row r="702" spans="1:16" ht="22.5" customHeight="1">
      <c r="A702" s="20">
        <v>49</v>
      </c>
      <c r="B702" s="31"/>
      <c r="C702" s="32"/>
      <c r="D702" s="1"/>
      <c r="E702" s="1"/>
      <c r="F702" s="19"/>
      <c r="G702" s="19"/>
      <c r="H702" s="19"/>
      <c r="I702" s="1"/>
      <c r="J702" s="1">
        <f t="shared" si="88"/>
        <v>0</v>
      </c>
      <c r="K702" s="19" t="str">
        <f t="shared" si="89"/>
        <v xml:space="preserve"> No Issue</v>
      </c>
      <c r="L702" s="1" t="str">
        <f t="shared" si="90"/>
        <v>No Issue</v>
      </c>
      <c r="M702" s="1" t="str">
        <f t="shared" si="91"/>
        <v>No Issue</v>
      </c>
      <c r="N702" s="1" t="str">
        <f t="shared" si="92"/>
        <v>No Issue</v>
      </c>
      <c r="O702" s="1" t="str">
        <f t="shared" si="93"/>
        <v>No Issue</v>
      </c>
      <c r="P702" s="1" t="str">
        <f t="shared" si="94"/>
        <v>NoIssue</v>
      </c>
    </row>
    <row r="703" spans="1:16" ht="22.5" customHeight="1">
      <c r="A703" s="20">
        <v>50</v>
      </c>
      <c r="B703" s="31"/>
      <c r="C703" s="32"/>
      <c r="D703" s="1"/>
      <c r="E703" s="1"/>
      <c r="F703" s="19"/>
      <c r="G703" s="19"/>
      <c r="H703" s="19"/>
      <c r="I703" s="1"/>
      <c r="J703" s="1">
        <f t="shared" si="88"/>
        <v>0</v>
      </c>
      <c r="K703" s="19" t="str">
        <f t="shared" si="89"/>
        <v xml:space="preserve"> No Issue</v>
      </c>
      <c r="L703" s="1" t="str">
        <f t="shared" si="90"/>
        <v>No Issue</v>
      </c>
      <c r="M703" s="1" t="str">
        <f t="shared" si="91"/>
        <v>No Issue</v>
      </c>
      <c r="N703" s="1" t="str">
        <f t="shared" si="92"/>
        <v>No Issue</v>
      </c>
      <c r="O703" s="1" t="str">
        <f t="shared" si="93"/>
        <v>No Issue</v>
      </c>
      <c r="P703" s="1" t="str">
        <f t="shared" si="94"/>
        <v>NoIssue</v>
      </c>
    </row>
    <row r="704" spans="1:16" ht="22.5" customHeight="1">
      <c r="A704" s="20">
        <v>51</v>
      </c>
      <c r="B704" s="31"/>
      <c r="C704" s="32"/>
      <c r="D704" s="1"/>
      <c r="E704" s="1"/>
      <c r="F704" s="19"/>
      <c r="G704" s="19"/>
      <c r="H704" s="19"/>
      <c r="I704" s="1"/>
      <c r="J704" s="1">
        <f t="shared" si="88"/>
        <v>0</v>
      </c>
      <c r="K704" s="19" t="str">
        <f t="shared" si="89"/>
        <v xml:space="preserve"> No Issue</v>
      </c>
      <c r="L704" s="1" t="str">
        <f t="shared" si="90"/>
        <v>No Issue</v>
      </c>
      <c r="M704" s="1" t="str">
        <f t="shared" si="91"/>
        <v>No Issue</v>
      </c>
      <c r="N704" s="1" t="str">
        <f t="shared" si="92"/>
        <v>No Issue</v>
      </c>
      <c r="O704" s="1" t="str">
        <f t="shared" si="93"/>
        <v>No Issue</v>
      </c>
      <c r="P704" s="1" t="str">
        <f t="shared" si="94"/>
        <v>NoIssue</v>
      </c>
    </row>
    <row r="705" spans="1:16" ht="22.5" customHeight="1">
      <c r="A705" s="20">
        <v>52</v>
      </c>
      <c r="B705" s="31"/>
      <c r="C705" s="32"/>
      <c r="D705" s="1"/>
      <c r="E705" s="1"/>
      <c r="F705" s="19"/>
      <c r="G705" s="19"/>
      <c r="H705" s="19"/>
      <c r="I705" s="1"/>
      <c r="J705" s="1">
        <f t="shared" si="88"/>
        <v>0</v>
      </c>
      <c r="K705" s="19" t="str">
        <f t="shared" si="89"/>
        <v xml:space="preserve"> No Issue</v>
      </c>
      <c r="L705" s="1" t="str">
        <f t="shared" si="90"/>
        <v>No Issue</v>
      </c>
      <c r="M705" s="1" t="str">
        <f t="shared" si="91"/>
        <v>No Issue</v>
      </c>
      <c r="N705" s="1" t="str">
        <f t="shared" si="92"/>
        <v>No Issue</v>
      </c>
      <c r="O705" s="1" t="str">
        <f t="shared" si="93"/>
        <v>No Issue</v>
      </c>
      <c r="P705" s="1" t="str">
        <f t="shared" si="94"/>
        <v>NoIssue</v>
      </c>
    </row>
    <row r="706" spans="1:16" ht="22.5" customHeight="1">
      <c r="A706" s="20">
        <v>53</v>
      </c>
      <c r="B706" s="31"/>
      <c r="C706" s="32"/>
      <c r="D706" s="1"/>
      <c r="E706" s="1"/>
      <c r="F706" s="19"/>
      <c r="G706" s="19"/>
      <c r="H706" s="19"/>
      <c r="I706" s="1"/>
      <c r="J706" s="1">
        <f t="shared" si="88"/>
        <v>0</v>
      </c>
      <c r="K706" s="19" t="str">
        <f t="shared" si="89"/>
        <v xml:space="preserve"> No Issue</v>
      </c>
      <c r="L706" s="1" t="str">
        <f t="shared" si="90"/>
        <v>No Issue</v>
      </c>
      <c r="M706" s="1" t="str">
        <f t="shared" si="91"/>
        <v>No Issue</v>
      </c>
      <c r="N706" s="1" t="str">
        <f t="shared" si="92"/>
        <v>No Issue</v>
      </c>
      <c r="O706" s="1" t="str">
        <f t="shared" si="93"/>
        <v>No Issue</v>
      </c>
      <c r="P706" s="1" t="str">
        <f t="shared" si="94"/>
        <v>NoIssue</v>
      </c>
    </row>
    <row r="707" spans="1:16" ht="22.5" customHeight="1">
      <c r="A707" s="20">
        <v>54</v>
      </c>
      <c r="B707" s="30"/>
      <c r="C707" s="30"/>
      <c r="D707" s="1"/>
      <c r="E707" s="1"/>
      <c r="F707" s="19"/>
      <c r="G707" s="19"/>
      <c r="H707" s="19"/>
      <c r="I707" s="1"/>
      <c r="J707" s="1">
        <f t="shared" si="88"/>
        <v>0</v>
      </c>
      <c r="K707" s="19" t="str">
        <f t="shared" si="89"/>
        <v xml:space="preserve"> No Issue</v>
      </c>
      <c r="L707" s="1" t="str">
        <f t="shared" si="90"/>
        <v>No Issue</v>
      </c>
      <c r="M707" s="1" t="str">
        <f t="shared" si="91"/>
        <v>No Issue</v>
      </c>
      <c r="N707" s="1" t="str">
        <f t="shared" si="92"/>
        <v>No Issue</v>
      </c>
      <c r="O707" s="1" t="str">
        <f t="shared" si="93"/>
        <v>No Issue</v>
      </c>
      <c r="P707" s="1" t="str">
        <f t="shared" si="94"/>
        <v>NoIssue</v>
      </c>
    </row>
    <row r="708" spans="1:16" ht="22.5" customHeight="1">
      <c r="A708" s="20">
        <v>55</v>
      </c>
      <c r="B708" s="31"/>
      <c r="C708" s="32"/>
      <c r="D708" s="1"/>
      <c r="E708" s="1"/>
      <c r="F708" s="19"/>
      <c r="G708" s="19"/>
      <c r="H708" s="19"/>
      <c r="I708" s="1"/>
      <c r="J708" s="1">
        <f t="shared" si="88"/>
        <v>0</v>
      </c>
      <c r="K708" s="19" t="str">
        <f t="shared" si="89"/>
        <v xml:space="preserve"> No Issue</v>
      </c>
      <c r="L708" s="1" t="str">
        <f t="shared" si="90"/>
        <v>No Issue</v>
      </c>
      <c r="M708" s="1" t="str">
        <f t="shared" si="91"/>
        <v>No Issue</v>
      </c>
      <c r="N708" s="1" t="str">
        <f t="shared" si="92"/>
        <v>No Issue</v>
      </c>
      <c r="O708" s="1" t="str">
        <f t="shared" si="93"/>
        <v>No Issue</v>
      </c>
      <c r="P708" s="1" t="str">
        <f t="shared" si="94"/>
        <v>NoIssue</v>
      </c>
    </row>
    <row r="709" spans="1:16" ht="22.5" customHeight="1">
      <c r="A709" s="20">
        <v>56</v>
      </c>
      <c r="B709" s="31"/>
      <c r="C709" s="32"/>
      <c r="D709" s="1"/>
      <c r="E709" s="1"/>
      <c r="F709" s="19"/>
      <c r="G709" s="19"/>
      <c r="H709" s="19"/>
      <c r="I709" s="1"/>
      <c r="J709" s="1">
        <f t="shared" si="88"/>
        <v>0</v>
      </c>
      <c r="K709" s="19" t="str">
        <f t="shared" si="89"/>
        <v xml:space="preserve"> No Issue</v>
      </c>
      <c r="L709" s="1" t="str">
        <f t="shared" si="90"/>
        <v>No Issue</v>
      </c>
      <c r="M709" s="1" t="str">
        <f t="shared" si="91"/>
        <v>No Issue</v>
      </c>
      <c r="N709" s="1" t="str">
        <f t="shared" si="92"/>
        <v>No Issue</v>
      </c>
      <c r="O709" s="1" t="str">
        <f t="shared" si="93"/>
        <v>No Issue</v>
      </c>
      <c r="P709" s="1" t="str">
        <f t="shared" si="94"/>
        <v>NoIssue</v>
      </c>
    </row>
    <row r="710" spans="1:16" ht="22.5" customHeight="1">
      <c r="A710" s="20"/>
      <c r="B710" s="1" t="s">
        <v>62</v>
      </c>
      <c r="C710" s="31"/>
      <c r="D710" s="1">
        <f t="shared" ref="D710:I710" si="95">SUMPRODUCT(D654:D709,$C654:$C709)</f>
        <v>0</v>
      </c>
      <c r="E710" s="1">
        <f t="shared" si="95"/>
        <v>0</v>
      </c>
      <c r="F710" s="1">
        <f t="shared" si="95"/>
        <v>0</v>
      </c>
      <c r="G710" s="1">
        <f t="shared" si="95"/>
        <v>0</v>
      </c>
      <c r="H710" s="1">
        <f t="shared" si="95"/>
        <v>0</v>
      </c>
      <c r="I710" s="1">
        <f t="shared" si="95"/>
        <v>0</v>
      </c>
      <c r="J710" s="1">
        <f t="shared" si="88"/>
        <v>0</v>
      </c>
      <c r="K710" s="19" t="str">
        <f t="shared" si="89"/>
        <v xml:space="preserve"> No Issue</v>
      </c>
      <c r="L710" s="1" t="str">
        <f t="shared" si="90"/>
        <v>No Issue</v>
      </c>
      <c r="M710" s="1" t="str">
        <f t="shared" si="91"/>
        <v>No Issue</v>
      </c>
      <c r="N710" s="1" t="str">
        <f t="shared" si="92"/>
        <v>No Issue</v>
      </c>
      <c r="O710" s="1" t="str">
        <f t="shared" si="93"/>
        <v>No Issue</v>
      </c>
      <c r="P710" s="1" t="str">
        <f t="shared" si="94"/>
        <v>NoIssue</v>
      </c>
    </row>
    <row r="711" spans="1:16" ht="22.5" customHeight="1">
      <c r="A711" s="8"/>
      <c r="B711" s="9" t="s">
        <v>3</v>
      </c>
      <c r="C711" s="10"/>
      <c r="D711" s="11"/>
      <c r="E711" s="9"/>
      <c r="F711" s="12"/>
      <c r="G711" s="46"/>
      <c r="H711" s="47"/>
      <c r="I711" s="12"/>
      <c r="J711" s="13"/>
      <c r="K711" s="48" t="s">
        <v>4</v>
      </c>
      <c r="L711" s="49"/>
      <c r="M711" s="49"/>
      <c r="N711" s="49"/>
      <c r="O711" s="49"/>
      <c r="P711" s="50"/>
    </row>
    <row r="712" spans="1:16" ht="22.5" customHeight="1">
      <c r="A712" s="35" t="s">
        <v>5</v>
      </c>
      <c r="B712" s="19" t="s">
        <v>6</v>
      </c>
      <c r="C712" s="19" t="s">
        <v>7</v>
      </c>
      <c r="D712" s="18" t="s">
        <v>8</v>
      </c>
      <c r="E712" s="18" t="s">
        <v>9</v>
      </c>
      <c r="F712" s="18" t="s">
        <v>10</v>
      </c>
      <c r="G712" s="18" t="s">
        <v>11</v>
      </c>
      <c r="H712" s="18" t="s">
        <v>12</v>
      </c>
      <c r="I712" s="18" t="s">
        <v>13</v>
      </c>
      <c r="J712" s="18" t="s">
        <v>14</v>
      </c>
      <c r="K712" s="19" t="s">
        <v>15</v>
      </c>
      <c r="L712" s="19" t="s">
        <v>16</v>
      </c>
      <c r="M712" s="19" t="s">
        <v>17</v>
      </c>
      <c r="N712" s="19" t="s">
        <v>18</v>
      </c>
      <c r="O712" s="19" t="s">
        <v>19</v>
      </c>
      <c r="P712" s="19" t="s">
        <v>20</v>
      </c>
    </row>
    <row r="713" spans="1:16" ht="22.5" customHeight="1">
      <c r="A713" s="20">
        <v>1</v>
      </c>
      <c r="B713" s="21" t="s">
        <v>21</v>
      </c>
      <c r="C713" s="22">
        <v>192.17</v>
      </c>
      <c r="D713" s="1"/>
      <c r="E713" s="1"/>
      <c r="F713" s="1"/>
      <c r="G713" s="1"/>
      <c r="H713" s="1"/>
      <c r="I713" s="1"/>
      <c r="J713" s="1">
        <f t="shared" ref="J713:J769" si="96">D713+E713-F713-G713+H713</f>
        <v>0</v>
      </c>
      <c r="K713" s="19" t="str">
        <f t="shared" ref="K713:K769" si="97">IF(I713&lt;&gt;(D713+E713-F713-G713+H713),"Closing stock Not Correct-Problem"," No Issue")</f>
        <v xml:space="preserve"> No Issue</v>
      </c>
      <c r="L713" s="1" t="str">
        <f t="shared" ref="L713:L769" si="98">IF((D713+E713)&lt;F713,"High Sale and Less Stock-Problem","No Issue")</f>
        <v>No Issue</v>
      </c>
      <c r="M713" s="1" t="str">
        <f t="shared" ref="M713:M769" si="99">IF(AND((D713+E713+I713)=0,F713&gt;0),"No Stock Sale Present Problem","No Issue")</f>
        <v>No Issue</v>
      </c>
      <c r="N713" s="1" t="str">
        <f t="shared" ref="N713:N769" si="100">IF(AND(SUM(D713:H713)=0,I713&gt;0),"Only Closing Entered Other Parameters No Entired Problem","No Issue")</f>
        <v>No Issue</v>
      </c>
      <c r="O713" s="1" t="str">
        <f t="shared" ref="O713:O769" si="101">IF(F713&gt;5000,"Check Once Sales quantity or Value Problem","No Issue")</f>
        <v>No Issue</v>
      </c>
      <c r="P713" s="1" t="str">
        <f t="shared" ref="P713:P769" si="102">IF(I713&gt;5000,"Check Once Closing quantity or Value Problem","NoIssue")</f>
        <v>NoIssue</v>
      </c>
    </row>
    <row r="714" spans="1:16" ht="22.5" customHeight="1">
      <c r="A714" s="20">
        <v>2</v>
      </c>
      <c r="B714" s="21" t="s">
        <v>22</v>
      </c>
      <c r="C714" s="22">
        <v>9.26</v>
      </c>
      <c r="D714" s="1"/>
      <c r="E714" s="1"/>
      <c r="F714" s="1"/>
      <c r="G714" s="1"/>
      <c r="H714" s="1"/>
      <c r="I714" s="1"/>
      <c r="J714" s="1">
        <f t="shared" si="96"/>
        <v>0</v>
      </c>
      <c r="K714" s="19" t="str">
        <f t="shared" si="97"/>
        <v xml:space="preserve"> No Issue</v>
      </c>
      <c r="L714" s="1" t="str">
        <f t="shared" si="98"/>
        <v>No Issue</v>
      </c>
      <c r="M714" s="1" t="str">
        <f t="shared" si="99"/>
        <v>No Issue</v>
      </c>
      <c r="N714" s="1" t="str">
        <f t="shared" si="100"/>
        <v>No Issue</v>
      </c>
      <c r="O714" s="1" t="str">
        <f t="shared" si="101"/>
        <v>No Issue</v>
      </c>
      <c r="P714" s="1" t="str">
        <f t="shared" si="102"/>
        <v>NoIssue</v>
      </c>
    </row>
    <row r="715" spans="1:16" ht="22.5" customHeight="1">
      <c r="A715" s="20">
        <v>3</v>
      </c>
      <c r="B715" s="21" t="s">
        <v>23</v>
      </c>
      <c r="C715" s="22">
        <v>87.79</v>
      </c>
      <c r="D715" s="1"/>
      <c r="E715" s="1"/>
      <c r="F715" s="1"/>
      <c r="G715" s="1"/>
      <c r="H715" s="1"/>
      <c r="I715" s="1"/>
      <c r="J715" s="1">
        <f t="shared" si="96"/>
        <v>0</v>
      </c>
      <c r="K715" s="19" t="str">
        <f t="shared" si="97"/>
        <v xml:space="preserve"> No Issue</v>
      </c>
      <c r="L715" s="1" t="str">
        <f t="shared" si="98"/>
        <v>No Issue</v>
      </c>
      <c r="M715" s="1" t="str">
        <f t="shared" si="99"/>
        <v>No Issue</v>
      </c>
      <c r="N715" s="1" t="str">
        <f t="shared" si="100"/>
        <v>No Issue</v>
      </c>
      <c r="O715" s="1" t="str">
        <f t="shared" si="101"/>
        <v>No Issue</v>
      </c>
      <c r="P715" s="1" t="str">
        <f t="shared" si="102"/>
        <v>NoIssue</v>
      </c>
    </row>
    <row r="716" spans="1:16" ht="22.5" customHeight="1">
      <c r="A716" s="20">
        <v>4</v>
      </c>
      <c r="B716" s="21" t="s">
        <v>24</v>
      </c>
      <c r="C716" s="22">
        <v>55.55</v>
      </c>
      <c r="D716" s="1"/>
      <c r="E716" s="1"/>
      <c r="F716" s="1"/>
      <c r="G716" s="1"/>
      <c r="H716" s="1"/>
      <c r="I716" s="1"/>
      <c r="J716" s="1">
        <f t="shared" si="96"/>
        <v>0</v>
      </c>
      <c r="K716" s="19" t="str">
        <f t="shared" si="97"/>
        <v xml:space="preserve"> No Issue</v>
      </c>
      <c r="L716" s="1" t="str">
        <f t="shared" si="98"/>
        <v>No Issue</v>
      </c>
      <c r="M716" s="1" t="str">
        <f t="shared" si="99"/>
        <v>No Issue</v>
      </c>
      <c r="N716" s="1" t="str">
        <f t="shared" si="100"/>
        <v>No Issue</v>
      </c>
      <c r="O716" s="1" t="str">
        <f t="shared" si="101"/>
        <v>No Issue</v>
      </c>
      <c r="P716" s="1" t="str">
        <f t="shared" si="102"/>
        <v>NoIssue</v>
      </c>
    </row>
    <row r="717" spans="1:16" ht="22.5" customHeight="1">
      <c r="A717" s="20">
        <v>5</v>
      </c>
      <c r="B717" s="21" t="s">
        <v>25</v>
      </c>
      <c r="C717" s="22">
        <v>70.010000000000005</v>
      </c>
      <c r="D717" s="1"/>
      <c r="E717" s="1"/>
      <c r="F717" s="1"/>
      <c r="G717" s="1"/>
      <c r="H717" s="1"/>
      <c r="I717" s="1"/>
      <c r="J717" s="1">
        <f t="shared" si="96"/>
        <v>0</v>
      </c>
      <c r="K717" s="19" t="str">
        <f t="shared" si="97"/>
        <v xml:space="preserve"> No Issue</v>
      </c>
      <c r="L717" s="1" t="str">
        <f t="shared" si="98"/>
        <v>No Issue</v>
      </c>
      <c r="M717" s="1" t="str">
        <f t="shared" si="99"/>
        <v>No Issue</v>
      </c>
      <c r="N717" s="1" t="str">
        <f t="shared" si="100"/>
        <v>No Issue</v>
      </c>
      <c r="O717" s="1" t="str">
        <f t="shared" si="101"/>
        <v>No Issue</v>
      </c>
      <c r="P717" s="1" t="str">
        <f t="shared" si="102"/>
        <v>NoIssue</v>
      </c>
    </row>
    <row r="718" spans="1:16" ht="22.5" customHeight="1">
      <c r="A718" s="20">
        <v>6</v>
      </c>
      <c r="B718" s="25" t="s">
        <v>26</v>
      </c>
      <c r="C718" s="22">
        <v>73.929999999999993</v>
      </c>
      <c r="D718" s="1"/>
      <c r="E718" s="1"/>
      <c r="F718" s="1"/>
      <c r="G718" s="1"/>
      <c r="H718" s="1"/>
      <c r="I718" s="1"/>
      <c r="J718" s="1">
        <f t="shared" si="96"/>
        <v>0</v>
      </c>
      <c r="K718" s="19" t="str">
        <f t="shared" si="97"/>
        <v xml:space="preserve"> No Issue</v>
      </c>
      <c r="L718" s="1" t="str">
        <f t="shared" si="98"/>
        <v>No Issue</v>
      </c>
      <c r="M718" s="1" t="str">
        <f t="shared" si="99"/>
        <v>No Issue</v>
      </c>
      <c r="N718" s="1" t="str">
        <f t="shared" si="100"/>
        <v>No Issue</v>
      </c>
      <c r="O718" s="1" t="str">
        <f t="shared" si="101"/>
        <v>No Issue</v>
      </c>
      <c r="P718" s="1" t="str">
        <f t="shared" si="102"/>
        <v>NoIssue</v>
      </c>
    </row>
    <row r="719" spans="1:16" ht="22.5" customHeight="1">
      <c r="A719" s="20">
        <v>7</v>
      </c>
      <c r="B719" s="21" t="s">
        <v>27</v>
      </c>
      <c r="C719" s="26">
        <v>13.91</v>
      </c>
      <c r="D719" s="1"/>
      <c r="E719" s="1"/>
      <c r="F719" s="1"/>
      <c r="G719" s="1"/>
      <c r="H719" s="1"/>
      <c r="I719" s="1"/>
      <c r="J719" s="1">
        <f t="shared" si="96"/>
        <v>0</v>
      </c>
      <c r="K719" s="19" t="str">
        <f t="shared" si="97"/>
        <v xml:space="preserve"> No Issue</v>
      </c>
      <c r="L719" s="1" t="str">
        <f t="shared" si="98"/>
        <v>No Issue</v>
      </c>
      <c r="M719" s="1" t="str">
        <f t="shared" si="99"/>
        <v>No Issue</v>
      </c>
      <c r="N719" s="1" t="str">
        <f t="shared" si="100"/>
        <v>No Issue</v>
      </c>
      <c r="O719" s="1" t="str">
        <f t="shared" si="101"/>
        <v>No Issue</v>
      </c>
      <c r="P719" s="1" t="str">
        <f t="shared" si="102"/>
        <v>NoIssue</v>
      </c>
    </row>
    <row r="720" spans="1:16" ht="22.5" customHeight="1">
      <c r="A720" s="20">
        <v>8</v>
      </c>
      <c r="B720" s="21" t="s">
        <v>28</v>
      </c>
      <c r="C720" s="26">
        <v>19.5</v>
      </c>
      <c r="D720" s="1"/>
      <c r="E720" s="1"/>
      <c r="F720" s="1"/>
      <c r="G720" s="1"/>
      <c r="H720" s="1"/>
      <c r="I720" s="1"/>
      <c r="J720" s="1">
        <f t="shared" si="96"/>
        <v>0</v>
      </c>
      <c r="K720" s="19" t="str">
        <f t="shared" si="97"/>
        <v xml:space="preserve"> No Issue</v>
      </c>
      <c r="L720" s="1" t="str">
        <f t="shared" si="98"/>
        <v>No Issue</v>
      </c>
      <c r="M720" s="1" t="str">
        <f t="shared" si="99"/>
        <v>No Issue</v>
      </c>
      <c r="N720" s="1" t="str">
        <f t="shared" si="100"/>
        <v>No Issue</v>
      </c>
      <c r="O720" s="1" t="str">
        <f t="shared" si="101"/>
        <v>No Issue</v>
      </c>
      <c r="P720" s="1" t="str">
        <f t="shared" si="102"/>
        <v>NoIssue</v>
      </c>
    </row>
    <row r="721" spans="1:16" ht="22.5" customHeight="1">
      <c r="A721" s="20">
        <v>9</v>
      </c>
      <c r="B721" s="21" t="s">
        <v>29</v>
      </c>
      <c r="C721" s="26">
        <v>28.83</v>
      </c>
      <c r="D721" s="1"/>
      <c r="E721" s="1"/>
      <c r="F721" s="1"/>
      <c r="G721" s="1"/>
      <c r="H721" s="1"/>
      <c r="I721" s="1"/>
      <c r="J721" s="1">
        <f t="shared" si="96"/>
        <v>0</v>
      </c>
      <c r="K721" s="19" t="str">
        <f t="shared" si="97"/>
        <v xml:space="preserve"> No Issue</v>
      </c>
      <c r="L721" s="1" t="str">
        <f t="shared" si="98"/>
        <v>No Issue</v>
      </c>
      <c r="M721" s="1" t="str">
        <f t="shared" si="99"/>
        <v>No Issue</v>
      </c>
      <c r="N721" s="1" t="str">
        <f t="shared" si="100"/>
        <v>No Issue</v>
      </c>
      <c r="O721" s="1" t="str">
        <f t="shared" si="101"/>
        <v>No Issue</v>
      </c>
      <c r="P721" s="1" t="str">
        <f t="shared" si="102"/>
        <v>NoIssue</v>
      </c>
    </row>
    <row r="722" spans="1:16" ht="22.5" customHeight="1">
      <c r="A722" s="20">
        <v>10</v>
      </c>
      <c r="B722" s="21" t="s">
        <v>30</v>
      </c>
      <c r="C722" s="26">
        <v>8.51</v>
      </c>
      <c r="D722" s="1"/>
      <c r="E722" s="1"/>
      <c r="F722" s="1"/>
      <c r="G722" s="1"/>
      <c r="H722" s="1"/>
      <c r="I722" s="1"/>
      <c r="J722" s="1">
        <f t="shared" si="96"/>
        <v>0</v>
      </c>
      <c r="K722" s="19" t="str">
        <f t="shared" si="97"/>
        <v xml:space="preserve"> No Issue</v>
      </c>
      <c r="L722" s="1" t="str">
        <f t="shared" si="98"/>
        <v>No Issue</v>
      </c>
      <c r="M722" s="1" t="str">
        <f t="shared" si="99"/>
        <v>No Issue</v>
      </c>
      <c r="N722" s="1" t="str">
        <f t="shared" si="100"/>
        <v>No Issue</v>
      </c>
      <c r="O722" s="1" t="str">
        <f t="shared" si="101"/>
        <v>No Issue</v>
      </c>
      <c r="P722" s="1" t="str">
        <f t="shared" si="102"/>
        <v>NoIssue</v>
      </c>
    </row>
    <row r="723" spans="1:16" ht="22.5" customHeight="1">
      <c r="A723" s="20">
        <v>11</v>
      </c>
      <c r="B723" s="21" t="s">
        <v>31</v>
      </c>
      <c r="C723" s="26">
        <v>102.17</v>
      </c>
      <c r="D723" s="1"/>
      <c r="E723" s="1"/>
      <c r="F723" s="1"/>
      <c r="G723" s="1"/>
      <c r="H723" s="1"/>
      <c r="I723" s="1"/>
      <c r="J723" s="1">
        <f t="shared" si="96"/>
        <v>0</v>
      </c>
      <c r="K723" s="19" t="str">
        <f t="shared" si="97"/>
        <v xml:space="preserve"> No Issue</v>
      </c>
      <c r="L723" s="1" t="str">
        <f t="shared" si="98"/>
        <v>No Issue</v>
      </c>
      <c r="M723" s="1" t="str">
        <f t="shared" si="99"/>
        <v>No Issue</v>
      </c>
      <c r="N723" s="1" t="str">
        <f t="shared" si="100"/>
        <v>No Issue</v>
      </c>
      <c r="O723" s="1" t="str">
        <f t="shared" si="101"/>
        <v>No Issue</v>
      </c>
      <c r="P723" s="1" t="str">
        <f t="shared" si="102"/>
        <v>NoIssue</v>
      </c>
    </row>
    <row r="724" spans="1:16" ht="22.5" customHeight="1">
      <c r="A724" s="20">
        <v>12</v>
      </c>
      <c r="B724" s="21" t="s">
        <v>32</v>
      </c>
      <c r="C724" s="26">
        <v>59.93</v>
      </c>
      <c r="D724" s="1"/>
      <c r="E724" s="1"/>
      <c r="F724" s="1"/>
      <c r="G724" s="1"/>
      <c r="H724" s="1"/>
      <c r="I724" s="1"/>
      <c r="J724" s="1">
        <f t="shared" si="96"/>
        <v>0</v>
      </c>
      <c r="K724" s="19" t="str">
        <f t="shared" si="97"/>
        <v xml:space="preserve"> No Issue</v>
      </c>
      <c r="L724" s="1" t="str">
        <f t="shared" si="98"/>
        <v>No Issue</v>
      </c>
      <c r="M724" s="1" t="str">
        <f t="shared" si="99"/>
        <v>No Issue</v>
      </c>
      <c r="N724" s="1" t="str">
        <f t="shared" si="100"/>
        <v>No Issue</v>
      </c>
      <c r="O724" s="1" t="str">
        <f t="shared" si="101"/>
        <v>No Issue</v>
      </c>
      <c r="P724" s="1" t="str">
        <f t="shared" si="102"/>
        <v>NoIssue</v>
      </c>
    </row>
    <row r="725" spans="1:16" ht="22.5" customHeight="1">
      <c r="A725" s="20">
        <v>13</v>
      </c>
      <c r="B725" s="21" t="s">
        <v>33</v>
      </c>
      <c r="C725" s="26">
        <v>118</v>
      </c>
      <c r="D725" s="1"/>
      <c r="E725" s="1"/>
      <c r="F725" s="1"/>
      <c r="G725" s="1"/>
      <c r="H725" s="1"/>
      <c r="I725" s="1"/>
      <c r="J725" s="1">
        <f t="shared" si="96"/>
        <v>0</v>
      </c>
      <c r="K725" s="19" t="str">
        <f t="shared" si="97"/>
        <v xml:space="preserve"> No Issue</v>
      </c>
      <c r="L725" s="1" t="str">
        <f t="shared" si="98"/>
        <v>No Issue</v>
      </c>
      <c r="M725" s="1" t="str">
        <f t="shared" si="99"/>
        <v>No Issue</v>
      </c>
      <c r="N725" s="1" t="str">
        <f t="shared" si="100"/>
        <v>No Issue</v>
      </c>
      <c r="O725" s="1" t="str">
        <f t="shared" si="101"/>
        <v>No Issue</v>
      </c>
      <c r="P725" s="1" t="str">
        <f t="shared" si="102"/>
        <v>NoIssue</v>
      </c>
    </row>
    <row r="726" spans="1:16" ht="22.5" customHeight="1">
      <c r="A726" s="20">
        <v>14</v>
      </c>
      <c r="B726" s="21" t="s">
        <v>34</v>
      </c>
      <c r="C726" s="26">
        <v>52.83</v>
      </c>
      <c r="D726" s="1"/>
      <c r="E726" s="1"/>
      <c r="F726" s="1"/>
      <c r="G726" s="1"/>
      <c r="H726" s="1"/>
      <c r="I726" s="1"/>
      <c r="J726" s="1">
        <f t="shared" si="96"/>
        <v>0</v>
      </c>
      <c r="K726" s="19" t="str">
        <f t="shared" si="97"/>
        <v xml:space="preserve"> No Issue</v>
      </c>
      <c r="L726" s="1" t="str">
        <f t="shared" si="98"/>
        <v>No Issue</v>
      </c>
      <c r="M726" s="1" t="str">
        <f t="shared" si="99"/>
        <v>No Issue</v>
      </c>
      <c r="N726" s="1" t="str">
        <f t="shared" si="100"/>
        <v>No Issue</v>
      </c>
      <c r="O726" s="1" t="str">
        <f t="shared" si="101"/>
        <v>No Issue</v>
      </c>
      <c r="P726" s="1" t="str">
        <f t="shared" si="102"/>
        <v>NoIssue</v>
      </c>
    </row>
    <row r="727" spans="1:16" ht="22.5" customHeight="1">
      <c r="A727" s="20">
        <v>15</v>
      </c>
      <c r="B727" s="21" t="s">
        <v>35</v>
      </c>
      <c r="C727" s="26">
        <v>93.2</v>
      </c>
      <c r="D727" s="1"/>
      <c r="E727" s="1"/>
      <c r="F727" s="1"/>
      <c r="G727" s="1"/>
      <c r="H727" s="1"/>
      <c r="I727" s="1"/>
      <c r="J727" s="1">
        <f t="shared" si="96"/>
        <v>0</v>
      </c>
      <c r="K727" s="19" t="str">
        <f t="shared" si="97"/>
        <v xml:space="preserve"> No Issue</v>
      </c>
      <c r="L727" s="1" t="str">
        <f t="shared" si="98"/>
        <v>No Issue</v>
      </c>
      <c r="M727" s="1" t="str">
        <f t="shared" si="99"/>
        <v>No Issue</v>
      </c>
      <c r="N727" s="1" t="str">
        <f t="shared" si="100"/>
        <v>No Issue</v>
      </c>
      <c r="O727" s="1" t="str">
        <f t="shared" si="101"/>
        <v>No Issue</v>
      </c>
      <c r="P727" s="1" t="str">
        <f t="shared" si="102"/>
        <v>NoIssue</v>
      </c>
    </row>
    <row r="728" spans="1:16" ht="22.5" customHeight="1">
      <c r="A728" s="20">
        <v>16</v>
      </c>
      <c r="B728" s="21" t="s">
        <v>36</v>
      </c>
      <c r="C728" s="26">
        <v>61.02</v>
      </c>
      <c r="D728" s="1"/>
      <c r="E728" s="1"/>
      <c r="F728" s="1"/>
      <c r="G728" s="1"/>
      <c r="H728" s="1"/>
      <c r="I728" s="1"/>
      <c r="J728" s="1">
        <f t="shared" si="96"/>
        <v>0</v>
      </c>
      <c r="K728" s="19" t="str">
        <f t="shared" si="97"/>
        <v xml:space="preserve"> No Issue</v>
      </c>
      <c r="L728" s="1" t="str">
        <f t="shared" si="98"/>
        <v>No Issue</v>
      </c>
      <c r="M728" s="1" t="str">
        <f t="shared" si="99"/>
        <v>No Issue</v>
      </c>
      <c r="N728" s="1" t="str">
        <f t="shared" si="100"/>
        <v>No Issue</v>
      </c>
      <c r="O728" s="1" t="str">
        <f t="shared" si="101"/>
        <v>No Issue</v>
      </c>
      <c r="P728" s="1" t="str">
        <f t="shared" si="102"/>
        <v>NoIssue</v>
      </c>
    </row>
    <row r="729" spans="1:16" ht="22.5" customHeight="1">
      <c r="A729" s="20">
        <v>17</v>
      </c>
      <c r="B729" s="21" t="s">
        <v>37</v>
      </c>
      <c r="C729" s="26">
        <v>36.619999999999997</v>
      </c>
      <c r="D729" s="1"/>
      <c r="E729" s="1"/>
      <c r="F729" s="1"/>
      <c r="G729" s="1"/>
      <c r="H729" s="1"/>
      <c r="I729" s="1"/>
      <c r="J729" s="1">
        <f t="shared" si="96"/>
        <v>0</v>
      </c>
      <c r="K729" s="19" t="str">
        <f t="shared" si="97"/>
        <v xml:space="preserve"> No Issue</v>
      </c>
      <c r="L729" s="1" t="str">
        <f t="shared" si="98"/>
        <v>No Issue</v>
      </c>
      <c r="M729" s="1" t="str">
        <f t="shared" si="99"/>
        <v>No Issue</v>
      </c>
      <c r="N729" s="1" t="str">
        <f t="shared" si="100"/>
        <v>No Issue</v>
      </c>
      <c r="O729" s="1" t="str">
        <f t="shared" si="101"/>
        <v>No Issue</v>
      </c>
      <c r="P729" s="1" t="str">
        <f t="shared" si="102"/>
        <v>NoIssue</v>
      </c>
    </row>
    <row r="730" spans="1:16" ht="22.5" customHeight="1">
      <c r="A730" s="20">
        <v>18</v>
      </c>
      <c r="B730" s="21" t="s">
        <v>38</v>
      </c>
      <c r="C730" s="26">
        <v>80.36</v>
      </c>
      <c r="D730" s="1"/>
      <c r="E730" s="1"/>
      <c r="F730" s="1"/>
      <c r="G730" s="1"/>
      <c r="H730" s="1"/>
      <c r="I730" s="1"/>
      <c r="J730" s="1">
        <f t="shared" si="96"/>
        <v>0</v>
      </c>
      <c r="K730" s="19" t="str">
        <f t="shared" si="97"/>
        <v xml:space="preserve"> No Issue</v>
      </c>
      <c r="L730" s="1" t="str">
        <f t="shared" si="98"/>
        <v>No Issue</v>
      </c>
      <c r="M730" s="1" t="str">
        <f t="shared" si="99"/>
        <v>No Issue</v>
      </c>
      <c r="N730" s="1" t="str">
        <f t="shared" si="100"/>
        <v>No Issue</v>
      </c>
      <c r="O730" s="1" t="str">
        <f t="shared" si="101"/>
        <v>No Issue</v>
      </c>
      <c r="P730" s="1" t="str">
        <f t="shared" si="102"/>
        <v>NoIssue</v>
      </c>
    </row>
    <row r="731" spans="1:16" ht="22.5" customHeight="1">
      <c r="A731" s="20">
        <v>19</v>
      </c>
      <c r="B731" s="21" t="s">
        <v>39</v>
      </c>
      <c r="C731" s="26">
        <v>160.56</v>
      </c>
      <c r="D731" s="1"/>
      <c r="E731" s="1"/>
      <c r="F731" s="1"/>
      <c r="G731" s="1"/>
      <c r="H731" s="1"/>
      <c r="I731" s="1"/>
      <c r="J731" s="1">
        <f t="shared" si="96"/>
        <v>0</v>
      </c>
      <c r="K731" s="19" t="str">
        <f t="shared" si="97"/>
        <v xml:space="preserve"> No Issue</v>
      </c>
      <c r="L731" s="1" t="str">
        <f t="shared" si="98"/>
        <v>No Issue</v>
      </c>
      <c r="M731" s="1" t="str">
        <f t="shared" si="99"/>
        <v>No Issue</v>
      </c>
      <c r="N731" s="1" t="str">
        <f t="shared" si="100"/>
        <v>No Issue</v>
      </c>
      <c r="O731" s="1" t="str">
        <f t="shared" si="101"/>
        <v>No Issue</v>
      </c>
      <c r="P731" s="1" t="str">
        <f t="shared" si="102"/>
        <v>NoIssue</v>
      </c>
    </row>
    <row r="732" spans="1:16" ht="22.5" customHeight="1">
      <c r="A732" s="20">
        <v>20</v>
      </c>
      <c r="B732" s="21" t="s">
        <v>40</v>
      </c>
      <c r="C732" s="26">
        <v>186.44</v>
      </c>
      <c r="D732" s="1"/>
      <c r="E732" s="1"/>
      <c r="F732" s="1"/>
      <c r="G732" s="1"/>
      <c r="H732" s="1"/>
      <c r="I732" s="1"/>
      <c r="J732" s="1">
        <f t="shared" si="96"/>
        <v>0</v>
      </c>
      <c r="K732" s="19" t="str">
        <f t="shared" si="97"/>
        <v xml:space="preserve"> No Issue</v>
      </c>
      <c r="L732" s="1" t="str">
        <f t="shared" si="98"/>
        <v>No Issue</v>
      </c>
      <c r="M732" s="1" t="str">
        <f t="shared" si="99"/>
        <v>No Issue</v>
      </c>
      <c r="N732" s="1" t="str">
        <f t="shared" si="100"/>
        <v>No Issue</v>
      </c>
      <c r="O732" s="1" t="str">
        <f t="shared" si="101"/>
        <v>No Issue</v>
      </c>
      <c r="P732" s="1" t="str">
        <f t="shared" si="102"/>
        <v>NoIssue</v>
      </c>
    </row>
    <row r="733" spans="1:16" ht="22.5" customHeight="1">
      <c r="A733" s="20">
        <v>21</v>
      </c>
      <c r="B733" s="21" t="s">
        <v>41</v>
      </c>
      <c r="C733" s="26">
        <v>92.59</v>
      </c>
      <c r="D733" s="1"/>
      <c r="E733" s="1"/>
      <c r="F733" s="1"/>
      <c r="G733" s="1"/>
      <c r="H733" s="1"/>
      <c r="I733" s="1"/>
      <c r="J733" s="1">
        <f t="shared" si="96"/>
        <v>0</v>
      </c>
      <c r="K733" s="19" t="str">
        <f t="shared" si="97"/>
        <v xml:space="preserve"> No Issue</v>
      </c>
      <c r="L733" s="1" t="str">
        <f t="shared" si="98"/>
        <v>No Issue</v>
      </c>
      <c r="M733" s="1" t="str">
        <f t="shared" si="99"/>
        <v>No Issue</v>
      </c>
      <c r="N733" s="1" t="str">
        <f t="shared" si="100"/>
        <v>No Issue</v>
      </c>
      <c r="O733" s="1" t="str">
        <f t="shared" si="101"/>
        <v>No Issue</v>
      </c>
      <c r="P733" s="1" t="str">
        <f t="shared" si="102"/>
        <v>NoIssue</v>
      </c>
    </row>
    <row r="734" spans="1:16" ht="22.5" customHeight="1">
      <c r="A734" s="20">
        <v>22</v>
      </c>
      <c r="B734" s="21" t="s">
        <v>42</v>
      </c>
      <c r="C734" s="26">
        <v>95.17</v>
      </c>
      <c r="D734" s="1"/>
      <c r="E734" s="1"/>
      <c r="F734" s="1"/>
      <c r="G734" s="1"/>
      <c r="H734" s="1"/>
      <c r="I734" s="1"/>
      <c r="J734" s="1">
        <f t="shared" si="96"/>
        <v>0</v>
      </c>
      <c r="K734" s="19" t="str">
        <f t="shared" si="97"/>
        <v xml:space="preserve"> No Issue</v>
      </c>
      <c r="L734" s="1" t="str">
        <f t="shared" si="98"/>
        <v>No Issue</v>
      </c>
      <c r="M734" s="1" t="str">
        <f t="shared" si="99"/>
        <v>No Issue</v>
      </c>
      <c r="N734" s="1" t="str">
        <f t="shared" si="100"/>
        <v>No Issue</v>
      </c>
      <c r="O734" s="1" t="str">
        <f t="shared" si="101"/>
        <v>No Issue</v>
      </c>
      <c r="P734" s="1" t="str">
        <f t="shared" si="102"/>
        <v>NoIssue</v>
      </c>
    </row>
    <row r="735" spans="1:16" ht="22.5" customHeight="1">
      <c r="A735" s="20">
        <v>23</v>
      </c>
      <c r="B735" s="21" t="s">
        <v>43</v>
      </c>
      <c r="C735" s="26">
        <v>92.94</v>
      </c>
      <c r="D735" s="1"/>
      <c r="E735" s="1"/>
      <c r="F735" s="1"/>
      <c r="G735" s="1"/>
      <c r="H735" s="1"/>
      <c r="I735" s="1"/>
      <c r="J735" s="1">
        <f t="shared" si="96"/>
        <v>0</v>
      </c>
      <c r="K735" s="19" t="str">
        <f t="shared" si="97"/>
        <v xml:space="preserve"> No Issue</v>
      </c>
      <c r="L735" s="1" t="str">
        <f t="shared" si="98"/>
        <v>No Issue</v>
      </c>
      <c r="M735" s="1" t="str">
        <f t="shared" si="99"/>
        <v>No Issue</v>
      </c>
      <c r="N735" s="1" t="str">
        <f t="shared" si="100"/>
        <v>No Issue</v>
      </c>
      <c r="O735" s="1" t="str">
        <f t="shared" si="101"/>
        <v>No Issue</v>
      </c>
      <c r="P735" s="1" t="str">
        <f t="shared" si="102"/>
        <v>NoIssue</v>
      </c>
    </row>
    <row r="736" spans="1:16" ht="22.5" customHeight="1">
      <c r="A736" s="20">
        <v>24</v>
      </c>
      <c r="B736" s="21" t="s">
        <v>44</v>
      </c>
      <c r="C736" s="26">
        <v>101.82</v>
      </c>
      <c r="D736" s="1"/>
      <c r="E736" s="1"/>
      <c r="F736" s="1"/>
      <c r="G736" s="1"/>
      <c r="H736" s="1"/>
      <c r="I736" s="1"/>
      <c r="J736" s="1">
        <f t="shared" si="96"/>
        <v>0</v>
      </c>
      <c r="K736" s="19" t="str">
        <f t="shared" si="97"/>
        <v xml:space="preserve"> No Issue</v>
      </c>
      <c r="L736" s="1" t="str">
        <f t="shared" si="98"/>
        <v>No Issue</v>
      </c>
      <c r="M736" s="1" t="str">
        <f t="shared" si="99"/>
        <v>No Issue</v>
      </c>
      <c r="N736" s="1" t="str">
        <f t="shared" si="100"/>
        <v>No Issue</v>
      </c>
      <c r="O736" s="1" t="str">
        <f t="shared" si="101"/>
        <v>No Issue</v>
      </c>
      <c r="P736" s="1" t="str">
        <f t="shared" si="102"/>
        <v>NoIssue</v>
      </c>
    </row>
    <row r="737" spans="1:16" ht="22.5" customHeight="1">
      <c r="A737" s="20">
        <v>25</v>
      </c>
      <c r="B737" s="21" t="s">
        <v>45</v>
      </c>
      <c r="C737" s="26">
        <v>53.49</v>
      </c>
      <c r="D737" s="1"/>
      <c r="E737" s="1"/>
      <c r="F737" s="1"/>
      <c r="G737" s="1"/>
      <c r="H737" s="1"/>
      <c r="I737" s="1"/>
      <c r="J737" s="1">
        <f t="shared" si="96"/>
        <v>0</v>
      </c>
      <c r="K737" s="19" t="str">
        <f t="shared" si="97"/>
        <v xml:space="preserve"> No Issue</v>
      </c>
      <c r="L737" s="1" t="str">
        <f t="shared" si="98"/>
        <v>No Issue</v>
      </c>
      <c r="M737" s="1" t="str">
        <f t="shared" si="99"/>
        <v>No Issue</v>
      </c>
      <c r="N737" s="1" t="str">
        <f t="shared" si="100"/>
        <v>No Issue</v>
      </c>
      <c r="O737" s="1" t="str">
        <f t="shared" si="101"/>
        <v>No Issue</v>
      </c>
      <c r="P737" s="1" t="str">
        <f t="shared" si="102"/>
        <v>NoIssue</v>
      </c>
    </row>
    <row r="738" spans="1:16" ht="22.5" customHeight="1">
      <c r="A738" s="20">
        <v>26</v>
      </c>
      <c r="B738" s="21" t="s">
        <v>46</v>
      </c>
      <c r="C738" s="26">
        <v>32.92</v>
      </c>
      <c r="D738" s="1"/>
      <c r="E738" s="1"/>
      <c r="F738" s="1"/>
      <c r="G738" s="1"/>
      <c r="H738" s="1"/>
      <c r="I738" s="1"/>
      <c r="J738" s="1">
        <f t="shared" si="96"/>
        <v>0</v>
      </c>
      <c r="K738" s="19" t="str">
        <f t="shared" si="97"/>
        <v xml:space="preserve"> No Issue</v>
      </c>
      <c r="L738" s="1" t="str">
        <f t="shared" si="98"/>
        <v>No Issue</v>
      </c>
      <c r="M738" s="1" t="str">
        <f t="shared" si="99"/>
        <v>No Issue</v>
      </c>
      <c r="N738" s="1" t="str">
        <f t="shared" si="100"/>
        <v>No Issue</v>
      </c>
      <c r="O738" s="1" t="str">
        <f t="shared" si="101"/>
        <v>No Issue</v>
      </c>
      <c r="P738" s="1" t="str">
        <f t="shared" si="102"/>
        <v>NoIssue</v>
      </c>
    </row>
    <row r="739" spans="1:16" ht="22.5" customHeight="1">
      <c r="A739" s="20">
        <v>27</v>
      </c>
      <c r="B739" s="21" t="s">
        <v>47</v>
      </c>
      <c r="C739" s="26">
        <v>116.68</v>
      </c>
      <c r="D739" s="1"/>
      <c r="E739" s="1"/>
      <c r="F739" s="1"/>
      <c r="G739" s="1"/>
      <c r="H739" s="1"/>
      <c r="I739" s="1"/>
      <c r="J739" s="1">
        <f t="shared" si="96"/>
        <v>0</v>
      </c>
      <c r="K739" s="19" t="str">
        <f t="shared" si="97"/>
        <v xml:space="preserve"> No Issue</v>
      </c>
      <c r="L739" s="1" t="str">
        <f t="shared" si="98"/>
        <v>No Issue</v>
      </c>
      <c r="M739" s="1" t="str">
        <f t="shared" si="99"/>
        <v>No Issue</v>
      </c>
      <c r="N739" s="1" t="str">
        <f t="shared" si="100"/>
        <v>No Issue</v>
      </c>
      <c r="O739" s="1" t="str">
        <f t="shared" si="101"/>
        <v>No Issue</v>
      </c>
      <c r="P739" s="1" t="str">
        <f t="shared" si="102"/>
        <v>NoIssue</v>
      </c>
    </row>
    <row r="740" spans="1:16" ht="22.5" customHeight="1">
      <c r="A740" s="20">
        <v>28</v>
      </c>
      <c r="B740" s="21" t="s">
        <v>48</v>
      </c>
      <c r="C740" s="26">
        <v>107.96</v>
      </c>
      <c r="D740" s="1"/>
      <c r="E740" s="1"/>
      <c r="F740" s="1"/>
      <c r="G740" s="1"/>
      <c r="H740" s="1"/>
      <c r="I740" s="1"/>
      <c r="J740" s="1">
        <f t="shared" si="96"/>
        <v>0</v>
      </c>
      <c r="K740" s="19" t="str">
        <f t="shared" si="97"/>
        <v xml:space="preserve"> No Issue</v>
      </c>
      <c r="L740" s="1" t="str">
        <f t="shared" si="98"/>
        <v>No Issue</v>
      </c>
      <c r="M740" s="1" t="str">
        <f t="shared" si="99"/>
        <v>No Issue</v>
      </c>
      <c r="N740" s="1" t="str">
        <f t="shared" si="100"/>
        <v>No Issue</v>
      </c>
      <c r="O740" s="1" t="str">
        <f t="shared" si="101"/>
        <v>No Issue</v>
      </c>
      <c r="P740" s="1" t="str">
        <f t="shared" si="102"/>
        <v>NoIssue</v>
      </c>
    </row>
    <row r="741" spans="1:16" ht="22.5" customHeight="1">
      <c r="A741" s="20">
        <v>29</v>
      </c>
      <c r="B741" s="21" t="s">
        <v>49</v>
      </c>
      <c r="C741" s="26">
        <v>248.89</v>
      </c>
      <c r="D741" s="1"/>
      <c r="E741" s="1"/>
      <c r="F741" s="1"/>
      <c r="G741" s="1"/>
      <c r="H741" s="1"/>
      <c r="I741" s="1"/>
      <c r="J741" s="1">
        <f t="shared" si="96"/>
        <v>0</v>
      </c>
      <c r="K741" s="19" t="str">
        <f t="shared" si="97"/>
        <v xml:space="preserve"> No Issue</v>
      </c>
      <c r="L741" s="1" t="str">
        <f t="shared" si="98"/>
        <v>No Issue</v>
      </c>
      <c r="M741" s="1" t="str">
        <f t="shared" si="99"/>
        <v>No Issue</v>
      </c>
      <c r="N741" s="1" t="str">
        <f t="shared" si="100"/>
        <v>No Issue</v>
      </c>
      <c r="O741" s="1" t="str">
        <f t="shared" si="101"/>
        <v>No Issue</v>
      </c>
      <c r="P741" s="1" t="str">
        <f t="shared" si="102"/>
        <v>NoIssue</v>
      </c>
    </row>
    <row r="742" spans="1:16" ht="22.5" customHeight="1">
      <c r="A742" s="20">
        <v>30</v>
      </c>
      <c r="B742" s="21" t="s">
        <v>50</v>
      </c>
      <c r="C742" s="26">
        <v>80.36</v>
      </c>
      <c r="D742" s="1"/>
      <c r="E742" s="1"/>
      <c r="F742" s="19"/>
      <c r="G742" s="19"/>
      <c r="H742" s="19"/>
      <c r="I742" s="1"/>
      <c r="J742" s="1">
        <f t="shared" si="96"/>
        <v>0</v>
      </c>
      <c r="K742" s="19" t="str">
        <f t="shared" si="97"/>
        <v xml:space="preserve"> No Issue</v>
      </c>
      <c r="L742" s="1" t="str">
        <f t="shared" si="98"/>
        <v>No Issue</v>
      </c>
      <c r="M742" s="1" t="str">
        <f t="shared" si="99"/>
        <v>No Issue</v>
      </c>
      <c r="N742" s="1" t="str">
        <f t="shared" si="100"/>
        <v>No Issue</v>
      </c>
      <c r="O742" s="1" t="str">
        <f t="shared" si="101"/>
        <v>No Issue</v>
      </c>
      <c r="P742" s="1" t="str">
        <f t="shared" si="102"/>
        <v>NoIssue</v>
      </c>
    </row>
    <row r="743" spans="1:16" ht="22.5" customHeight="1">
      <c r="A743" s="20">
        <v>31</v>
      </c>
      <c r="B743" s="21" t="s">
        <v>51</v>
      </c>
      <c r="C743" s="26">
        <v>52.46</v>
      </c>
      <c r="D743" s="1"/>
      <c r="E743" s="1"/>
      <c r="F743" s="19"/>
      <c r="G743" s="19"/>
      <c r="H743" s="19"/>
      <c r="I743" s="1"/>
      <c r="J743" s="1">
        <f t="shared" si="96"/>
        <v>0</v>
      </c>
      <c r="K743" s="19" t="str">
        <f t="shared" si="97"/>
        <v xml:space="preserve"> No Issue</v>
      </c>
      <c r="L743" s="1" t="str">
        <f t="shared" si="98"/>
        <v>No Issue</v>
      </c>
      <c r="M743" s="1" t="str">
        <f t="shared" si="99"/>
        <v>No Issue</v>
      </c>
      <c r="N743" s="1" t="str">
        <f t="shared" si="100"/>
        <v>No Issue</v>
      </c>
      <c r="O743" s="1" t="str">
        <f t="shared" si="101"/>
        <v>No Issue</v>
      </c>
      <c r="P743" s="1" t="str">
        <f t="shared" si="102"/>
        <v>NoIssue</v>
      </c>
    </row>
    <row r="744" spans="1:16" ht="22.5" customHeight="1">
      <c r="A744" s="20">
        <v>32</v>
      </c>
      <c r="B744" s="21" t="s">
        <v>52</v>
      </c>
      <c r="C744" s="26">
        <v>71.209999999999994</v>
      </c>
      <c r="D744" s="1"/>
      <c r="E744" s="1"/>
      <c r="F744" s="19"/>
      <c r="G744" s="19"/>
      <c r="H744" s="19"/>
      <c r="I744" s="1"/>
      <c r="J744" s="1">
        <f t="shared" si="96"/>
        <v>0</v>
      </c>
      <c r="K744" s="19" t="str">
        <f t="shared" si="97"/>
        <v xml:space="preserve"> No Issue</v>
      </c>
      <c r="L744" s="1" t="str">
        <f t="shared" si="98"/>
        <v>No Issue</v>
      </c>
      <c r="M744" s="1" t="str">
        <f t="shared" si="99"/>
        <v>No Issue</v>
      </c>
      <c r="N744" s="1" t="str">
        <f t="shared" si="100"/>
        <v>No Issue</v>
      </c>
      <c r="O744" s="1" t="str">
        <f t="shared" si="101"/>
        <v>No Issue</v>
      </c>
      <c r="P744" s="1" t="str">
        <f t="shared" si="102"/>
        <v>NoIssue</v>
      </c>
    </row>
    <row r="745" spans="1:16" ht="22.5" customHeight="1">
      <c r="A745" s="20">
        <v>33</v>
      </c>
      <c r="B745" s="21" t="s">
        <v>53</v>
      </c>
      <c r="C745" s="26">
        <v>80.349999999999994</v>
      </c>
      <c r="D745" s="1"/>
      <c r="E745" s="1"/>
      <c r="F745" s="19"/>
      <c r="G745" s="19"/>
      <c r="H745" s="19"/>
      <c r="I745" s="1"/>
      <c r="J745" s="1">
        <f t="shared" si="96"/>
        <v>0</v>
      </c>
      <c r="K745" s="19" t="str">
        <f t="shared" si="97"/>
        <v xml:space="preserve"> No Issue</v>
      </c>
      <c r="L745" s="1" t="str">
        <f t="shared" si="98"/>
        <v>No Issue</v>
      </c>
      <c r="M745" s="1" t="str">
        <f t="shared" si="99"/>
        <v>No Issue</v>
      </c>
      <c r="N745" s="1" t="str">
        <f t="shared" si="100"/>
        <v>No Issue</v>
      </c>
      <c r="O745" s="1" t="str">
        <f t="shared" si="101"/>
        <v>No Issue</v>
      </c>
      <c r="P745" s="1" t="str">
        <f t="shared" si="102"/>
        <v>NoIssue</v>
      </c>
    </row>
    <row r="746" spans="1:16" ht="22.5" customHeight="1">
      <c r="A746" s="20">
        <v>34</v>
      </c>
      <c r="B746" s="21" t="s">
        <v>54</v>
      </c>
      <c r="C746" s="26">
        <v>64.180000000000007</v>
      </c>
      <c r="D746" s="1"/>
      <c r="E746" s="1"/>
      <c r="F746" s="19"/>
      <c r="G746" s="19"/>
      <c r="H746" s="19"/>
      <c r="I746" s="1"/>
      <c r="J746" s="1">
        <f t="shared" si="96"/>
        <v>0</v>
      </c>
      <c r="K746" s="19" t="str">
        <f t="shared" si="97"/>
        <v xml:space="preserve"> No Issue</v>
      </c>
      <c r="L746" s="1" t="str">
        <f t="shared" si="98"/>
        <v>No Issue</v>
      </c>
      <c r="M746" s="1" t="str">
        <f t="shared" si="99"/>
        <v>No Issue</v>
      </c>
      <c r="N746" s="1" t="str">
        <f t="shared" si="100"/>
        <v>No Issue</v>
      </c>
      <c r="O746" s="1" t="str">
        <f t="shared" si="101"/>
        <v>No Issue</v>
      </c>
      <c r="P746" s="1" t="str">
        <f t="shared" si="102"/>
        <v>NoIssue</v>
      </c>
    </row>
    <row r="747" spans="1:16" ht="22.5" customHeight="1">
      <c r="A747" s="20">
        <v>35</v>
      </c>
      <c r="B747" s="21" t="s">
        <v>55</v>
      </c>
      <c r="C747" s="26">
        <v>36.9</v>
      </c>
      <c r="D747" s="1"/>
      <c r="E747" s="1"/>
      <c r="F747" s="19"/>
      <c r="G747" s="19"/>
      <c r="H747" s="19"/>
      <c r="I747" s="1"/>
      <c r="J747" s="1">
        <f t="shared" si="96"/>
        <v>0</v>
      </c>
      <c r="K747" s="19" t="str">
        <f t="shared" si="97"/>
        <v xml:space="preserve"> No Issue</v>
      </c>
      <c r="L747" s="1" t="str">
        <f t="shared" si="98"/>
        <v>No Issue</v>
      </c>
      <c r="M747" s="1" t="str">
        <f t="shared" si="99"/>
        <v>No Issue</v>
      </c>
      <c r="N747" s="1" t="str">
        <f t="shared" si="100"/>
        <v>No Issue</v>
      </c>
      <c r="O747" s="1" t="str">
        <f t="shared" si="101"/>
        <v>No Issue</v>
      </c>
      <c r="P747" s="1" t="str">
        <f t="shared" si="102"/>
        <v>NoIssue</v>
      </c>
    </row>
    <row r="748" spans="1:16" ht="22.5" customHeight="1">
      <c r="A748" s="20">
        <v>36</v>
      </c>
      <c r="B748" s="21" t="s">
        <v>56</v>
      </c>
      <c r="C748" s="26">
        <v>101.54</v>
      </c>
      <c r="D748" s="1"/>
      <c r="E748" s="1"/>
      <c r="F748" s="19"/>
      <c r="G748" s="19"/>
      <c r="H748" s="19"/>
      <c r="I748" s="1"/>
      <c r="J748" s="1">
        <f t="shared" si="96"/>
        <v>0</v>
      </c>
      <c r="K748" s="19" t="str">
        <f t="shared" si="97"/>
        <v xml:space="preserve"> No Issue</v>
      </c>
      <c r="L748" s="1" t="str">
        <f t="shared" si="98"/>
        <v>No Issue</v>
      </c>
      <c r="M748" s="1" t="str">
        <f t="shared" si="99"/>
        <v>No Issue</v>
      </c>
      <c r="N748" s="1" t="str">
        <f t="shared" si="100"/>
        <v>No Issue</v>
      </c>
      <c r="O748" s="1" t="str">
        <f t="shared" si="101"/>
        <v>No Issue</v>
      </c>
      <c r="P748" s="1" t="str">
        <f t="shared" si="102"/>
        <v>NoIssue</v>
      </c>
    </row>
    <row r="749" spans="1:16" ht="22.5" customHeight="1">
      <c r="A749" s="20">
        <v>37</v>
      </c>
      <c r="B749" s="21" t="s">
        <v>57</v>
      </c>
      <c r="C749" s="26">
        <v>40.5</v>
      </c>
      <c r="D749" s="1"/>
      <c r="E749" s="1"/>
      <c r="F749" s="19"/>
      <c r="G749" s="19"/>
      <c r="H749" s="19"/>
      <c r="I749" s="1"/>
      <c r="J749" s="1">
        <f t="shared" si="96"/>
        <v>0</v>
      </c>
      <c r="K749" s="19" t="str">
        <f t="shared" si="97"/>
        <v xml:space="preserve"> No Issue</v>
      </c>
      <c r="L749" s="1" t="str">
        <f t="shared" si="98"/>
        <v>No Issue</v>
      </c>
      <c r="M749" s="1" t="str">
        <f t="shared" si="99"/>
        <v>No Issue</v>
      </c>
      <c r="N749" s="1" t="str">
        <f t="shared" si="100"/>
        <v>No Issue</v>
      </c>
      <c r="O749" s="1" t="str">
        <f t="shared" si="101"/>
        <v>No Issue</v>
      </c>
      <c r="P749" s="1" t="str">
        <f t="shared" si="102"/>
        <v>NoIssue</v>
      </c>
    </row>
    <row r="750" spans="1:16" ht="22.5" customHeight="1">
      <c r="A750" s="20">
        <v>38</v>
      </c>
      <c r="B750" s="21" t="s">
        <v>58</v>
      </c>
      <c r="C750" s="26">
        <v>66.69</v>
      </c>
      <c r="D750" s="1"/>
      <c r="E750" s="1"/>
      <c r="F750" s="19"/>
      <c r="G750" s="19"/>
      <c r="H750" s="19"/>
      <c r="I750" s="1"/>
      <c r="J750" s="1">
        <f t="shared" si="96"/>
        <v>0</v>
      </c>
      <c r="K750" s="19" t="str">
        <f t="shared" si="97"/>
        <v xml:space="preserve"> No Issue</v>
      </c>
      <c r="L750" s="1" t="str">
        <f t="shared" si="98"/>
        <v>No Issue</v>
      </c>
      <c r="M750" s="1" t="str">
        <f t="shared" si="99"/>
        <v>No Issue</v>
      </c>
      <c r="N750" s="1" t="str">
        <f t="shared" si="100"/>
        <v>No Issue</v>
      </c>
      <c r="O750" s="1" t="str">
        <f t="shared" si="101"/>
        <v>No Issue</v>
      </c>
      <c r="P750" s="1" t="str">
        <f t="shared" si="102"/>
        <v>NoIssue</v>
      </c>
    </row>
    <row r="751" spans="1:16" ht="22.5" customHeight="1">
      <c r="A751" s="20">
        <v>39</v>
      </c>
      <c r="B751" s="21" t="s">
        <v>59</v>
      </c>
      <c r="C751" s="21">
        <v>150.85999999999999</v>
      </c>
      <c r="D751" s="1"/>
      <c r="E751" s="1"/>
      <c r="F751" s="19"/>
      <c r="G751" s="19"/>
      <c r="H751" s="19"/>
      <c r="I751" s="1"/>
      <c r="J751" s="1">
        <f t="shared" si="96"/>
        <v>0</v>
      </c>
      <c r="K751" s="19" t="str">
        <f t="shared" si="97"/>
        <v xml:space="preserve"> No Issue</v>
      </c>
      <c r="L751" s="1" t="str">
        <f t="shared" si="98"/>
        <v>No Issue</v>
      </c>
      <c r="M751" s="1" t="str">
        <f t="shared" si="99"/>
        <v>No Issue</v>
      </c>
      <c r="N751" s="1" t="str">
        <f t="shared" si="100"/>
        <v>No Issue</v>
      </c>
      <c r="O751" s="1" t="str">
        <f t="shared" si="101"/>
        <v>No Issue</v>
      </c>
      <c r="P751" s="1" t="str">
        <f t="shared" si="102"/>
        <v>NoIssue</v>
      </c>
    </row>
    <row r="752" spans="1:16" ht="22.5" customHeight="1">
      <c r="A752" s="20">
        <v>40</v>
      </c>
      <c r="B752" s="29" t="s">
        <v>60</v>
      </c>
      <c r="C752" s="26">
        <v>180</v>
      </c>
      <c r="D752" s="1"/>
      <c r="E752" s="1"/>
      <c r="F752" s="19"/>
      <c r="G752" s="19"/>
      <c r="H752" s="19"/>
      <c r="I752" s="1"/>
      <c r="J752" s="1">
        <f t="shared" si="96"/>
        <v>0</v>
      </c>
      <c r="K752" s="19" t="str">
        <f t="shared" si="97"/>
        <v xml:space="preserve"> No Issue</v>
      </c>
      <c r="L752" s="1" t="str">
        <f t="shared" si="98"/>
        <v>No Issue</v>
      </c>
      <c r="M752" s="1" t="str">
        <f t="shared" si="99"/>
        <v>No Issue</v>
      </c>
      <c r="N752" s="1" t="str">
        <f t="shared" si="100"/>
        <v>No Issue</v>
      </c>
      <c r="O752" s="1" t="str">
        <f t="shared" si="101"/>
        <v>No Issue</v>
      </c>
      <c r="P752" s="1" t="str">
        <f t="shared" si="102"/>
        <v>NoIssue</v>
      </c>
    </row>
    <row r="753" spans="1:16" ht="22.5" customHeight="1">
      <c r="A753" s="20">
        <v>41</v>
      </c>
      <c r="B753" s="29" t="s">
        <v>61</v>
      </c>
      <c r="C753" s="21">
        <v>128.57</v>
      </c>
      <c r="D753" s="1"/>
      <c r="E753" s="1"/>
      <c r="F753" s="19"/>
      <c r="G753" s="19"/>
      <c r="H753" s="19"/>
      <c r="I753" s="1"/>
      <c r="J753" s="1">
        <f t="shared" si="96"/>
        <v>0</v>
      </c>
      <c r="K753" s="19" t="str">
        <f t="shared" si="97"/>
        <v xml:space="preserve"> No Issue</v>
      </c>
      <c r="L753" s="1" t="str">
        <f t="shared" si="98"/>
        <v>No Issue</v>
      </c>
      <c r="M753" s="1" t="str">
        <f t="shared" si="99"/>
        <v>No Issue</v>
      </c>
      <c r="N753" s="1" t="str">
        <f t="shared" si="100"/>
        <v>No Issue</v>
      </c>
      <c r="O753" s="1" t="str">
        <f t="shared" si="101"/>
        <v>No Issue</v>
      </c>
      <c r="P753" s="1" t="str">
        <f t="shared" si="102"/>
        <v>NoIssue</v>
      </c>
    </row>
    <row r="754" spans="1:16" ht="22.5" customHeight="1">
      <c r="A754" s="20">
        <v>42</v>
      </c>
      <c r="B754" s="21"/>
      <c r="C754" s="21"/>
      <c r="D754" s="1"/>
      <c r="E754" s="1"/>
      <c r="F754" s="19"/>
      <c r="G754" s="19"/>
      <c r="H754" s="19"/>
      <c r="I754" s="1"/>
      <c r="J754" s="1">
        <f t="shared" si="96"/>
        <v>0</v>
      </c>
      <c r="K754" s="19" t="str">
        <f t="shared" si="97"/>
        <v xml:space="preserve"> No Issue</v>
      </c>
      <c r="L754" s="1" t="str">
        <f t="shared" si="98"/>
        <v>No Issue</v>
      </c>
      <c r="M754" s="1" t="str">
        <f t="shared" si="99"/>
        <v>No Issue</v>
      </c>
      <c r="N754" s="1" t="str">
        <f t="shared" si="100"/>
        <v>No Issue</v>
      </c>
      <c r="O754" s="1" t="str">
        <f t="shared" si="101"/>
        <v>No Issue</v>
      </c>
      <c r="P754" s="1" t="str">
        <f t="shared" si="102"/>
        <v>NoIssue</v>
      </c>
    </row>
    <row r="755" spans="1:16" ht="22.5" customHeight="1">
      <c r="A755" s="20">
        <v>43</v>
      </c>
      <c r="B755" s="30"/>
      <c r="C755" s="30"/>
      <c r="D755" s="1"/>
      <c r="E755" s="1"/>
      <c r="F755" s="19"/>
      <c r="G755" s="19"/>
      <c r="H755" s="19"/>
      <c r="I755" s="1"/>
      <c r="J755" s="1">
        <f t="shared" si="96"/>
        <v>0</v>
      </c>
      <c r="K755" s="19" t="str">
        <f t="shared" si="97"/>
        <v xml:space="preserve"> No Issue</v>
      </c>
      <c r="L755" s="1" t="str">
        <f t="shared" si="98"/>
        <v>No Issue</v>
      </c>
      <c r="M755" s="1" t="str">
        <f t="shared" si="99"/>
        <v>No Issue</v>
      </c>
      <c r="N755" s="1" t="str">
        <f t="shared" si="100"/>
        <v>No Issue</v>
      </c>
      <c r="O755" s="1" t="str">
        <f t="shared" si="101"/>
        <v>No Issue</v>
      </c>
      <c r="P755" s="1" t="str">
        <f t="shared" si="102"/>
        <v>NoIssue</v>
      </c>
    </row>
    <row r="756" spans="1:16" ht="22.5" customHeight="1">
      <c r="A756" s="20">
        <v>44</v>
      </c>
      <c r="B756" s="30"/>
      <c r="C756" s="30"/>
      <c r="D756" s="1"/>
      <c r="E756" s="1"/>
      <c r="F756" s="19"/>
      <c r="G756" s="19"/>
      <c r="H756" s="19"/>
      <c r="I756" s="1"/>
      <c r="J756" s="1">
        <f t="shared" si="96"/>
        <v>0</v>
      </c>
      <c r="K756" s="19" t="str">
        <f t="shared" si="97"/>
        <v xml:space="preserve"> No Issue</v>
      </c>
      <c r="L756" s="1" t="str">
        <f t="shared" si="98"/>
        <v>No Issue</v>
      </c>
      <c r="M756" s="1" t="str">
        <f t="shared" si="99"/>
        <v>No Issue</v>
      </c>
      <c r="N756" s="1" t="str">
        <f t="shared" si="100"/>
        <v>No Issue</v>
      </c>
      <c r="O756" s="1" t="str">
        <f t="shared" si="101"/>
        <v>No Issue</v>
      </c>
      <c r="P756" s="1" t="str">
        <f t="shared" si="102"/>
        <v>NoIssue</v>
      </c>
    </row>
    <row r="757" spans="1:16" ht="22.5" customHeight="1">
      <c r="A757" s="20">
        <v>45</v>
      </c>
      <c r="B757" s="30"/>
      <c r="C757" s="30"/>
      <c r="D757" s="1"/>
      <c r="E757" s="1"/>
      <c r="F757" s="19"/>
      <c r="G757" s="19"/>
      <c r="H757" s="19"/>
      <c r="I757" s="1"/>
      <c r="J757" s="1">
        <f t="shared" si="96"/>
        <v>0</v>
      </c>
      <c r="K757" s="19" t="str">
        <f t="shared" si="97"/>
        <v xml:space="preserve"> No Issue</v>
      </c>
      <c r="L757" s="1" t="str">
        <f t="shared" si="98"/>
        <v>No Issue</v>
      </c>
      <c r="M757" s="1" t="str">
        <f t="shared" si="99"/>
        <v>No Issue</v>
      </c>
      <c r="N757" s="1" t="str">
        <f t="shared" si="100"/>
        <v>No Issue</v>
      </c>
      <c r="O757" s="1" t="str">
        <f t="shared" si="101"/>
        <v>No Issue</v>
      </c>
      <c r="P757" s="1" t="str">
        <f t="shared" si="102"/>
        <v>NoIssue</v>
      </c>
    </row>
    <row r="758" spans="1:16" ht="22.5" customHeight="1">
      <c r="A758" s="20">
        <v>46</v>
      </c>
      <c r="B758" s="30"/>
      <c r="C758" s="30"/>
      <c r="D758" s="1"/>
      <c r="E758" s="1"/>
      <c r="F758" s="19"/>
      <c r="G758" s="19"/>
      <c r="H758" s="19"/>
      <c r="I758" s="1"/>
      <c r="J758" s="1">
        <f t="shared" si="96"/>
        <v>0</v>
      </c>
      <c r="K758" s="19" t="str">
        <f t="shared" si="97"/>
        <v xml:space="preserve"> No Issue</v>
      </c>
      <c r="L758" s="1" t="str">
        <f t="shared" si="98"/>
        <v>No Issue</v>
      </c>
      <c r="M758" s="1" t="str">
        <f t="shared" si="99"/>
        <v>No Issue</v>
      </c>
      <c r="N758" s="1" t="str">
        <f t="shared" si="100"/>
        <v>No Issue</v>
      </c>
      <c r="O758" s="1" t="str">
        <f t="shared" si="101"/>
        <v>No Issue</v>
      </c>
      <c r="P758" s="1" t="str">
        <f t="shared" si="102"/>
        <v>NoIssue</v>
      </c>
    </row>
    <row r="759" spans="1:16" ht="22.5" customHeight="1">
      <c r="A759" s="20">
        <v>47</v>
      </c>
      <c r="B759" s="31"/>
      <c r="C759" s="32"/>
      <c r="D759" s="1"/>
      <c r="E759" s="1"/>
      <c r="F759" s="19"/>
      <c r="G759" s="19"/>
      <c r="H759" s="19"/>
      <c r="I759" s="1"/>
      <c r="J759" s="1">
        <f t="shared" si="96"/>
        <v>0</v>
      </c>
      <c r="K759" s="19" t="str">
        <f t="shared" si="97"/>
        <v xml:space="preserve"> No Issue</v>
      </c>
      <c r="L759" s="1" t="str">
        <f t="shared" si="98"/>
        <v>No Issue</v>
      </c>
      <c r="M759" s="1" t="str">
        <f t="shared" si="99"/>
        <v>No Issue</v>
      </c>
      <c r="N759" s="1" t="str">
        <f t="shared" si="100"/>
        <v>No Issue</v>
      </c>
      <c r="O759" s="1" t="str">
        <f t="shared" si="101"/>
        <v>No Issue</v>
      </c>
      <c r="P759" s="1" t="str">
        <f t="shared" si="102"/>
        <v>NoIssue</v>
      </c>
    </row>
    <row r="760" spans="1:16" ht="22.5" customHeight="1">
      <c r="A760" s="20">
        <v>48</v>
      </c>
      <c r="B760" s="31"/>
      <c r="C760" s="32"/>
      <c r="D760" s="1"/>
      <c r="E760" s="1"/>
      <c r="F760" s="19"/>
      <c r="G760" s="19"/>
      <c r="H760" s="19"/>
      <c r="I760" s="1"/>
      <c r="J760" s="1">
        <f t="shared" si="96"/>
        <v>0</v>
      </c>
      <c r="K760" s="19" t="str">
        <f t="shared" si="97"/>
        <v xml:space="preserve"> No Issue</v>
      </c>
      <c r="L760" s="1" t="str">
        <f t="shared" si="98"/>
        <v>No Issue</v>
      </c>
      <c r="M760" s="1" t="str">
        <f t="shared" si="99"/>
        <v>No Issue</v>
      </c>
      <c r="N760" s="1" t="str">
        <f t="shared" si="100"/>
        <v>No Issue</v>
      </c>
      <c r="O760" s="1" t="str">
        <f t="shared" si="101"/>
        <v>No Issue</v>
      </c>
      <c r="P760" s="1" t="str">
        <f t="shared" si="102"/>
        <v>NoIssue</v>
      </c>
    </row>
    <row r="761" spans="1:16" ht="22.5" customHeight="1">
      <c r="A761" s="20">
        <v>49</v>
      </c>
      <c r="B761" s="31"/>
      <c r="C761" s="32"/>
      <c r="D761" s="1"/>
      <c r="E761" s="1"/>
      <c r="F761" s="19"/>
      <c r="G761" s="19"/>
      <c r="H761" s="19"/>
      <c r="I761" s="1"/>
      <c r="J761" s="1">
        <f t="shared" si="96"/>
        <v>0</v>
      </c>
      <c r="K761" s="19" t="str">
        <f t="shared" si="97"/>
        <v xml:space="preserve"> No Issue</v>
      </c>
      <c r="L761" s="1" t="str">
        <f t="shared" si="98"/>
        <v>No Issue</v>
      </c>
      <c r="M761" s="1" t="str">
        <f t="shared" si="99"/>
        <v>No Issue</v>
      </c>
      <c r="N761" s="1" t="str">
        <f t="shared" si="100"/>
        <v>No Issue</v>
      </c>
      <c r="O761" s="1" t="str">
        <f t="shared" si="101"/>
        <v>No Issue</v>
      </c>
      <c r="P761" s="1" t="str">
        <f t="shared" si="102"/>
        <v>NoIssue</v>
      </c>
    </row>
    <row r="762" spans="1:16" ht="22.5" customHeight="1">
      <c r="A762" s="20">
        <v>50</v>
      </c>
      <c r="B762" s="31"/>
      <c r="C762" s="32"/>
      <c r="D762" s="1"/>
      <c r="E762" s="1"/>
      <c r="F762" s="19"/>
      <c r="G762" s="19"/>
      <c r="H762" s="19"/>
      <c r="I762" s="1"/>
      <c r="J762" s="1">
        <f t="shared" si="96"/>
        <v>0</v>
      </c>
      <c r="K762" s="19" t="str">
        <f t="shared" si="97"/>
        <v xml:space="preserve"> No Issue</v>
      </c>
      <c r="L762" s="1" t="str">
        <f t="shared" si="98"/>
        <v>No Issue</v>
      </c>
      <c r="M762" s="1" t="str">
        <f t="shared" si="99"/>
        <v>No Issue</v>
      </c>
      <c r="N762" s="1" t="str">
        <f t="shared" si="100"/>
        <v>No Issue</v>
      </c>
      <c r="O762" s="1" t="str">
        <f t="shared" si="101"/>
        <v>No Issue</v>
      </c>
      <c r="P762" s="1" t="str">
        <f t="shared" si="102"/>
        <v>NoIssue</v>
      </c>
    </row>
    <row r="763" spans="1:16" ht="22.5" customHeight="1">
      <c r="A763" s="20">
        <v>51</v>
      </c>
      <c r="B763" s="31"/>
      <c r="C763" s="32"/>
      <c r="D763" s="1"/>
      <c r="E763" s="1"/>
      <c r="F763" s="19"/>
      <c r="G763" s="19"/>
      <c r="H763" s="19"/>
      <c r="I763" s="1"/>
      <c r="J763" s="1">
        <f t="shared" si="96"/>
        <v>0</v>
      </c>
      <c r="K763" s="19" t="str">
        <f t="shared" si="97"/>
        <v xml:space="preserve"> No Issue</v>
      </c>
      <c r="L763" s="1" t="str">
        <f t="shared" si="98"/>
        <v>No Issue</v>
      </c>
      <c r="M763" s="1" t="str">
        <f t="shared" si="99"/>
        <v>No Issue</v>
      </c>
      <c r="N763" s="1" t="str">
        <f t="shared" si="100"/>
        <v>No Issue</v>
      </c>
      <c r="O763" s="1" t="str">
        <f t="shared" si="101"/>
        <v>No Issue</v>
      </c>
      <c r="P763" s="1" t="str">
        <f t="shared" si="102"/>
        <v>NoIssue</v>
      </c>
    </row>
    <row r="764" spans="1:16" ht="22.5" customHeight="1">
      <c r="A764" s="20">
        <v>52</v>
      </c>
      <c r="B764" s="31"/>
      <c r="C764" s="32"/>
      <c r="D764" s="1"/>
      <c r="E764" s="1"/>
      <c r="F764" s="19"/>
      <c r="G764" s="19"/>
      <c r="H764" s="19"/>
      <c r="I764" s="1"/>
      <c r="J764" s="1">
        <f t="shared" si="96"/>
        <v>0</v>
      </c>
      <c r="K764" s="19" t="str">
        <f t="shared" si="97"/>
        <v xml:space="preserve"> No Issue</v>
      </c>
      <c r="L764" s="1" t="str">
        <f t="shared" si="98"/>
        <v>No Issue</v>
      </c>
      <c r="M764" s="1" t="str">
        <f t="shared" si="99"/>
        <v>No Issue</v>
      </c>
      <c r="N764" s="1" t="str">
        <f t="shared" si="100"/>
        <v>No Issue</v>
      </c>
      <c r="O764" s="1" t="str">
        <f t="shared" si="101"/>
        <v>No Issue</v>
      </c>
      <c r="P764" s="1" t="str">
        <f t="shared" si="102"/>
        <v>NoIssue</v>
      </c>
    </row>
    <row r="765" spans="1:16" ht="22.5" customHeight="1">
      <c r="A765" s="20">
        <v>53</v>
      </c>
      <c r="B765" s="31"/>
      <c r="C765" s="32"/>
      <c r="D765" s="1"/>
      <c r="E765" s="1"/>
      <c r="F765" s="19"/>
      <c r="G765" s="19"/>
      <c r="H765" s="19"/>
      <c r="I765" s="1"/>
      <c r="J765" s="1">
        <f t="shared" si="96"/>
        <v>0</v>
      </c>
      <c r="K765" s="19" t="str">
        <f t="shared" si="97"/>
        <v xml:space="preserve"> No Issue</v>
      </c>
      <c r="L765" s="1" t="str">
        <f t="shared" si="98"/>
        <v>No Issue</v>
      </c>
      <c r="M765" s="1" t="str">
        <f t="shared" si="99"/>
        <v>No Issue</v>
      </c>
      <c r="N765" s="1" t="str">
        <f t="shared" si="100"/>
        <v>No Issue</v>
      </c>
      <c r="O765" s="1" t="str">
        <f t="shared" si="101"/>
        <v>No Issue</v>
      </c>
      <c r="P765" s="1" t="str">
        <f t="shared" si="102"/>
        <v>NoIssue</v>
      </c>
    </row>
    <row r="766" spans="1:16" ht="22.5" customHeight="1">
      <c r="A766" s="20">
        <v>54</v>
      </c>
      <c r="B766" s="30"/>
      <c r="C766" s="30"/>
      <c r="D766" s="1"/>
      <c r="E766" s="1"/>
      <c r="F766" s="19"/>
      <c r="G766" s="19"/>
      <c r="H766" s="19"/>
      <c r="I766" s="1"/>
      <c r="J766" s="1">
        <f t="shared" si="96"/>
        <v>0</v>
      </c>
      <c r="K766" s="19" t="str">
        <f t="shared" si="97"/>
        <v xml:space="preserve"> No Issue</v>
      </c>
      <c r="L766" s="1" t="str">
        <f t="shared" si="98"/>
        <v>No Issue</v>
      </c>
      <c r="M766" s="1" t="str">
        <f t="shared" si="99"/>
        <v>No Issue</v>
      </c>
      <c r="N766" s="1" t="str">
        <f t="shared" si="100"/>
        <v>No Issue</v>
      </c>
      <c r="O766" s="1" t="str">
        <f t="shared" si="101"/>
        <v>No Issue</v>
      </c>
      <c r="P766" s="1" t="str">
        <f t="shared" si="102"/>
        <v>NoIssue</v>
      </c>
    </row>
    <row r="767" spans="1:16" ht="22.5" customHeight="1">
      <c r="A767" s="20">
        <v>55</v>
      </c>
      <c r="B767" s="31"/>
      <c r="C767" s="32"/>
      <c r="D767" s="1"/>
      <c r="E767" s="1"/>
      <c r="F767" s="19"/>
      <c r="G767" s="19"/>
      <c r="H767" s="19"/>
      <c r="I767" s="1"/>
      <c r="J767" s="1">
        <f t="shared" si="96"/>
        <v>0</v>
      </c>
      <c r="K767" s="19" t="str">
        <f t="shared" si="97"/>
        <v xml:space="preserve"> No Issue</v>
      </c>
      <c r="L767" s="1" t="str">
        <f t="shared" si="98"/>
        <v>No Issue</v>
      </c>
      <c r="M767" s="1" t="str">
        <f t="shared" si="99"/>
        <v>No Issue</v>
      </c>
      <c r="N767" s="1" t="str">
        <f t="shared" si="100"/>
        <v>No Issue</v>
      </c>
      <c r="O767" s="1" t="str">
        <f t="shared" si="101"/>
        <v>No Issue</v>
      </c>
      <c r="P767" s="1" t="str">
        <f t="shared" si="102"/>
        <v>NoIssue</v>
      </c>
    </row>
    <row r="768" spans="1:16" ht="22.5" customHeight="1">
      <c r="A768" s="20">
        <v>56</v>
      </c>
      <c r="B768" s="31"/>
      <c r="C768" s="32"/>
      <c r="D768" s="1"/>
      <c r="E768" s="1"/>
      <c r="F768" s="19"/>
      <c r="G768" s="19"/>
      <c r="H768" s="19"/>
      <c r="I768" s="1"/>
      <c r="J768" s="1">
        <f t="shared" si="96"/>
        <v>0</v>
      </c>
      <c r="K768" s="19" t="str">
        <f t="shared" si="97"/>
        <v xml:space="preserve"> No Issue</v>
      </c>
      <c r="L768" s="1" t="str">
        <f t="shared" si="98"/>
        <v>No Issue</v>
      </c>
      <c r="M768" s="1" t="str">
        <f t="shared" si="99"/>
        <v>No Issue</v>
      </c>
      <c r="N768" s="1" t="str">
        <f t="shared" si="100"/>
        <v>No Issue</v>
      </c>
      <c r="O768" s="1" t="str">
        <f t="shared" si="101"/>
        <v>No Issue</v>
      </c>
      <c r="P768" s="1" t="str">
        <f t="shared" si="102"/>
        <v>NoIssue</v>
      </c>
    </row>
    <row r="769" spans="1:16" ht="22.5" customHeight="1">
      <c r="A769" s="20"/>
      <c r="B769" s="1" t="s">
        <v>62</v>
      </c>
      <c r="C769" s="31"/>
      <c r="D769" s="1">
        <f t="shared" ref="D769:I769" si="103">SUMPRODUCT(D713:D768,$C713:$C768)</f>
        <v>0</v>
      </c>
      <c r="E769" s="1">
        <f t="shared" si="103"/>
        <v>0</v>
      </c>
      <c r="F769" s="1">
        <f t="shared" si="103"/>
        <v>0</v>
      </c>
      <c r="G769" s="1">
        <f t="shared" si="103"/>
        <v>0</v>
      </c>
      <c r="H769" s="1">
        <f t="shared" si="103"/>
        <v>0</v>
      </c>
      <c r="I769" s="1">
        <f t="shared" si="103"/>
        <v>0</v>
      </c>
      <c r="J769" s="1">
        <f t="shared" si="96"/>
        <v>0</v>
      </c>
      <c r="K769" s="19" t="str">
        <f t="shared" si="97"/>
        <v xml:space="preserve"> No Issue</v>
      </c>
      <c r="L769" s="1" t="str">
        <f t="shared" si="98"/>
        <v>No Issue</v>
      </c>
      <c r="M769" s="1" t="str">
        <f t="shared" si="99"/>
        <v>No Issue</v>
      </c>
      <c r="N769" s="1" t="str">
        <f t="shared" si="100"/>
        <v>No Issue</v>
      </c>
      <c r="O769" s="1" t="str">
        <f t="shared" si="101"/>
        <v>No Issue</v>
      </c>
      <c r="P769" s="1" t="str">
        <f t="shared" si="102"/>
        <v>NoIssue</v>
      </c>
    </row>
    <row r="770" spans="1:16" ht="22.5" customHeight="1">
      <c r="A770" s="8"/>
      <c r="B770" s="9" t="s">
        <v>3</v>
      </c>
      <c r="C770" s="10"/>
      <c r="D770" s="11"/>
      <c r="E770" s="9"/>
      <c r="F770" s="12"/>
      <c r="G770" s="46"/>
      <c r="H770" s="47"/>
      <c r="I770" s="12"/>
      <c r="J770" s="13"/>
      <c r="K770" s="48" t="s">
        <v>4</v>
      </c>
      <c r="L770" s="49"/>
      <c r="M770" s="49"/>
      <c r="N770" s="49"/>
      <c r="O770" s="49"/>
      <c r="P770" s="50"/>
    </row>
    <row r="771" spans="1:16" ht="22.5" customHeight="1">
      <c r="A771" s="35" t="s">
        <v>5</v>
      </c>
      <c r="B771" s="19" t="s">
        <v>6</v>
      </c>
      <c r="C771" s="19" t="s">
        <v>7</v>
      </c>
      <c r="D771" s="18" t="s">
        <v>8</v>
      </c>
      <c r="E771" s="18" t="s">
        <v>9</v>
      </c>
      <c r="F771" s="18" t="s">
        <v>10</v>
      </c>
      <c r="G771" s="18" t="s">
        <v>11</v>
      </c>
      <c r="H771" s="18" t="s">
        <v>12</v>
      </c>
      <c r="I771" s="18" t="s">
        <v>13</v>
      </c>
      <c r="J771" s="18" t="s">
        <v>14</v>
      </c>
      <c r="K771" s="19" t="s">
        <v>15</v>
      </c>
      <c r="L771" s="19" t="s">
        <v>16</v>
      </c>
      <c r="M771" s="19" t="s">
        <v>17</v>
      </c>
      <c r="N771" s="19" t="s">
        <v>18</v>
      </c>
      <c r="O771" s="19" t="s">
        <v>19</v>
      </c>
      <c r="P771" s="19" t="s">
        <v>20</v>
      </c>
    </row>
    <row r="772" spans="1:16" ht="22.5" customHeight="1">
      <c r="A772" s="20">
        <v>1</v>
      </c>
      <c r="B772" s="21" t="s">
        <v>21</v>
      </c>
      <c r="C772" s="22">
        <v>192.17</v>
      </c>
      <c r="D772" s="1"/>
      <c r="E772" s="1"/>
      <c r="F772" s="1"/>
      <c r="G772" s="1"/>
      <c r="H772" s="1"/>
      <c r="I772" s="1"/>
      <c r="J772" s="1">
        <f t="shared" ref="J772:J828" si="104">D772+E772-F772-G772+H772</f>
        <v>0</v>
      </c>
      <c r="K772" s="19" t="str">
        <f t="shared" ref="K772:K828" si="105">IF(I772&lt;&gt;(D772+E772-F772-G772+H772),"Closing stock Not Correct-Problem"," No Issue")</f>
        <v xml:space="preserve"> No Issue</v>
      </c>
      <c r="L772" s="1" t="str">
        <f t="shared" ref="L772:L828" si="106">IF((D772+E772)&lt;F772,"High Sale and Less Stock-Problem","No Issue")</f>
        <v>No Issue</v>
      </c>
      <c r="M772" s="1" t="str">
        <f t="shared" ref="M772:M828" si="107">IF(AND((D772+E772+I772)=0,F772&gt;0),"No Stock Sale Present Problem","No Issue")</f>
        <v>No Issue</v>
      </c>
      <c r="N772" s="1" t="str">
        <f t="shared" ref="N772:N828" si="108">IF(AND(SUM(D772:H772)=0,I772&gt;0),"Only Closing Entered Other Parameters No Entired Problem","No Issue")</f>
        <v>No Issue</v>
      </c>
      <c r="O772" s="1" t="str">
        <f t="shared" ref="O772:O828" si="109">IF(F772&gt;5000,"Check Once Sales quantity or Value Problem","No Issue")</f>
        <v>No Issue</v>
      </c>
      <c r="P772" s="1" t="str">
        <f t="shared" ref="P772:P828" si="110">IF(I772&gt;5000,"Check Once Closing quantity or Value Problem","NoIssue")</f>
        <v>NoIssue</v>
      </c>
    </row>
    <row r="773" spans="1:16" ht="22.5" customHeight="1">
      <c r="A773" s="20">
        <v>2</v>
      </c>
      <c r="B773" s="21" t="s">
        <v>22</v>
      </c>
      <c r="C773" s="22">
        <v>9.26</v>
      </c>
      <c r="D773" s="1"/>
      <c r="E773" s="1"/>
      <c r="F773" s="1"/>
      <c r="G773" s="1"/>
      <c r="H773" s="1"/>
      <c r="I773" s="1"/>
      <c r="J773" s="1">
        <f t="shared" si="104"/>
        <v>0</v>
      </c>
      <c r="K773" s="19" t="str">
        <f t="shared" si="105"/>
        <v xml:space="preserve"> No Issue</v>
      </c>
      <c r="L773" s="1" t="str">
        <f t="shared" si="106"/>
        <v>No Issue</v>
      </c>
      <c r="M773" s="1" t="str">
        <f t="shared" si="107"/>
        <v>No Issue</v>
      </c>
      <c r="N773" s="1" t="str">
        <f t="shared" si="108"/>
        <v>No Issue</v>
      </c>
      <c r="O773" s="1" t="str">
        <f t="shared" si="109"/>
        <v>No Issue</v>
      </c>
      <c r="P773" s="1" t="str">
        <f t="shared" si="110"/>
        <v>NoIssue</v>
      </c>
    </row>
    <row r="774" spans="1:16" ht="22.5" customHeight="1">
      <c r="A774" s="20">
        <v>3</v>
      </c>
      <c r="B774" s="21" t="s">
        <v>23</v>
      </c>
      <c r="C774" s="22">
        <v>87.79</v>
      </c>
      <c r="D774" s="1"/>
      <c r="E774" s="1"/>
      <c r="F774" s="1"/>
      <c r="G774" s="1"/>
      <c r="H774" s="1"/>
      <c r="I774" s="1"/>
      <c r="J774" s="1">
        <f t="shared" si="104"/>
        <v>0</v>
      </c>
      <c r="K774" s="19" t="str">
        <f t="shared" si="105"/>
        <v xml:space="preserve"> No Issue</v>
      </c>
      <c r="L774" s="1" t="str">
        <f t="shared" si="106"/>
        <v>No Issue</v>
      </c>
      <c r="M774" s="1" t="str">
        <f t="shared" si="107"/>
        <v>No Issue</v>
      </c>
      <c r="N774" s="1" t="str">
        <f t="shared" si="108"/>
        <v>No Issue</v>
      </c>
      <c r="O774" s="1" t="str">
        <f t="shared" si="109"/>
        <v>No Issue</v>
      </c>
      <c r="P774" s="1" t="str">
        <f t="shared" si="110"/>
        <v>NoIssue</v>
      </c>
    </row>
    <row r="775" spans="1:16" ht="22.5" customHeight="1">
      <c r="A775" s="20">
        <v>4</v>
      </c>
      <c r="B775" s="21" t="s">
        <v>24</v>
      </c>
      <c r="C775" s="22">
        <v>55.55</v>
      </c>
      <c r="D775" s="1"/>
      <c r="E775" s="1"/>
      <c r="F775" s="1"/>
      <c r="G775" s="1"/>
      <c r="H775" s="1"/>
      <c r="I775" s="1"/>
      <c r="J775" s="1">
        <f t="shared" si="104"/>
        <v>0</v>
      </c>
      <c r="K775" s="19" t="str">
        <f t="shared" si="105"/>
        <v xml:space="preserve"> No Issue</v>
      </c>
      <c r="L775" s="1" t="str">
        <f t="shared" si="106"/>
        <v>No Issue</v>
      </c>
      <c r="M775" s="1" t="str">
        <f t="shared" si="107"/>
        <v>No Issue</v>
      </c>
      <c r="N775" s="1" t="str">
        <f t="shared" si="108"/>
        <v>No Issue</v>
      </c>
      <c r="O775" s="1" t="str">
        <f t="shared" si="109"/>
        <v>No Issue</v>
      </c>
      <c r="P775" s="1" t="str">
        <f t="shared" si="110"/>
        <v>NoIssue</v>
      </c>
    </row>
    <row r="776" spans="1:16" ht="22.5" customHeight="1">
      <c r="A776" s="20">
        <v>5</v>
      </c>
      <c r="B776" s="21" t="s">
        <v>25</v>
      </c>
      <c r="C776" s="22">
        <v>70.010000000000005</v>
      </c>
      <c r="D776" s="1"/>
      <c r="E776" s="1"/>
      <c r="F776" s="1"/>
      <c r="G776" s="1"/>
      <c r="H776" s="1"/>
      <c r="I776" s="1"/>
      <c r="J776" s="1">
        <f t="shared" si="104"/>
        <v>0</v>
      </c>
      <c r="K776" s="19" t="str">
        <f t="shared" si="105"/>
        <v xml:space="preserve"> No Issue</v>
      </c>
      <c r="L776" s="1" t="str">
        <f t="shared" si="106"/>
        <v>No Issue</v>
      </c>
      <c r="M776" s="1" t="str">
        <f t="shared" si="107"/>
        <v>No Issue</v>
      </c>
      <c r="N776" s="1" t="str">
        <f t="shared" si="108"/>
        <v>No Issue</v>
      </c>
      <c r="O776" s="1" t="str">
        <f t="shared" si="109"/>
        <v>No Issue</v>
      </c>
      <c r="P776" s="1" t="str">
        <f t="shared" si="110"/>
        <v>NoIssue</v>
      </c>
    </row>
    <row r="777" spans="1:16" ht="22.5" customHeight="1">
      <c r="A777" s="20">
        <v>6</v>
      </c>
      <c r="B777" s="25" t="s">
        <v>26</v>
      </c>
      <c r="C777" s="22">
        <v>73.929999999999993</v>
      </c>
      <c r="D777" s="1"/>
      <c r="E777" s="1"/>
      <c r="F777" s="1"/>
      <c r="G777" s="1"/>
      <c r="H777" s="1"/>
      <c r="I777" s="1"/>
      <c r="J777" s="1">
        <f t="shared" si="104"/>
        <v>0</v>
      </c>
      <c r="K777" s="19" t="str">
        <f t="shared" si="105"/>
        <v xml:space="preserve"> No Issue</v>
      </c>
      <c r="L777" s="1" t="str">
        <f t="shared" si="106"/>
        <v>No Issue</v>
      </c>
      <c r="M777" s="1" t="str">
        <f t="shared" si="107"/>
        <v>No Issue</v>
      </c>
      <c r="N777" s="1" t="str">
        <f t="shared" si="108"/>
        <v>No Issue</v>
      </c>
      <c r="O777" s="1" t="str">
        <f t="shared" si="109"/>
        <v>No Issue</v>
      </c>
      <c r="P777" s="1" t="str">
        <f t="shared" si="110"/>
        <v>NoIssue</v>
      </c>
    </row>
    <row r="778" spans="1:16" ht="22.5" customHeight="1">
      <c r="A778" s="20">
        <v>7</v>
      </c>
      <c r="B778" s="21" t="s">
        <v>27</v>
      </c>
      <c r="C778" s="26">
        <v>13.91</v>
      </c>
      <c r="D778" s="1"/>
      <c r="E778" s="1"/>
      <c r="F778" s="1"/>
      <c r="G778" s="1"/>
      <c r="H778" s="1"/>
      <c r="I778" s="1"/>
      <c r="J778" s="1">
        <f t="shared" si="104"/>
        <v>0</v>
      </c>
      <c r="K778" s="19" t="str">
        <f t="shared" si="105"/>
        <v xml:space="preserve"> No Issue</v>
      </c>
      <c r="L778" s="1" t="str">
        <f t="shared" si="106"/>
        <v>No Issue</v>
      </c>
      <c r="M778" s="1" t="str">
        <f t="shared" si="107"/>
        <v>No Issue</v>
      </c>
      <c r="N778" s="1" t="str">
        <f t="shared" si="108"/>
        <v>No Issue</v>
      </c>
      <c r="O778" s="1" t="str">
        <f t="shared" si="109"/>
        <v>No Issue</v>
      </c>
      <c r="P778" s="1" t="str">
        <f t="shared" si="110"/>
        <v>NoIssue</v>
      </c>
    </row>
    <row r="779" spans="1:16" ht="22.5" customHeight="1">
      <c r="A779" s="20">
        <v>8</v>
      </c>
      <c r="B779" s="21" t="s">
        <v>28</v>
      </c>
      <c r="C779" s="26">
        <v>19.5</v>
      </c>
      <c r="D779" s="1"/>
      <c r="E779" s="1"/>
      <c r="F779" s="1"/>
      <c r="G779" s="1"/>
      <c r="H779" s="1"/>
      <c r="I779" s="1"/>
      <c r="J779" s="1">
        <f t="shared" si="104"/>
        <v>0</v>
      </c>
      <c r="K779" s="19" t="str">
        <f t="shared" si="105"/>
        <v xml:space="preserve"> No Issue</v>
      </c>
      <c r="L779" s="1" t="str">
        <f t="shared" si="106"/>
        <v>No Issue</v>
      </c>
      <c r="M779" s="1" t="str">
        <f t="shared" si="107"/>
        <v>No Issue</v>
      </c>
      <c r="N779" s="1" t="str">
        <f t="shared" si="108"/>
        <v>No Issue</v>
      </c>
      <c r="O779" s="1" t="str">
        <f t="shared" si="109"/>
        <v>No Issue</v>
      </c>
      <c r="P779" s="1" t="str">
        <f t="shared" si="110"/>
        <v>NoIssue</v>
      </c>
    </row>
    <row r="780" spans="1:16" ht="22.5" customHeight="1">
      <c r="A780" s="20">
        <v>9</v>
      </c>
      <c r="B780" s="21" t="s">
        <v>29</v>
      </c>
      <c r="C780" s="26">
        <v>28.83</v>
      </c>
      <c r="D780" s="1"/>
      <c r="E780" s="1"/>
      <c r="F780" s="1"/>
      <c r="G780" s="1"/>
      <c r="H780" s="1"/>
      <c r="I780" s="1"/>
      <c r="J780" s="1">
        <f t="shared" si="104"/>
        <v>0</v>
      </c>
      <c r="K780" s="19" t="str">
        <f t="shared" si="105"/>
        <v xml:space="preserve"> No Issue</v>
      </c>
      <c r="L780" s="1" t="str">
        <f t="shared" si="106"/>
        <v>No Issue</v>
      </c>
      <c r="M780" s="1" t="str">
        <f t="shared" si="107"/>
        <v>No Issue</v>
      </c>
      <c r="N780" s="1" t="str">
        <f t="shared" si="108"/>
        <v>No Issue</v>
      </c>
      <c r="O780" s="1" t="str">
        <f t="shared" si="109"/>
        <v>No Issue</v>
      </c>
      <c r="P780" s="1" t="str">
        <f t="shared" si="110"/>
        <v>NoIssue</v>
      </c>
    </row>
    <row r="781" spans="1:16" ht="22.5" customHeight="1">
      <c r="A781" s="20">
        <v>10</v>
      </c>
      <c r="B781" s="21" t="s">
        <v>30</v>
      </c>
      <c r="C781" s="26">
        <v>8.51</v>
      </c>
      <c r="D781" s="1"/>
      <c r="E781" s="1"/>
      <c r="F781" s="1"/>
      <c r="G781" s="1"/>
      <c r="H781" s="1"/>
      <c r="I781" s="1"/>
      <c r="J781" s="1">
        <f t="shared" si="104"/>
        <v>0</v>
      </c>
      <c r="K781" s="19" t="str">
        <f t="shared" si="105"/>
        <v xml:space="preserve"> No Issue</v>
      </c>
      <c r="L781" s="1" t="str">
        <f t="shared" si="106"/>
        <v>No Issue</v>
      </c>
      <c r="M781" s="1" t="str">
        <f t="shared" si="107"/>
        <v>No Issue</v>
      </c>
      <c r="N781" s="1" t="str">
        <f t="shared" si="108"/>
        <v>No Issue</v>
      </c>
      <c r="O781" s="1" t="str">
        <f t="shared" si="109"/>
        <v>No Issue</v>
      </c>
      <c r="P781" s="1" t="str">
        <f t="shared" si="110"/>
        <v>NoIssue</v>
      </c>
    </row>
    <row r="782" spans="1:16" ht="22.5" customHeight="1">
      <c r="A782" s="20">
        <v>11</v>
      </c>
      <c r="B782" s="21" t="s">
        <v>31</v>
      </c>
      <c r="C782" s="26">
        <v>102.17</v>
      </c>
      <c r="D782" s="1"/>
      <c r="E782" s="1"/>
      <c r="F782" s="1"/>
      <c r="G782" s="1"/>
      <c r="H782" s="1"/>
      <c r="I782" s="1"/>
      <c r="J782" s="1">
        <f t="shared" si="104"/>
        <v>0</v>
      </c>
      <c r="K782" s="19" t="str">
        <f t="shared" si="105"/>
        <v xml:space="preserve"> No Issue</v>
      </c>
      <c r="L782" s="1" t="str">
        <f t="shared" si="106"/>
        <v>No Issue</v>
      </c>
      <c r="M782" s="1" t="str">
        <f t="shared" si="107"/>
        <v>No Issue</v>
      </c>
      <c r="N782" s="1" t="str">
        <f t="shared" si="108"/>
        <v>No Issue</v>
      </c>
      <c r="O782" s="1" t="str">
        <f t="shared" si="109"/>
        <v>No Issue</v>
      </c>
      <c r="P782" s="1" t="str">
        <f t="shared" si="110"/>
        <v>NoIssue</v>
      </c>
    </row>
    <row r="783" spans="1:16" ht="22.5" customHeight="1">
      <c r="A783" s="20">
        <v>12</v>
      </c>
      <c r="B783" s="21" t="s">
        <v>32</v>
      </c>
      <c r="C783" s="26">
        <v>59.93</v>
      </c>
      <c r="D783" s="1"/>
      <c r="E783" s="1"/>
      <c r="F783" s="1"/>
      <c r="G783" s="1"/>
      <c r="H783" s="1"/>
      <c r="I783" s="1"/>
      <c r="J783" s="1">
        <f t="shared" si="104"/>
        <v>0</v>
      </c>
      <c r="K783" s="19" t="str">
        <f t="shared" si="105"/>
        <v xml:space="preserve"> No Issue</v>
      </c>
      <c r="L783" s="1" t="str">
        <f t="shared" si="106"/>
        <v>No Issue</v>
      </c>
      <c r="M783" s="1" t="str">
        <f t="shared" si="107"/>
        <v>No Issue</v>
      </c>
      <c r="N783" s="1" t="str">
        <f t="shared" si="108"/>
        <v>No Issue</v>
      </c>
      <c r="O783" s="1" t="str">
        <f t="shared" si="109"/>
        <v>No Issue</v>
      </c>
      <c r="P783" s="1" t="str">
        <f t="shared" si="110"/>
        <v>NoIssue</v>
      </c>
    </row>
    <row r="784" spans="1:16" ht="22.5" customHeight="1">
      <c r="A784" s="20">
        <v>13</v>
      </c>
      <c r="B784" s="21" t="s">
        <v>33</v>
      </c>
      <c r="C784" s="26">
        <v>118</v>
      </c>
      <c r="D784" s="1"/>
      <c r="E784" s="1"/>
      <c r="F784" s="1"/>
      <c r="G784" s="1"/>
      <c r="H784" s="1"/>
      <c r="I784" s="1"/>
      <c r="J784" s="1">
        <f t="shared" si="104"/>
        <v>0</v>
      </c>
      <c r="K784" s="19" t="str">
        <f t="shared" si="105"/>
        <v xml:space="preserve"> No Issue</v>
      </c>
      <c r="L784" s="1" t="str">
        <f t="shared" si="106"/>
        <v>No Issue</v>
      </c>
      <c r="M784" s="1" t="str">
        <f t="shared" si="107"/>
        <v>No Issue</v>
      </c>
      <c r="N784" s="1" t="str">
        <f t="shared" si="108"/>
        <v>No Issue</v>
      </c>
      <c r="O784" s="1" t="str">
        <f t="shared" si="109"/>
        <v>No Issue</v>
      </c>
      <c r="P784" s="1" t="str">
        <f t="shared" si="110"/>
        <v>NoIssue</v>
      </c>
    </row>
    <row r="785" spans="1:16" ht="22.5" customHeight="1">
      <c r="A785" s="20">
        <v>14</v>
      </c>
      <c r="B785" s="21" t="s">
        <v>34</v>
      </c>
      <c r="C785" s="26">
        <v>52.83</v>
      </c>
      <c r="D785" s="1"/>
      <c r="E785" s="1"/>
      <c r="F785" s="1"/>
      <c r="G785" s="1"/>
      <c r="H785" s="1"/>
      <c r="I785" s="1"/>
      <c r="J785" s="1">
        <f t="shared" si="104"/>
        <v>0</v>
      </c>
      <c r="K785" s="19" t="str">
        <f t="shared" si="105"/>
        <v xml:space="preserve"> No Issue</v>
      </c>
      <c r="L785" s="1" t="str">
        <f t="shared" si="106"/>
        <v>No Issue</v>
      </c>
      <c r="M785" s="1" t="str">
        <f t="shared" si="107"/>
        <v>No Issue</v>
      </c>
      <c r="N785" s="1" t="str">
        <f t="shared" si="108"/>
        <v>No Issue</v>
      </c>
      <c r="O785" s="1" t="str">
        <f t="shared" si="109"/>
        <v>No Issue</v>
      </c>
      <c r="P785" s="1" t="str">
        <f t="shared" si="110"/>
        <v>NoIssue</v>
      </c>
    </row>
    <row r="786" spans="1:16" ht="22.5" customHeight="1">
      <c r="A786" s="20">
        <v>15</v>
      </c>
      <c r="B786" s="21" t="s">
        <v>35</v>
      </c>
      <c r="C786" s="26">
        <v>93.2</v>
      </c>
      <c r="D786" s="1"/>
      <c r="E786" s="1"/>
      <c r="F786" s="1"/>
      <c r="G786" s="1"/>
      <c r="H786" s="1"/>
      <c r="I786" s="1"/>
      <c r="J786" s="1">
        <f t="shared" si="104"/>
        <v>0</v>
      </c>
      <c r="K786" s="19" t="str">
        <f t="shared" si="105"/>
        <v xml:space="preserve"> No Issue</v>
      </c>
      <c r="L786" s="1" t="str">
        <f t="shared" si="106"/>
        <v>No Issue</v>
      </c>
      <c r="M786" s="1" t="str">
        <f t="shared" si="107"/>
        <v>No Issue</v>
      </c>
      <c r="N786" s="1" t="str">
        <f t="shared" si="108"/>
        <v>No Issue</v>
      </c>
      <c r="O786" s="1" t="str">
        <f t="shared" si="109"/>
        <v>No Issue</v>
      </c>
      <c r="P786" s="1" t="str">
        <f t="shared" si="110"/>
        <v>NoIssue</v>
      </c>
    </row>
    <row r="787" spans="1:16" ht="22.5" customHeight="1">
      <c r="A787" s="20">
        <v>16</v>
      </c>
      <c r="B787" s="21" t="s">
        <v>36</v>
      </c>
      <c r="C787" s="26">
        <v>61.02</v>
      </c>
      <c r="D787" s="1"/>
      <c r="E787" s="1"/>
      <c r="F787" s="1"/>
      <c r="G787" s="1"/>
      <c r="H787" s="1"/>
      <c r="I787" s="1"/>
      <c r="J787" s="1">
        <f t="shared" si="104"/>
        <v>0</v>
      </c>
      <c r="K787" s="19" t="str">
        <f t="shared" si="105"/>
        <v xml:space="preserve"> No Issue</v>
      </c>
      <c r="L787" s="1" t="str">
        <f t="shared" si="106"/>
        <v>No Issue</v>
      </c>
      <c r="M787" s="1" t="str">
        <f t="shared" si="107"/>
        <v>No Issue</v>
      </c>
      <c r="N787" s="1" t="str">
        <f t="shared" si="108"/>
        <v>No Issue</v>
      </c>
      <c r="O787" s="1" t="str">
        <f t="shared" si="109"/>
        <v>No Issue</v>
      </c>
      <c r="P787" s="1" t="str">
        <f t="shared" si="110"/>
        <v>NoIssue</v>
      </c>
    </row>
    <row r="788" spans="1:16" ht="22.5" customHeight="1">
      <c r="A788" s="20">
        <v>17</v>
      </c>
      <c r="B788" s="21" t="s">
        <v>37</v>
      </c>
      <c r="C788" s="26">
        <v>36.619999999999997</v>
      </c>
      <c r="D788" s="1"/>
      <c r="E788" s="1"/>
      <c r="F788" s="1"/>
      <c r="G788" s="1"/>
      <c r="H788" s="1"/>
      <c r="I788" s="1"/>
      <c r="J788" s="1">
        <f t="shared" si="104"/>
        <v>0</v>
      </c>
      <c r="K788" s="19" t="str">
        <f t="shared" si="105"/>
        <v xml:space="preserve"> No Issue</v>
      </c>
      <c r="L788" s="1" t="str">
        <f t="shared" si="106"/>
        <v>No Issue</v>
      </c>
      <c r="M788" s="1" t="str">
        <f t="shared" si="107"/>
        <v>No Issue</v>
      </c>
      <c r="N788" s="1" t="str">
        <f t="shared" si="108"/>
        <v>No Issue</v>
      </c>
      <c r="O788" s="1" t="str">
        <f t="shared" si="109"/>
        <v>No Issue</v>
      </c>
      <c r="P788" s="1" t="str">
        <f t="shared" si="110"/>
        <v>NoIssue</v>
      </c>
    </row>
    <row r="789" spans="1:16" ht="22.5" customHeight="1">
      <c r="A789" s="20">
        <v>18</v>
      </c>
      <c r="B789" s="21" t="s">
        <v>38</v>
      </c>
      <c r="C789" s="26">
        <v>80.36</v>
      </c>
      <c r="D789" s="1"/>
      <c r="E789" s="1"/>
      <c r="F789" s="1"/>
      <c r="G789" s="1"/>
      <c r="H789" s="1"/>
      <c r="I789" s="1"/>
      <c r="J789" s="1">
        <f t="shared" si="104"/>
        <v>0</v>
      </c>
      <c r="K789" s="19" t="str">
        <f t="shared" si="105"/>
        <v xml:space="preserve"> No Issue</v>
      </c>
      <c r="L789" s="1" t="str">
        <f t="shared" si="106"/>
        <v>No Issue</v>
      </c>
      <c r="M789" s="1" t="str">
        <f t="shared" si="107"/>
        <v>No Issue</v>
      </c>
      <c r="N789" s="1" t="str">
        <f t="shared" si="108"/>
        <v>No Issue</v>
      </c>
      <c r="O789" s="1" t="str">
        <f t="shared" si="109"/>
        <v>No Issue</v>
      </c>
      <c r="P789" s="1" t="str">
        <f t="shared" si="110"/>
        <v>NoIssue</v>
      </c>
    </row>
    <row r="790" spans="1:16" ht="22.5" customHeight="1">
      <c r="A790" s="20">
        <v>19</v>
      </c>
      <c r="B790" s="21" t="s">
        <v>39</v>
      </c>
      <c r="C790" s="26">
        <v>160.56</v>
      </c>
      <c r="D790" s="1"/>
      <c r="E790" s="1"/>
      <c r="F790" s="1"/>
      <c r="G790" s="1"/>
      <c r="H790" s="1"/>
      <c r="I790" s="1"/>
      <c r="J790" s="1">
        <f t="shared" si="104"/>
        <v>0</v>
      </c>
      <c r="K790" s="19" t="str">
        <f t="shared" si="105"/>
        <v xml:space="preserve"> No Issue</v>
      </c>
      <c r="L790" s="1" t="str">
        <f t="shared" si="106"/>
        <v>No Issue</v>
      </c>
      <c r="M790" s="1" t="str">
        <f t="shared" si="107"/>
        <v>No Issue</v>
      </c>
      <c r="N790" s="1" t="str">
        <f t="shared" si="108"/>
        <v>No Issue</v>
      </c>
      <c r="O790" s="1" t="str">
        <f t="shared" si="109"/>
        <v>No Issue</v>
      </c>
      <c r="P790" s="1" t="str">
        <f t="shared" si="110"/>
        <v>NoIssue</v>
      </c>
    </row>
    <row r="791" spans="1:16" ht="22.5" customHeight="1">
      <c r="A791" s="20">
        <v>20</v>
      </c>
      <c r="B791" s="21" t="s">
        <v>40</v>
      </c>
      <c r="C791" s="26">
        <v>186.44</v>
      </c>
      <c r="D791" s="1"/>
      <c r="E791" s="1"/>
      <c r="F791" s="1"/>
      <c r="G791" s="1"/>
      <c r="H791" s="1"/>
      <c r="I791" s="1"/>
      <c r="J791" s="1">
        <f t="shared" si="104"/>
        <v>0</v>
      </c>
      <c r="K791" s="19" t="str">
        <f t="shared" si="105"/>
        <v xml:space="preserve"> No Issue</v>
      </c>
      <c r="L791" s="1" t="str">
        <f t="shared" si="106"/>
        <v>No Issue</v>
      </c>
      <c r="M791" s="1" t="str">
        <f t="shared" si="107"/>
        <v>No Issue</v>
      </c>
      <c r="N791" s="1" t="str">
        <f t="shared" si="108"/>
        <v>No Issue</v>
      </c>
      <c r="O791" s="1" t="str">
        <f t="shared" si="109"/>
        <v>No Issue</v>
      </c>
      <c r="P791" s="1" t="str">
        <f t="shared" si="110"/>
        <v>NoIssue</v>
      </c>
    </row>
    <row r="792" spans="1:16" ht="22.5" customHeight="1">
      <c r="A792" s="20">
        <v>21</v>
      </c>
      <c r="B792" s="21" t="s">
        <v>41</v>
      </c>
      <c r="C792" s="26">
        <v>92.59</v>
      </c>
      <c r="D792" s="1"/>
      <c r="E792" s="1"/>
      <c r="F792" s="1"/>
      <c r="G792" s="1"/>
      <c r="H792" s="1"/>
      <c r="I792" s="1"/>
      <c r="J792" s="1">
        <f t="shared" si="104"/>
        <v>0</v>
      </c>
      <c r="K792" s="19" t="str">
        <f t="shared" si="105"/>
        <v xml:space="preserve"> No Issue</v>
      </c>
      <c r="L792" s="1" t="str">
        <f t="shared" si="106"/>
        <v>No Issue</v>
      </c>
      <c r="M792" s="1" t="str">
        <f t="shared" si="107"/>
        <v>No Issue</v>
      </c>
      <c r="N792" s="1" t="str">
        <f t="shared" si="108"/>
        <v>No Issue</v>
      </c>
      <c r="O792" s="1" t="str">
        <f t="shared" si="109"/>
        <v>No Issue</v>
      </c>
      <c r="P792" s="1" t="str">
        <f t="shared" si="110"/>
        <v>NoIssue</v>
      </c>
    </row>
    <row r="793" spans="1:16" ht="22.5" customHeight="1">
      <c r="A793" s="20">
        <v>22</v>
      </c>
      <c r="B793" s="21" t="s">
        <v>42</v>
      </c>
      <c r="C793" s="26">
        <v>95.17</v>
      </c>
      <c r="D793" s="1"/>
      <c r="E793" s="1"/>
      <c r="F793" s="1"/>
      <c r="G793" s="1"/>
      <c r="H793" s="1"/>
      <c r="I793" s="1"/>
      <c r="J793" s="1">
        <f t="shared" si="104"/>
        <v>0</v>
      </c>
      <c r="K793" s="19" t="str">
        <f t="shared" si="105"/>
        <v xml:space="preserve"> No Issue</v>
      </c>
      <c r="L793" s="1" t="str">
        <f t="shared" si="106"/>
        <v>No Issue</v>
      </c>
      <c r="M793" s="1" t="str">
        <f t="shared" si="107"/>
        <v>No Issue</v>
      </c>
      <c r="N793" s="1" t="str">
        <f t="shared" si="108"/>
        <v>No Issue</v>
      </c>
      <c r="O793" s="1" t="str">
        <f t="shared" si="109"/>
        <v>No Issue</v>
      </c>
      <c r="P793" s="1" t="str">
        <f t="shared" si="110"/>
        <v>NoIssue</v>
      </c>
    </row>
    <row r="794" spans="1:16" ht="22.5" customHeight="1">
      <c r="A794" s="20">
        <v>23</v>
      </c>
      <c r="B794" s="21" t="s">
        <v>43</v>
      </c>
      <c r="C794" s="26">
        <v>92.94</v>
      </c>
      <c r="D794" s="1"/>
      <c r="E794" s="1"/>
      <c r="F794" s="1"/>
      <c r="G794" s="1"/>
      <c r="H794" s="1"/>
      <c r="I794" s="1"/>
      <c r="J794" s="1">
        <f t="shared" si="104"/>
        <v>0</v>
      </c>
      <c r="K794" s="19" t="str">
        <f t="shared" si="105"/>
        <v xml:space="preserve"> No Issue</v>
      </c>
      <c r="L794" s="1" t="str">
        <f t="shared" si="106"/>
        <v>No Issue</v>
      </c>
      <c r="M794" s="1" t="str">
        <f t="shared" si="107"/>
        <v>No Issue</v>
      </c>
      <c r="N794" s="1" t="str">
        <f t="shared" si="108"/>
        <v>No Issue</v>
      </c>
      <c r="O794" s="1" t="str">
        <f t="shared" si="109"/>
        <v>No Issue</v>
      </c>
      <c r="P794" s="1" t="str">
        <f t="shared" si="110"/>
        <v>NoIssue</v>
      </c>
    </row>
    <row r="795" spans="1:16" ht="22.5" customHeight="1">
      <c r="A795" s="20">
        <v>24</v>
      </c>
      <c r="B795" s="21" t="s">
        <v>44</v>
      </c>
      <c r="C795" s="26">
        <v>101.82</v>
      </c>
      <c r="D795" s="1"/>
      <c r="E795" s="1"/>
      <c r="F795" s="1"/>
      <c r="G795" s="1"/>
      <c r="H795" s="1"/>
      <c r="I795" s="1"/>
      <c r="J795" s="1">
        <f t="shared" si="104"/>
        <v>0</v>
      </c>
      <c r="K795" s="19" t="str">
        <f t="shared" si="105"/>
        <v xml:space="preserve"> No Issue</v>
      </c>
      <c r="L795" s="1" t="str">
        <f t="shared" si="106"/>
        <v>No Issue</v>
      </c>
      <c r="M795" s="1" t="str">
        <f t="shared" si="107"/>
        <v>No Issue</v>
      </c>
      <c r="N795" s="1" t="str">
        <f t="shared" si="108"/>
        <v>No Issue</v>
      </c>
      <c r="O795" s="1" t="str">
        <f t="shared" si="109"/>
        <v>No Issue</v>
      </c>
      <c r="P795" s="1" t="str">
        <f t="shared" si="110"/>
        <v>NoIssue</v>
      </c>
    </row>
    <row r="796" spans="1:16" ht="22.5" customHeight="1">
      <c r="A796" s="20">
        <v>25</v>
      </c>
      <c r="B796" s="21" t="s">
        <v>45</v>
      </c>
      <c r="C796" s="26">
        <v>53.49</v>
      </c>
      <c r="D796" s="1"/>
      <c r="E796" s="1"/>
      <c r="F796" s="1"/>
      <c r="G796" s="1"/>
      <c r="H796" s="1"/>
      <c r="I796" s="1"/>
      <c r="J796" s="1">
        <f t="shared" si="104"/>
        <v>0</v>
      </c>
      <c r="K796" s="19" t="str">
        <f t="shared" si="105"/>
        <v xml:space="preserve"> No Issue</v>
      </c>
      <c r="L796" s="1" t="str">
        <f t="shared" si="106"/>
        <v>No Issue</v>
      </c>
      <c r="M796" s="1" t="str">
        <f t="shared" si="107"/>
        <v>No Issue</v>
      </c>
      <c r="N796" s="1" t="str">
        <f t="shared" si="108"/>
        <v>No Issue</v>
      </c>
      <c r="O796" s="1" t="str">
        <f t="shared" si="109"/>
        <v>No Issue</v>
      </c>
      <c r="P796" s="1" t="str">
        <f t="shared" si="110"/>
        <v>NoIssue</v>
      </c>
    </row>
    <row r="797" spans="1:16" ht="22.5" customHeight="1">
      <c r="A797" s="20">
        <v>26</v>
      </c>
      <c r="B797" s="21" t="s">
        <v>46</v>
      </c>
      <c r="C797" s="26">
        <v>32.92</v>
      </c>
      <c r="D797" s="1"/>
      <c r="E797" s="1"/>
      <c r="F797" s="1"/>
      <c r="G797" s="1"/>
      <c r="H797" s="1"/>
      <c r="I797" s="1"/>
      <c r="J797" s="1">
        <f t="shared" si="104"/>
        <v>0</v>
      </c>
      <c r="K797" s="19" t="str">
        <f t="shared" si="105"/>
        <v xml:space="preserve"> No Issue</v>
      </c>
      <c r="L797" s="1" t="str">
        <f t="shared" si="106"/>
        <v>No Issue</v>
      </c>
      <c r="M797" s="1" t="str">
        <f t="shared" si="107"/>
        <v>No Issue</v>
      </c>
      <c r="N797" s="1" t="str">
        <f t="shared" si="108"/>
        <v>No Issue</v>
      </c>
      <c r="O797" s="1" t="str">
        <f t="shared" si="109"/>
        <v>No Issue</v>
      </c>
      <c r="P797" s="1" t="str">
        <f t="shared" si="110"/>
        <v>NoIssue</v>
      </c>
    </row>
    <row r="798" spans="1:16" ht="22.5" customHeight="1">
      <c r="A798" s="20">
        <v>27</v>
      </c>
      <c r="B798" s="21" t="s">
        <v>47</v>
      </c>
      <c r="C798" s="26">
        <v>116.68</v>
      </c>
      <c r="D798" s="1"/>
      <c r="E798" s="1"/>
      <c r="F798" s="1"/>
      <c r="G798" s="1"/>
      <c r="H798" s="1"/>
      <c r="I798" s="1"/>
      <c r="J798" s="1">
        <f t="shared" si="104"/>
        <v>0</v>
      </c>
      <c r="K798" s="19" t="str">
        <f t="shared" si="105"/>
        <v xml:space="preserve"> No Issue</v>
      </c>
      <c r="L798" s="1" t="str">
        <f t="shared" si="106"/>
        <v>No Issue</v>
      </c>
      <c r="M798" s="1" t="str">
        <f t="shared" si="107"/>
        <v>No Issue</v>
      </c>
      <c r="N798" s="1" t="str">
        <f t="shared" si="108"/>
        <v>No Issue</v>
      </c>
      <c r="O798" s="1" t="str">
        <f t="shared" si="109"/>
        <v>No Issue</v>
      </c>
      <c r="P798" s="1" t="str">
        <f t="shared" si="110"/>
        <v>NoIssue</v>
      </c>
    </row>
    <row r="799" spans="1:16" ht="22.5" customHeight="1">
      <c r="A799" s="20">
        <v>28</v>
      </c>
      <c r="B799" s="21" t="s">
        <v>48</v>
      </c>
      <c r="C799" s="26">
        <v>107.96</v>
      </c>
      <c r="D799" s="1"/>
      <c r="E799" s="1"/>
      <c r="F799" s="1"/>
      <c r="G799" s="1"/>
      <c r="H799" s="1"/>
      <c r="I799" s="1"/>
      <c r="J799" s="1">
        <f t="shared" si="104"/>
        <v>0</v>
      </c>
      <c r="K799" s="19" t="str">
        <f t="shared" si="105"/>
        <v xml:space="preserve"> No Issue</v>
      </c>
      <c r="L799" s="1" t="str">
        <f t="shared" si="106"/>
        <v>No Issue</v>
      </c>
      <c r="M799" s="1" t="str">
        <f t="shared" si="107"/>
        <v>No Issue</v>
      </c>
      <c r="N799" s="1" t="str">
        <f t="shared" si="108"/>
        <v>No Issue</v>
      </c>
      <c r="O799" s="1" t="str">
        <f t="shared" si="109"/>
        <v>No Issue</v>
      </c>
      <c r="P799" s="1" t="str">
        <f t="shared" si="110"/>
        <v>NoIssue</v>
      </c>
    </row>
    <row r="800" spans="1:16" ht="22.5" customHeight="1">
      <c r="A800" s="20">
        <v>29</v>
      </c>
      <c r="B800" s="21" t="s">
        <v>49</v>
      </c>
      <c r="C800" s="26">
        <v>248.89</v>
      </c>
      <c r="D800" s="1"/>
      <c r="E800" s="1"/>
      <c r="F800" s="1"/>
      <c r="G800" s="1"/>
      <c r="H800" s="1"/>
      <c r="I800" s="1"/>
      <c r="J800" s="1">
        <f t="shared" si="104"/>
        <v>0</v>
      </c>
      <c r="K800" s="19" t="str">
        <f t="shared" si="105"/>
        <v xml:space="preserve"> No Issue</v>
      </c>
      <c r="L800" s="1" t="str">
        <f t="shared" si="106"/>
        <v>No Issue</v>
      </c>
      <c r="M800" s="1" t="str">
        <f t="shared" si="107"/>
        <v>No Issue</v>
      </c>
      <c r="N800" s="1" t="str">
        <f t="shared" si="108"/>
        <v>No Issue</v>
      </c>
      <c r="O800" s="1" t="str">
        <f t="shared" si="109"/>
        <v>No Issue</v>
      </c>
      <c r="P800" s="1" t="str">
        <f t="shared" si="110"/>
        <v>NoIssue</v>
      </c>
    </row>
    <row r="801" spans="1:16" ht="22.5" customHeight="1">
      <c r="A801" s="20">
        <v>30</v>
      </c>
      <c r="B801" s="21" t="s">
        <v>50</v>
      </c>
      <c r="C801" s="26">
        <v>80.36</v>
      </c>
      <c r="D801" s="1"/>
      <c r="E801" s="1"/>
      <c r="F801" s="19"/>
      <c r="G801" s="19"/>
      <c r="H801" s="19"/>
      <c r="I801" s="1"/>
      <c r="J801" s="1">
        <f t="shared" si="104"/>
        <v>0</v>
      </c>
      <c r="K801" s="19" t="str">
        <f t="shared" si="105"/>
        <v xml:space="preserve"> No Issue</v>
      </c>
      <c r="L801" s="1" t="str">
        <f t="shared" si="106"/>
        <v>No Issue</v>
      </c>
      <c r="M801" s="1" t="str">
        <f t="shared" si="107"/>
        <v>No Issue</v>
      </c>
      <c r="N801" s="1" t="str">
        <f t="shared" si="108"/>
        <v>No Issue</v>
      </c>
      <c r="O801" s="1" t="str">
        <f t="shared" si="109"/>
        <v>No Issue</v>
      </c>
      <c r="P801" s="1" t="str">
        <f t="shared" si="110"/>
        <v>NoIssue</v>
      </c>
    </row>
    <row r="802" spans="1:16" ht="22.5" customHeight="1">
      <c r="A802" s="20">
        <v>31</v>
      </c>
      <c r="B802" s="21" t="s">
        <v>51</v>
      </c>
      <c r="C802" s="26">
        <v>52.46</v>
      </c>
      <c r="D802" s="1"/>
      <c r="E802" s="1"/>
      <c r="F802" s="19"/>
      <c r="G802" s="19"/>
      <c r="H802" s="19"/>
      <c r="I802" s="1"/>
      <c r="J802" s="1">
        <f t="shared" si="104"/>
        <v>0</v>
      </c>
      <c r="K802" s="19" t="str">
        <f t="shared" si="105"/>
        <v xml:space="preserve"> No Issue</v>
      </c>
      <c r="L802" s="1" t="str">
        <f t="shared" si="106"/>
        <v>No Issue</v>
      </c>
      <c r="M802" s="1" t="str">
        <f t="shared" si="107"/>
        <v>No Issue</v>
      </c>
      <c r="N802" s="1" t="str">
        <f t="shared" si="108"/>
        <v>No Issue</v>
      </c>
      <c r="O802" s="1" t="str">
        <f t="shared" si="109"/>
        <v>No Issue</v>
      </c>
      <c r="P802" s="1" t="str">
        <f t="shared" si="110"/>
        <v>NoIssue</v>
      </c>
    </row>
    <row r="803" spans="1:16" ht="22.5" customHeight="1">
      <c r="A803" s="20">
        <v>32</v>
      </c>
      <c r="B803" s="21" t="s">
        <v>52</v>
      </c>
      <c r="C803" s="26">
        <v>71.209999999999994</v>
      </c>
      <c r="D803" s="1"/>
      <c r="E803" s="1"/>
      <c r="F803" s="19"/>
      <c r="G803" s="19"/>
      <c r="H803" s="19"/>
      <c r="I803" s="1"/>
      <c r="J803" s="1">
        <f t="shared" si="104"/>
        <v>0</v>
      </c>
      <c r="K803" s="19" t="str">
        <f t="shared" si="105"/>
        <v xml:space="preserve"> No Issue</v>
      </c>
      <c r="L803" s="1" t="str">
        <f t="shared" si="106"/>
        <v>No Issue</v>
      </c>
      <c r="M803" s="1" t="str">
        <f t="shared" si="107"/>
        <v>No Issue</v>
      </c>
      <c r="N803" s="1" t="str">
        <f t="shared" si="108"/>
        <v>No Issue</v>
      </c>
      <c r="O803" s="1" t="str">
        <f t="shared" si="109"/>
        <v>No Issue</v>
      </c>
      <c r="P803" s="1" t="str">
        <f t="shared" si="110"/>
        <v>NoIssue</v>
      </c>
    </row>
    <row r="804" spans="1:16" ht="22.5" customHeight="1">
      <c r="A804" s="20">
        <v>33</v>
      </c>
      <c r="B804" s="21" t="s">
        <v>53</v>
      </c>
      <c r="C804" s="26">
        <v>80.349999999999994</v>
      </c>
      <c r="D804" s="1"/>
      <c r="E804" s="1"/>
      <c r="F804" s="19"/>
      <c r="G804" s="19"/>
      <c r="H804" s="19"/>
      <c r="I804" s="1"/>
      <c r="J804" s="1">
        <f t="shared" si="104"/>
        <v>0</v>
      </c>
      <c r="K804" s="19" t="str">
        <f t="shared" si="105"/>
        <v xml:space="preserve"> No Issue</v>
      </c>
      <c r="L804" s="1" t="str">
        <f t="shared" si="106"/>
        <v>No Issue</v>
      </c>
      <c r="M804" s="1" t="str">
        <f t="shared" si="107"/>
        <v>No Issue</v>
      </c>
      <c r="N804" s="1" t="str">
        <f t="shared" si="108"/>
        <v>No Issue</v>
      </c>
      <c r="O804" s="1" t="str">
        <f t="shared" si="109"/>
        <v>No Issue</v>
      </c>
      <c r="P804" s="1" t="str">
        <f t="shared" si="110"/>
        <v>NoIssue</v>
      </c>
    </row>
    <row r="805" spans="1:16" ht="22.5" customHeight="1">
      <c r="A805" s="20">
        <v>34</v>
      </c>
      <c r="B805" s="21" t="s">
        <v>54</v>
      </c>
      <c r="C805" s="26">
        <v>64.180000000000007</v>
      </c>
      <c r="D805" s="1"/>
      <c r="E805" s="1"/>
      <c r="F805" s="19"/>
      <c r="G805" s="19"/>
      <c r="H805" s="19"/>
      <c r="I805" s="1"/>
      <c r="J805" s="1">
        <f t="shared" si="104"/>
        <v>0</v>
      </c>
      <c r="K805" s="19" t="str">
        <f t="shared" si="105"/>
        <v xml:space="preserve"> No Issue</v>
      </c>
      <c r="L805" s="1" t="str">
        <f t="shared" si="106"/>
        <v>No Issue</v>
      </c>
      <c r="M805" s="1" t="str">
        <f t="shared" si="107"/>
        <v>No Issue</v>
      </c>
      <c r="N805" s="1" t="str">
        <f t="shared" si="108"/>
        <v>No Issue</v>
      </c>
      <c r="O805" s="1" t="str">
        <f t="shared" si="109"/>
        <v>No Issue</v>
      </c>
      <c r="P805" s="1" t="str">
        <f t="shared" si="110"/>
        <v>NoIssue</v>
      </c>
    </row>
    <row r="806" spans="1:16" ht="22.5" customHeight="1">
      <c r="A806" s="20">
        <v>35</v>
      </c>
      <c r="B806" s="21" t="s">
        <v>55</v>
      </c>
      <c r="C806" s="26">
        <v>36.9</v>
      </c>
      <c r="D806" s="1"/>
      <c r="E806" s="1"/>
      <c r="F806" s="19"/>
      <c r="G806" s="19"/>
      <c r="H806" s="19"/>
      <c r="I806" s="1"/>
      <c r="J806" s="1">
        <f t="shared" si="104"/>
        <v>0</v>
      </c>
      <c r="K806" s="19" t="str">
        <f t="shared" si="105"/>
        <v xml:space="preserve"> No Issue</v>
      </c>
      <c r="L806" s="1" t="str">
        <f t="shared" si="106"/>
        <v>No Issue</v>
      </c>
      <c r="M806" s="1" t="str">
        <f t="shared" si="107"/>
        <v>No Issue</v>
      </c>
      <c r="N806" s="1" t="str">
        <f t="shared" si="108"/>
        <v>No Issue</v>
      </c>
      <c r="O806" s="1" t="str">
        <f t="shared" si="109"/>
        <v>No Issue</v>
      </c>
      <c r="P806" s="1" t="str">
        <f t="shared" si="110"/>
        <v>NoIssue</v>
      </c>
    </row>
    <row r="807" spans="1:16" ht="22.5" customHeight="1">
      <c r="A807" s="20">
        <v>36</v>
      </c>
      <c r="B807" s="21" t="s">
        <v>56</v>
      </c>
      <c r="C807" s="26">
        <v>101.54</v>
      </c>
      <c r="D807" s="1"/>
      <c r="E807" s="1"/>
      <c r="F807" s="19"/>
      <c r="G807" s="19"/>
      <c r="H807" s="19"/>
      <c r="I807" s="1"/>
      <c r="J807" s="1">
        <f t="shared" si="104"/>
        <v>0</v>
      </c>
      <c r="K807" s="19" t="str">
        <f t="shared" si="105"/>
        <v xml:space="preserve"> No Issue</v>
      </c>
      <c r="L807" s="1" t="str">
        <f t="shared" si="106"/>
        <v>No Issue</v>
      </c>
      <c r="M807" s="1" t="str">
        <f t="shared" si="107"/>
        <v>No Issue</v>
      </c>
      <c r="N807" s="1" t="str">
        <f t="shared" si="108"/>
        <v>No Issue</v>
      </c>
      <c r="O807" s="1" t="str">
        <f t="shared" si="109"/>
        <v>No Issue</v>
      </c>
      <c r="P807" s="1" t="str">
        <f t="shared" si="110"/>
        <v>NoIssue</v>
      </c>
    </row>
    <row r="808" spans="1:16" ht="22.5" customHeight="1">
      <c r="A808" s="20">
        <v>37</v>
      </c>
      <c r="B808" s="21" t="s">
        <v>57</v>
      </c>
      <c r="C808" s="26">
        <v>40.5</v>
      </c>
      <c r="D808" s="1"/>
      <c r="E808" s="1"/>
      <c r="F808" s="19"/>
      <c r="G808" s="19"/>
      <c r="H808" s="19"/>
      <c r="I808" s="1"/>
      <c r="J808" s="1">
        <f t="shared" si="104"/>
        <v>0</v>
      </c>
      <c r="K808" s="19" t="str">
        <f t="shared" si="105"/>
        <v xml:space="preserve"> No Issue</v>
      </c>
      <c r="L808" s="1" t="str">
        <f t="shared" si="106"/>
        <v>No Issue</v>
      </c>
      <c r="M808" s="1" t="str">
        <f t="shared" si="107"/>
        <v>No Issue</v>
      </c>
      <c r="N808" s="1" t="str">
        <f t="shared" si="108"/>
        <v>No Issue</v>
      </c>
      <c r="O808" s="1" t="str">
        <f t="shared" si="109"/>
        <v>No Issue</v>
      </c>
      <c r="P808" s="1" t="str">
        <f t="shared" si="110"/>
        <v>NoIssue</v>
      </c>
    </row>
    <row r="809" spans="1:16" ht="22.5" customHeight="1">
      <c r="A809" s="20">
        <v>38</v>
      </c>
      <c r="B809" s="21" t="s">
        <v>58</v>
      </c>
      <c r="C809" s="26">
        <v>66.69</v>
      </c>
      <c r="D809" s="1"/>
      <c r="E809" s="1"/>
      <c r="F809" s="19"/>
      <c r="G809" s="19"/>
      <c r="H809" s="19"/>
      <c r="I809" s="1"/>
      <c r="J809" s="1">
        <f t="shared" si="104"/>
        <v>0</v>
      </c>
      <c r="K809" s="19" t="str">
        <f t="shared" si="105"/>
        <v xml:space="preserve"> No Issue</v>
      </c>
      <c r="L809" s="1" t="str">
        <f t="shared" si="106"/>
        <v>No Issue</v>
      </c>
      <c r="M809" s="1" t="str">
        <f t="shared" si="107"/>
        <v>No Issue</v>
      </c>
      <c r="N809" s="1" t="str">
        <f t="shared" si="108"/>
        <v>No Issue</v>
      </c>
      <c r="O809" s="1" t="str">
        <f t="shared" si="109"/>
        <v>No Issue</v>
      </c>
      <c r="P809" s="1" t="str">
        <f t="shared" si="110"/>
        <v>NoIssue</v>
      </c>
    </row>
    <row r="810" spans="1:16" ht="22.5" customHeight="1">
      <c r="A810" s="20">
        <v>39</v>
      </c>
      <c r="B810" s="21" t="s">
        <v>59</v>
      </c>
      <c r="C810" s="21">
        <v>150.85999999999999</v>
      </c>
      <c r="D810" s="1"/>
      <c r="E810" s="1"/>
      <c r="F810" s="19"/>
      <c r="G810" s="19"/>
      <c r="H810" s="19"/>
      <c r="I810" s="1"/>
      <c r="J810" s="1">
        <f t="shared" si="104"/>
        <v>0</v>
      </c>
      <c r="K810" s="19" t="str">
        <f t="shared" si="105"/>
        <v xml:space="preserve"> No Issue</v>
      </c>
      <c r="L810" s="1" t="str">
        <f t="shared" si="106"/>
        <v>No Issue</v>
      </c>
      <c r="M810" s="1" t="str">
        <f t="shared" si="107"/>
        <v>No Issue</v>
      </c>
      <c r="N810" s="1" t="str">
        <f t="shared" si="108"/>
        <v>No Issue</v>
      </c>
      <c r="O810" s="1" t="str">
        <f t="shared" si="109"/>
        <v>No Issue</v>
      </c>
      <c r="P810" s="1" t="str">
        <f t="shared" si="110"/>
        <v>NoIssue</v>
      </c>
    </row>
    <row r="811" spans="1:16" ht="22.5" customHeight="1">
      <c r="A811" s="20">
        <v>40</v>
      </c>
      <c r="B811" s="29" t="s">
        <v>60</v>
      </c>
      <c r="C811" s="26">
        <v>180</v>
      </c>
      <c r="D811" s="1"/>
      <c r="E811" s="1"/>
      <c r="F811" s="19"/>
      <c r="G811" s="19"/>
      <c r="H811" s="19"/>
      <c r="I811" s="1"/>
      <c r="J811" s="1">
        <f t="shared" si="104"/>
        <v>0</v>
      </c>
      <c r="K811" s="19" t="str">
        <f t="shared" si="105"/>
        <v xml:space="preserve"> No Issue</v>
      </c>
      <c r="L811" s="1" t="str">
        <f t="shared" si="106"/>
        <v>No Issue</v>
      </c>
      <c r="M811" s="1" t="str">
        <f t="shared" si="107"/>
        <v>No Issue</v>
      </c>
      <c r="N811" s="1" t="str">
        <f t="shared" si="108"/>
        <v>No Issue</v>
      </c>
      <c r="O811" s="1" t="str">
        <f t="shared" si="109"/>
        <v>No Issue</v>
      </c>
      <c r="P811" s="1" t="str">
        <f t="shared" si="110"/>
        <v>NoIssue</v>
      </c>
    </row>
    <row r="812" spans="1:16" ht="22.5" customHeight="1">
      <c r="A812" s="20">
        <v>41</v>
      </c>
      <c r="B812" s="29" t="s">
        <v>61</v>
      </c>
      <c r="C812" s="21">
        <v>128.57</v>
      </c>
      <c r="D812" s="1"/>
      <c r="E812" s="1"/>
      <c r="F812" s="19"/>
      <c r="G812" s="19"/>
      <c r="H812" s="19"/>
      <c r="I812" s="1"/>
      <c r="J812" s="1">
        <f t="shared" si="104"/>
        <v>0</v>
      </c>
      <c r="K812" s="19" t="str">
        <f t="shared" si="105"/>
        <v xml:space="preserve"> No Issue</v>
      </c>
      <c r="L812" s="1" t="str">
        <f t="shared" si="106"/>
        <v>No Issue</v>
      </c>
      <c r="M812" s="1" t="str">
        <f t="shared" si="107"/>
        <v>No Issue</v>
      </c>
      <c r="N812" s="1" t="str">
        <f t="shared" si="108"/>
        <v>No Issue</v>
      </c>
      <c r="O812" s="1" t="str">
        <f t="shared" si="109"/>
        <v>No Issue</v>
      </c>
      <c r="P812" s="1" t="str">
        <f t="shared" si="110"/>
        <v>NoIssue</v>
      </c>
    </row>
    <row r="813" spans="1:16" ht="22.5" customHeight="1">
      <c r="A813" s="20">
        <v>42</v>
      </c>
      <c r="B813" s="21"/>
      <c r="C813" s="21"/>
      <c r="D813" s="1"/>
      <c r="E813" s="1"/>
      <c r="F813" s="19"/>
      <c r="G813" s="19"/>
      <c r="H813" s="19"/>
      <c r="I813" s="1"/>
      <c r="J813" s="1">
        <f t="shared" si="104"/>
        <v>0</v>
      </c>
      <c r="K813" s="19" t="str">
        <f t="shared" si="105"/>
        <v xml:space="preserve"> No Issue</v>
      </c>
      <c r="L813" s="1" t="str">
        <f t="shared" si="106"/>
        <v>No Issue</v>
      </c>
      <c r="M813" s="1" t="str">
        <f t="shared" si="107"/>
        <v>No Issue</v>
      </c>
      <c r="N813" s="1" t="str">
        <f t="shared" si="108"/>
        <v>No Issue</v>
      </c>
      <c r="O813" s="1" t="str">
        <f t="shared" si="109"/>
        <v>No Issue</v>
      </c>
      <c r="P813" s="1" t="str">
        <f t="shared" si="110"/>
        <v>NoIssue</v>
      </c>
    </row>
    <row r="814" spans="1:16" ht="22.5" customHeight="1">
      <c r="A814" s="20">
        <v>43</v>
      </c>
      <c r="B814" s="30"/>
      <c r="C814" s="30"/>
      <c r="D814" s="1"/>
      <c r="E814" s="1"/>
      <c r="F814" s="19"/>
      <c r="G814" s="19"/>
      <c r="H814" s="19"/>
      <c r="I814" s="1"/>
      <c r="J814" s="1">
        <f t="shared" si="104"/>
        <v>0</v>
      </c>
      <c r="K814" s="19" t="str">
        <f t="shared" si="105"/>
        <v xml:space="preserve"> No Issue</v>
      </c>
      <c r="L814" s="1" t="str">
        <f t="shared" si="106"/>
        <v>No Issue</v>
      </c>
      <c r="M814" s="1" t="str">
        <f t="shared" si="107"/>
        <v>No Issue</v>
      </c>
      <c r="N814" s="1" t="str">
        <f t="shared" si="108"/>
        <v>No Issue</v>
      </c>
      <c r="O814" s="1" t="str">
        <f t="shared" si="109"/>
        <v>No Issue</v>
      </c>
      <c r="P814" s="1" t="str">
        <f t="shared" si="110"/>
        <v>NoIssue</v>
      </c>
    </row>
    <row r="815" spans="1:16" ht="22.5" customHeight="1">
      <c r="A815" s="20">
        <v>44</v>
      </c>
      <c r="B815" s="30"/>
      <c r="C815" s="30"/>
      <c r="D815" s="1"/>
      <c r="E815" s="1"/>
      <c r="F815" s="19"/>
      <c r="G815" s="19"/>
      <c r="H815" s="19"/>
      <c r="I815" s="1"/>
      <c r="J815" s="1">
        <f t="shared" si="104"/>
        <v>0</v>
      </c>
      <c r="K815" s="19" t="str">
        <f t="shared" si="105"/>
        <v xml:space="preserve"> No Issue</v>
      </c>
      <c r="L815" s="1" t="str">
        <f t="shared" si="106"/>
        <v>No Issue</v>
      </c>
      <c r="M815" s="1" t="str">
        <f t="shared" si="107"/>
        <v>No Issue</v>
      </c>
      <c r="N815" s="1" t="str">
        <f t="shared" si="108"/>
        <v>No Issue</v>
      </c>
      <c r="O815" s="1" t="str">
        <f t="shared" si="109"/>
        <v>No Issue</v>
      </c>
      <c r="P815" s="1" t="str">
        <f t="shared" si="110"/>
        <v>NoIssue</v>
      </c>
    </row>
    <row r="816" spans="1:16" ht="22.5" customHeight="1">
      <c r="A816" s="20">
        <v>45</v>
      </c>
      <c r="B816" s="30"/>
      <c r="C816" s="30"/>
      <c r="D816" s="1"/>
      <c r="E816" s="1"/>
      <c r="F816" s="19"/>
      <c r="G816" s="19"/>
      <c r="H816" s="19"/>
      <c r="I816" s="1"/>
      <c r="J816" s="1">
        <f t="shared" si="104"/>
        <v>0</v>
      </c>
      <c r="K816" s="19" t="str">
        <f t="shared" si="105"/>
        <v xml:space="preserve"> No Issue</v>
      </c>
      <c r="L816" s="1" t="str">
        <f t="shared" si="106"/>
        <v>No Issue</v>
      </c>
      <c r="M816" s="1" t="str">
        <f t="shared" si="107"/>
        <v>No Issue</v>
      </c>
      <c r="N816" s="1" t="str">
        <f t="shared" si="108"/>
        <v>No Issue</v>
      </c>
      <c r="O816" s="1" t="str">
        <f t="shared" si="109"/>
        <v>No Issue</v>
      </c>
      <c r="P816" s="1" t="str">
        <f t="shared" si="110"/>
        <v>NoIssue</v>
      </c>
    </row>
    <row r="817" spans="1:16" ht="22.5" customHeight="1">
      <c r="A817" s="20">
        <v>46</v>
      </c>
      <c r="B817" s="30"/>
      <c r="C817" s="30"/>
      <c r="D817" s="1"/>
      <c r="E817" s="1"/>
      <c r="F817" s="19"/>
      <c r="G817" s="19"/>
      <c r="H817" s="19"/>
      <c r="I817" s="1"/>
      <c r="J817" s="1">
        <f t="shared" si="104"/>
        <v>0</v>
      </c>
      <c r="K817" s="19" t="str">
        <f t="shared" si="105"/>
        <v xml:space="preserve"> No Issue</v>
      </c>
      <c r="L817" s="1" t="str">
        <f t="shared" si="106"/>
        <v>No Issue</v>
      </c>
      <c r="M817" s="1" t="str">
        <f t="shared" si="107"/>
        <v>No Issue</v>
      </c>
      <c r="N817" s="1" t="str">
        <f t="shared" si="108"/>
        <v>No Issue</v>
      </c>
      <c r="O817" s="1" t="str">
        <f t="shared" si="109"/>
        <v>No Issue</v>
      </c>
      <c r="P817" s="1" t="str">
        <f t="shared" si="110"/>
        <v>NoIssue</v>
      </c>
    </row>
    <row r="818" spans="1:16" ht="22.5" customHeight="1">
      <c r="A818" s="20">
        <v>47</v>
      </c>
      <c r="B818" s="31"/>
      <c r="C818" s="32"/>
      <c r="D818" s="1"/>
      <c r="E818" s="1"/>
      <c r="F818" s="19"/>
      <c r="G818" s="19"/>
      <c r="H818" s="19"/>
      <c r="I818" s="1"/>
      <c r="J818" s="1">
        <f t="shared" si="104"/>
        <v>0</v>
      </c>
      <c r="K818" s="19" t="str">
        <f t="shared" si="105"/>
        <v xml:space="preserve"> No Issue</v>
      </c>
      <c r="L818" s="1" t="str">
        <f t="shared" si="106"/>
        <v>No Issue</v>
      </c>
      <c r="M818" s="1" t="str">
        <f t="shared" si="107"/>
        <v>No Issue</v>
      </c>
      <c r="N818" s="1" t="str">
        <f t="shared" si="108"/>
        <v>No Issue</v>
      </c>
      <c r="O818" s="1" t="str">
        <f t="shared" si="109"/>
        <v>No Issue</v>
      </c>
      <c r="P818" s="1" t="str">
        <f t="shared" si="110"/>
        <v>NoIssue</v>
      </c>
    </row>
    <row r="819" spans="1:16" ht="22.5" customHeight="1">
      <c r="A819" s="20">
        <v>48</v>
      </c>
      <c r="B819" s="31"/>
      <c r="C819" s="32"/>
      <c r="D819" s="1"/>
      <c r="E819" s="1"/>
      <c r="F819" s="19"/>
      <c r="G819" s="19"/>
      <c r="H819" s="19"/>
      <c r="I819" s="1"/>
      <c r="J819" s="1">
        <f t="shared" si="104"/>
        <v>0</v>
      </c>
      <c r="K819" s="19" t="str">
        <f t="shared" si="105"/>
        <v xml:space="preserve"> No Issue</v>
      </c>
      <c r="L819" s="1" t="str">
        <f t="shared" si="106"/>
        <v>No Issue</v>
      </c>
      <c r="M819" s="1" t="str">
        <f t="shared" si="107"/>
        <v>No Issue</v>
      </c>
      <c r="N819" s="1" t="str">
        <f t="shared" si="108"/>
        <v>No Issue</v>
      </c>
      <c r="O819" s="1" t="str">
        <f t="shared" si="109"/>
        <v>No Issue</v>
      </c>
      <c r="P819" s="1" t="str">
        <f t="shared" si="110"/>
        <v>NoIssue</v>
      </c>
    </row>
    <row r="820" spans="1:16" ht="22.5" customHeight="1">
      <c r="A820" s="20">
        <v>49</v>
      </c>
      <c r="B820" s="31"/>
      <c r="C820" s="32"/>
      <c r="D820" s="1"/>
      <c r="E820" s="1"/>
      <c r="F820" s="19"/>
      <c r="G820" s="19"/>
      <c r="H820" s="19"/>
      <c r="I820" s="1"/>
      <c r="J820" s="1">
        <f t="shared" si="104"/>
        <v>0</v>
      </c>
      <c r="K820" s="19" t="str">
        <f t="shared" si="105"/>
        <v xml:space="preserve"> No Issue</v>
      </c>
      <c r="L820" s="1" t="str">
        <f t="shared" si="106"/>
        <v>No Issue</v>
      </c>
      <c r="M820" s="1" t="str">
        <f t="shared" si="107"/>
        <v>No Issue</v>
      </c>
      <c r="N820" s="1" t="str">
        <f t="shared" si="108"/>
        <v>No Issue</v>
      </c>
      <c r="O820" s="1" t="str">
        <f t="shared" si="109"/>
        <v>No Issue</v>
      </c>
      <c r="P820" s="1" t="str">
        <f t="shared" si="110"/>
        <v>NoIssue</v>
      </c>
    </row>
    <row r="821" spans="1:16" ht="22.5" customHeight="1">
      <c r="A821" s="20">
        <v>50</v>
      </c>
      <c r="B821" s="31"/>
      <c r="C821" s="32"/>
      <c r="D821" s="1"/>
      <c r="E821" s="1"/>
      <c r="F821" s="19"/>
      <c r="G821" s="19"/>
      <c r="H821" s="19"/>
      <c r="I821" s="1"/>
      <c r="J821" s="1">
        <f t="shared" si="104"/>
        <v>0</v>
      </c>
      <c r="K821" s="19" t="str">
        <f t="shared" si="105"/>
        <v xml:space="preserve"> No Issue</v>
      </c>
      <c r="L821" s="1" t="str">
        <f t="shared" si="106"/>
        <v>No Issue</v>
      </c>
      <c r="M821" s="1" t="str">
        <f t="shared" si="107"/>
        <v>No Issue</v>
      </c>
      <c r="N821" s="1" t="str">
        <f t="shared" si="108"/>
        <v>No Issue</v>
      </c>
      <c r="O821" s="1" t="str">
        <f t="shared" si="109"/>
        <v>No Issue</v>
      </c>
      <c r="P821" s="1" t="str">
        <f t="shared" si="110"/>
        <v>NoIssue</v>
      </c>
    </row>
    <row r="822" spans="1:16" ht="22.5" customHeight="1">
      <c r="A822" s="20">
        <v>51</v>
      </c>
      <c r="B822" s="31"/>
      <c r="C822" s="32"/>
      <c r="D822" s="1"/>
      <c r="E822" s="1"/>
      <c r="F822" s="19"/>
      <c r="G822" s="19"/>
      <c r="H822" s="19"/>
      <c r="I822" s="1"/>
      <c r="J822" s="1">
        <f t="shared" si="104"/>
        <v>0</v>
      </c>
      <c r="K822" s="19" t="str">
        <f t="shared" si="105"/>
        <v xml:space="preserve"> No Issue</v>
      </c>
      <c r="L822" s="1" t="str">
        <f t="shared" si="106"/>
        <v>No Issue</v>
      </c>
      <c r="M822" s="1" t="str">
        <f t="shared" si="107"/>
        <v>No Issue</v>
      </c>
      <c r="N822" s="1" t="str">
        <f t="shared" si="108"/>
        <v>No Issue</v>
      </c>
      <c r="O822" s="1" t="str">
        <f t="shared" si="109"/>
        <v>No Issue</v>
      </c>
      <c r="P822" s="1" t="str">
        <f t="shared" si="110"/>
        <v>NoIssue</v>
      </c>
    </row>
    <row r="823" spans="1:16" ht="22.5" customHeight="1">
      <c r="A823" s="20">
        <v>52</v>
      </c>
      <c r="B823" s="31"/>
      <c r="C823" s="32"/>
      <c r="D823" s="1"/>
      <c r="E823" s="1"/>
      <c r="F823" s="19"/>
      <c r="G823" s="19"/>
      <c r="H823" s="19"/>
      <c r="I823" s="1"/>
      <c r="J823" s="1">
        <f t="shared" si="104"/>
        <v>0</v>
      </c>
      <c r="K823" s="19" t="str">
        <f t="shared" si="105"/>
        <v xml:space="preserve"> No Issue</v>
      </c>
      <c r="L823" s="1" t="str">
        <f t="shared" si="106"/>
        <v>No Issue</v>
      </c>
      <c r="M823" s="1" t="str">
        <f t="shared" si="107"/>
        <v>No Issue</v>
      </c>
      <c r="N823" s="1" t="str">
        <f t="shared" si="108"/>
        <v>No Issue</v>
      </c>
      <c r="O823" s="1" t="str">
        <f t="shared" si="109"/>
        <v>No Issue</v>
      </c>
      <c r="P823" s="1" t="str">
        <f t="shared" si="110"/>
        <v>NoIssue</v>
      </c>
    </row>
    <row r="824" spans="1:16" ht="22.5" customHeight="1">
      <c r="A824" s="20">
        <v>53</v>
      </c>
      <c r="B824" s="31"/>
      <c r="C824" s="32"/>
      <c r="D824" s="1"/>
      <c r="E824" s="1"/>
      <c r="F824" s="19"/>
      <c r="G824" s="19"/>
      <c r="H824" s="19"/>
      <c r="I824" s="1"/>
      <c r="J824" s="1">
        <f t="shared" si="104"/>
        <v>0</v>
      </c>
      <c r="K824" s="19" t="str">
        <f t="shared" si="105"/>
        <v xml:space="preserve"> No Issue</v>
      </c>
      <c r="L824" s="1" t="str">
        <f t="shared" si="106"/>
        <v>No Issue</v>
      </c>
      <c r="M824" s="1" t="str">
        <f t="shared" si="107"/>
        <v>No Issue</v>
      </c>
      <c r="N824" s="1" t="str">
        <f t="shared" si="108"/>
        <v>No Issue</v>
      </c>
      <c r="O824" s="1" t="str">
        <f t="shared" si="109"/>
        <v>No Issue</v>
      </c>
      <c r="P824" s="1" t="str">
        <f t="shared" si="110"/>
        <v>NoIssue</v>
      </c>
    </row>
    <row r="825" spans="1:16" ht="22.5" customHeight="1">
      <c r="A825" s="20">
        <v>54</v>
      </c>
      <c r="B825" s="30"/>
      <c r="C825" s="30"/>
      <c r="D825" s="1"/>
      <c r="E825" s="1"/>
      <c r="F825" s="19"/>
      <c r="G825" s="19"/>
      <c r="H825" s="19"/>
      <c r="I825" s="1"/>
      <c r="J825" s="1">
        <f t="shared" si="104"/>
        <v>0</v>
      </c>
      <c r="K825" s="19" t="str">
        <f t="shared" si="105"/>
        <v xml:space="preserve"> No Issue</v>
      </c>
      <c r="L825" s="1" t="str">
        <f t="shared" si="106"/>
        <v>No Issue</v>
      </c>
      <c r="M825" s="1" t="str">
        <f t="shared" si="107"/>
        <v>No Issue</v>
      </c>
      <c r="N825" s="1" t="str">
        <f t="shared" si="108"/>
        <v>No Issue</v>
      </c>
      <c r="O825" s="1" t="str">
        <f t="shared" si="109"/>
        <v>No Issue</v>
      </c>
      <c r="P825" s="1" t="str">
        <f t="shared" si="110"/>
        <v>NoIssue</v>
      </c>
    </row>
    <row r="826" spans="1:16" ht="22.5" customHeight="1">
      <c r="A826" s="20">
        <v>55</v>
      </c>
      <c r="B826" s="31"/>
      <c r="C826" s="32"/>
      <c r="D826" s="1"/>
      <c r="E826" s="1"/>
      <c r="F826" s="19"/>
      <c r="G826" s="19"/>
      <c r="H826" s="19"/>
      <c r="I826" s="1"/>
      <c r="J826" s="1">
        <f t="shared" si="104"/>
        <v>0</v>
      </c>
      <c r="K826" s="19" t="str">
        <f t="shared" si="105"/>
        <v xml:space="preserve"> No Issue</v>
      </c>
      <c r="L826" s="1" t="str">
        <f t="shared" si="106"/>
        <v>No Issue</v>
      </c>
      <c r="M826" s="1" t="str">
        <f t="shared" si="107"/>
        <v>No Issue</v>
      </c>
      <c r="N826" s="1" t="str">
        <f t="shared" si="108"/>
        <v>No Issue</v>
      </c>
      <c r="O826" s="1" t="str">
        <f t="shared" si="109"/>
        <v>No Issue</v>
      </c>
      <c r="P826" s="1" t="str">
        <f t="shared" si="110"/>
        <v>NoIssue</v>
      </c>
    </row>
    <row r="827" spans="1:16" ht="22.5" customHeight="1">
      <c r="A827" s="20">
        <v>56</v>
      </c>
      <c r="B827" s="31"/>
      <c r="C827" s="32"/>
      <c r="D827" s="1"/>
      <c r="E827" s="1"/>
      <c r="F827" s="19"/>
      <c r="G827" s="19"/>
      <c r="H827" s="19"/>
      <c r="I827" s="1"/>
      <c r="J827" s="1">
        <f t="shared" si="104"/>
        <v>0</v>
      </c>
      <c r="K827" s="19" t="str">
        <f t="shared" si="105"/>
        <v xml:space="preserve"> No Issue</v>
      </c>
      <c r="L827" s="1" t="str">
        <f t="shared" si="106"/>
        <v>No Issue</v>
      </c>
      <c r="M827" s="1" t="str">
        <f t="shared" si="107"/>
        <v>No Issue</v>
      </c>
      <c r="N827" s="1" t="str">
        <f t="shared" si="108"/>
        <v>No Issue</v>
      </c>
      <c r="O827" s="1" t="str">
        <f t="shared" si="109"/>
        <v>No Issue</v>
      </c>
      <c r="P827" s="1" t="str">
        <f t="shared" si="110"/>
        <v>NoIssue</v>
      </c>
    </row>
    <row r="828" spans="1:16" ht="22.5" customHeight="1">
      <c r="A828" s="20"/>
      <c r="B828" s="1" t="s">
        <v>62</v>
      </c>
      <c r="C828" s="31"/>
      <c r="D828" s="1">
        <f t="shared" ref="D828:I828" si="111">SUMPRODUCT(D772:D827,$C772:$C827)</f>
        <v>0</v>
      </c>
      <c r="E828" s="1">
        <f t="shared" si="111"/>
        <v>0</v>
      </c>
      <c r="F828" s="1">
        <f t="shared" si="111"/>
        <v>0</v>
      </c>
      <c r="G828" s="1">
        <f t="shared" si="111"/>
        <v>0</v>
      </c>
      <c r="H828" s="1">
        <f t="shared" si="111"/>
        <v>0</v>
      </c>
      <c r="I828" s="1">
        <f t="shared" si="111"/>
        <v>0</v>
      </c>
      <c r="J828" s="1">
        <f t="shared" si="104"/>
        <v>0</v>
      </c>
      <c r="K828" s="19" t="str">
        <f t="shared" si="105"/>
        <v xml:space="preserve"> No Issue</v>
      </c>
      <c r="L828" s="1" t="str">
        <f t="shared" si="106"/>
        <v>No Issue</v>
      </c>
      <c r="M828" s="1" t="str">
        <f t="shared" si="107"/>
        <v>No Issue</v>
      </c>
      <c r="N828" s="1" t="str">
        <f t="shared" si="108"/>
        <v>No Issue</v>
      </c>
      <c r="O828" s="1" t="str">
        <f t="shared" si="109"/>
        <v>No Issue</v>
      </c>
      <c r="P828" s="1" t="str">
        <f t="shared" si="110"/>
        <v>NoIssue</v>
      </c>
    </row>
    <row r="829" spans="1:16" ht="22.5" customHeight="1">
      <c r="A829" s="8"/>
      <c r="B829" s="9" t="s">
        <v>3</v>
      </c>
      <c r="C829" s="10"/>
      <c r="D829" s="11"/>
      <c r="E829" s="9"/>
      <c r="F829" s="12"/>
      <c r="G829" s="46"/>
      <c r="H829" s="47"/>
      <c r="I829" s="12"/>
      <c r="J829" s="13"/>
      <c r="K829" s="48" t="s">
        <v>4</v>
      </c>
      <c r="L829" s="49"/>
      <c r="M829" s="49"/>
      <c r="N829" s="49"/>
      <c r="O829" s="49"/>
      <c r="P829" s="50"/>
    </row>
    <row r="830" spans="1:16" ht="22.5" customHeight="1">
      <c r="A830" s="35" t="s">
        <v>5</v>
      </c>
      <c r="B830" s="19" t="s">
        <v>6</v>
      </c>
      <c r="C830" s="19" t="s">
        <v>7</v>
      </c>
      <c r="D830" s="18" t="s">
        <v>8</v>
      </c>
      <c r="E830" s="18" t="s">
        <v>9</v>
      </c>
      <c r="F830" s="18" t="s">
        <v>10</v>
      </c>
      <c r="G830" s="18" t="s">
        <v>11</v>
      </c>
      <c r="H830" s="18" t="s">
        <v>12</v>
      </c>
      <c r="I830" s="18" t="s">
        <v>13</v>
      </c>
      <c r="J830" s="18" t="s">
        <v>14</v>
      </c>
      <c r="K830" s="19" t="s">
        <v>15</v>
      </c>
      <c r="L830" s="19" t="s">
        <v>16</v>
      </c>
      <c r="M830" s="19" t="s">
        <v>17</v>
      </c>
      <c r="N830" s="19" t="s">
        <v>18</v>
      </c>
      <c r="O830" s="19" t="s">
        <v>19</v>
      </c>
      <c r="P830" s="19" t="s">
        <v>20</v>
      </c>
    </row>
    <row r="831" spans="1:16" ht="22.5" customHeight="1">
      <c r="A831" s="20">
        <v>1</v>
      </c>
      <c r="B831" s="21" t="s">
        <v>21</v>
      </c>
      <c r="C831" s="22">
        <v>192.17</v>
      </c>
      <c r="D831" s="1"/>
      <c r="E831" s="1"/>
      <c r="F831" s="1"/>
      <c r="G831" s="1"/>
      <c r="H831" s="1"/>
      <c r="I831" s="1"/>
      <c r="J831" s="1">
        <f t="shared" ref="J831:J887" si="112">D831+E831-F831-G831+H831</f>
        <v>0</v>
      </c>
      <c r="K831" s="19" t="str">
        <f t="shared" ref="K831:K887" si="113">IF(I831&lt;&gt;(D831+E831-F831-G831+H831),"Closing stock Not Correct-Problem"," No Issue")</f>
        <v xml:space="preserve"> No Issue</v>
      </c>
      <c r="L831" s="1" t="str">
        <f t="shared" ref="L831:L887" si="114">IF((D831+E831)&lt;F831,"High Sale and Less Stock-Problem","No Issue")</f>
        <v>No Issue</v>
      </c>
      <c r="M831" s="1" t="str">
        <f t="shared" ref="M831:M887" si="115">IF(AND((D831+E831+I831)=0,F831&gt;0),"No Stock Sale Present Problem","No Issue")</f>
        <v>No Issue</v>
      </c>
      <c r="N831" s="1" t="str">
        <f t="shared" ref="N831:N887" si="116">IF(AND(SUM(D831:H831)=0,I831&gt;0),"Only Closing Entered Other Parameters No Entired Problem","No Issue")</f>
        <v>No Issue</v>
      </c>
      <c r="O831" s="1" t="str">
        <f t="shared" ref="O831:O887" si="117">IF(F831&gt;5000,"Check Once Sales quantity or Value Problem","No Issue")</f>
        <v>No Issue</v>
      </c>
      <c r="P831" s="1" t="str">
        <f t="shared" ref="P831:P887" si="118">IF(I831&gt;5000,"Check Once Closing quantity or Value Problem","NoIssue")</f>
        <v>NoIssue</v>
      </c>
    </row>
    <row r="832" spans="1:16" ht="22.5" customHeight="1">
      <c r="A832" s="20">
        <v>2</v>
      </c>
      <c r="B832" s="21" t="s">
        <v>22</v>
      </c>
      <c r="C832" s="22">
        <v>9.26</v>
      </c>
      <c r="D832" s="1"/>
      <c r="E832" s="1"/>
      <c r="F832" s="1"/>
      <c r="G832" s="1"/>
      <c r="H832" s="1"/>
      <c r="I832" s="1"/>
      <c r="J832" s="1">
        <f t="shared" si="112"/>
        <v>0</v>
      </c>
      <c r="K832" s="19" t="str">
        <f t="shared" si="113"/>
        <v xml:space="preserve"> No Issue</v>
      </c>
      <c r="L832" s="1" t="str">
        <f t="shared" si="114"/>
        <v>No Issue</v>
      </c>
      <c r="M832" s="1" t="str">
        <f t="shared" si="115"/>
        <v>No Issue</v>
      </c>
      <c r="N832" s="1" t="str">
        <f t="shared" si="116"/>
        <v>No Issue</v>
      </c>
      <c r="O832" s="1" t="str">
        <f t="shared" si="117"/>
        <v>No Issue</v>
      </c>
      <c r="P832" s="1" t="str">
        <f t="shared" si="118"/>
        <v>NoIssue</v>
      </c>
    </row>
    <row r="833" spans="1:16" ht="22.5" customHeight="1">
      <c r="A833" s="20">
        <v>3</v>
      </c>
      <c r="B833" s="21" t="s">
        <v>23</v>
      </c>
      <c r="C833" s="22">
        <v>87.79</v>
      </c>
      <c r="D833" s="1"/>
      <c r="E833" s="1"/>
      <c r="F833" s="1"/>
      <c r="G833" s="1"/>
      <c r="H833" s="1"/>
      <c r="I833" s="1"/>
      <c r="J833" s="1">
        <f t="shared" si="112"/>
        <v>0</v>
      </c>
      <c r="K833" s="19" t="str">
        <f t="shared" si="113"/>
        <v xml:space="preserve"> No Issue</v>
      </c>
      <c r="L833" s="1" t="str">
        <f t="shared" si="114"/>
        <v>No Issue</v>
      </c>
      <c r="M833" s="1" t="str">
        <f t="shared" si="115"/>
        <v>No Issue</v>
      </c>
      <c r="N833" s="1" t="str">
        <f t="shared" si="116"/>
        <v>No Issue</v>
      </c>
      <c r="O833" s="1" t="str">
        <f t="shared" si="117"/>
        <v>No Issue</v>
      </c>
      <c r="P833" s="1" t="str">
        <f t="shared" si="118"/>
        <v>NoIssue</v>
      </c>
    </row>
    <row r="834" spans="1:16" ht="22.5" customHeight="1">
      <c r="A834" s="20">
        <v>4</v>
      </c>
      <c r="B834" s="21" t="s">
        <v>24</v>
      </c>
      <c r="C834" s="22">
        <v>55.55</v>
      </c>
      <c r="D834" s="1"/>
      <c r="E834" s="1"/>
      <c r="F834" s="1"/>
      <c r="G834" s="1"/>
      <c r="H834" s="1"/>
      <c r="I834" s="1"/>
      <c r="J834" s="1">
        <f t="shared" si="112"/>
        <v>0</v>
      </c>
      <c r="K834" s="19" t="str">
        <f t="shared" si="113"/>
        <v xml:space="preserve"> No Issue</v>
      </c>
      <c r="L834" s="1" t="str">
        <f t="shared" si="114"/>
        <v>No Issue</v>
      </c>
      <c r="M834" s="1" t="str">
        <f t="shared" si="115"/>
        <v>No Issue</v>
      </c>
      <c r="N834" s="1" t="str">
        <f t="shared" si="116"/>
        <v>No Issue</v>
      </c>
      <c r="O834" s="1" t="str">
        <f t="shared" si="117"/>
        <v>No Issue</v>
      </c>
      <c r="P834" s="1" t="str">
        <f t="shared" si="118"/>
        <v>NoIssue</v>
      </c>
    </row>
    <row r="835" spans="1:16" ht="22.5" customHeight="1">
      <c r="A835" s="20">
        <v>5</v>
      </c>
      <c r="B835" s="21" t="s">
        <v>25</v>
      </c>
      <c r="C835" s="22">
        <v>70.010000000000005</v>
      </c>
      <c r="D835" s="1"/>
      <c r="E835" s="1"/>
      <c r="F835" s="1"/>
      <c r="G835" s="1"/>
      <c r="H835" s="1"/>
      <c r="I835" s="1"/>
      <c r="J835" s="1">
        <f t="shared" si="112"/>
        <v>0</v>
      </c>
      <c r="K835" s="19" t="str">
        <f t="shared" si="113"/>
        <v xml:space="preserve"> No Issue</v>
      </c>
      <c r="L835" s="1" t="str">
        <f t="shared" si="114"/>
        <v>No Issue</v>
      </c>
      <c r="M835" s="1" t="str">
        <f t="shared" si="115"/>
        <v>No Issue</v>
      </c>
      <c r="N835" s="1" t="str">
        <f t="shared" si="116"/>
        <v>No Issue</v>
      </c>
      <c r="O835" s="1" t="str">
        <f t="shared" si="117"/>
        <v>No Issue</v>
      </c>
      <c r="P835" s="1" t="str">
        <f t="shared" si="118"/>
        <v>NoIssue</v>
      </c>
    </row>
    <row r="836" spans="1:16" ht="22.5" customHeight="1">
      <c r="A836" s="20">
        <v>6</v>
      </c>
      <c r="B836" s="25" t="s">
        <v>26</v>
      </c>
      <c r="C836" s="22">
        <v>73.929999999999993</v>
      </c>
      <c r="D836" s="1"/>
      <c r="E836" s="1"/>
      <c r="F836" s="1"/>
      <c r="G836" s="1"/>
      <c r="H836" s="1"/>
      <c r="I836" s="1"/>
      <c r="J836" s="1">
        <f t="shared" si="112"/>
        <v>0</v>
      </c>
      <c r="K836" s="19" t="str">
        <f t="shared" si="113"/>
        <v xml:space="preserve"> No Issue</v>
      </c>
      <c r="L836" s="1" t="str">
        <f t="shared" si="114"/>
        <v>No Issue</v>
      </c>
      <c r="M836" s="1" t="str">
        <f t="shared" si="115"/>
        <v>No Issue</v>
      </c>
      <c r="N836" s="1" t="str">
        <f t="shared" si="116"/>
        <v>No Issue</v>
      </c>
      <c r="O836" s="1" t="str">
        <f t="shared" si="117"/>
        <v>No Issue</v>
      </c>
      <c r="P836" s="1" t="str">
        <f t="shared" si="118"/>
        <v>NoIssue</v>
      </c>
    </row>
    <row r="837" spans="1:16" ht="22.5" customHeight="1">
      <c r="A837" s="20">
        <v>7</v>
      </c>
      <c r="B837" s="21" t="s">
        <v>27</v>
      </c>
      <c r="C837" s="26">
        <v>13.91</v>
      </c>
      <c r="D837" s="1"/>
      <c r="E837" s="1"/>
      <c r="F837" s="1"/>
      <c r="G837" s="1"/>
      <c r="H837" s="1"/>
      <c r="I837" s="1"/>
      <c r="J837" s="1">
        <f t="shared" si="112"/>
        <v>0</v>
      </c>
      <c r="K837" s="19" t="str">
        <f t="shared" si="113"/>
        <v xml:space="preserve"> No Issue</v>
      </c>
      <c r="L837" s="1" t="str">
        <f t="shared" si="114"/>
        <v>No Issue</v>
      </c>
      <c r="M837" s="1" t="str">
        <f t="shared" si="115"/>
        <v>No Issue</v>
      </c>
      <c r="N837" s="1" t="str">
        <f t="shared" si="116"/>
        <v>No Issue</v>
      </c>
      <c r="O837" s="1" t="str">
        <f t="shared" si="117"/>
        <v>No Issue</v>
      </c>
      <c r="P837" s="1" t="str">
        <f t="shared" si="118"/>
        <v>NoIssue</v>
      </c>
    </row>
    <row r="838" spans="1:16" ht="22.5" customHeight="1">
      <c r="A838" s="20">
        <v>8</v>
      </c>
      <c r="B838" s="21" t="s">
        <v>28</v>
      </c>
      <c r="C838" s="26">
        <v>19.5</v>
      </c>
      <c r="D838" s="1"/>
      <c r="E838" s="1"/>
      <c r="F838" s="1"/>
      <c r="G838" s="1"/>
      <c r="H838" s="1"/>
      <c r="I838" s="1"/>
      <c r="J838" s="1">
        <f t="shared" si="112"/>
        <v>0</v>
      </c>
      <c r="K838" s="19" t="str">
        <f t="shared" si="113"/>
        <v xml:space="preserve"> No Issue</v>
      </c>
      <c r="L838" s="1" t="str">
        <f t="shared" si="114"/>
        <v>No Issue</v>
      </c>
      <c r="M838" s="1" t="str">
        <f t="shared" si="115"/>
        <v>No Issue</v>
      </c>
      <c r="N838" s="1" t="str">
        <f t="shared" si="116"/>
        <v>No Issue</v>
      </c>
      <c r="O838" s="1" t="str">
        <f t="shared" si="117"/>
        <v>No Issue</v>
      </c>
      <c r="P838" s="1" t="str">
        <f t="shared" si="118"/>
        <v>NoIssue</v>
      </c>
    </row>
    <row r="839" spans="1:16" ht="22.5" customHeight="1">
      <c r="A839" s="20">
        <v>9</v>
      </c>
      <c r="B839" s="21" t="s">
        <v>29</v>
      </c>
      <c r="C839" s="26">
        <v>28.83</v>
      </c>
      <c r="D839" s="1"/>
      <c r="E839" s="1"/>
      <c r="F839" s="1"/>
      <c r="G839" s="1"/>
      <c r="H839" s="1"/>
      <c r="I839" s="1"/>
      <c r="J839" s="1">
        <f t="shared" si="112"/>
        <v>0</v>
      </c>
      <c r="K839" s="19" t="str">
        <f t="shared" si="113"/>
        <v xml:space="preserve"> No Issue</v>
      </c>
      <c r="L839" s="1" t="str">
        <f t="shared" si="114"/>
        <v>No Issue</v>
      </c>
      <c r="M839" s="1" t="str">
        <f t="shared" si="115"/>
        <v>No Issue</v>
      </c>
      <c r="N839" s="1" t="str">
        <f t="shared" si="116"/>
        <v>No Issue</v>
      </c>
      <c r="O839" s="1" t="str">
        <f t="shared" si="117"/>
        <v>No Issue</v>
      </c>
      <c r="P839" s="1" t="str">
        <f t="shared" si="118"/>
        <v>NoIssue</v>
      </c>
    </row>
    <row r="840" spans="1:16" ht="22.5" customHeight="1">
      <c r="A840" s="20">
        <v>10</v>
      </c>
      <c r="B840" s="21" t="s">
        <v>30</v>
      </c>
      <c r="C840" s="26">
        <v>8.51</v>
      </c>
      <c r="D840" s="1"/>
      <c r="E840" s="1"/>
      <c r="F840" s="1"/>
      <c r="G840" s="1"/>
      <c r="H840" s="1"/>
      <c r="I840" s="1"/>
      <c r="J840" s="1">
        <f t="shared" si="112"/>
        <v>0</v>
      </c>
      <c r="K840" s="19" t="str">
        <f t="shared" si="113"/>
        <v xml:space="preserve"> No Issue</v>
      </c>
      <c r="L840" s="1" t="str">
        <f t="shared" si="114"/>
        <v>No Issue</v>
      </c>
      <c r="M840" s="1" t="str">
        <f t="shared" si="115"/>
        <v>No Issue</v>
      </c>
      <c r="N840" s="1" t="str">
        <f t="shared" si="116"/>
        <v>No Issue</v>
      </c>
      <c r="O840" s="1" t="str">
        <f t="shared" si="117"/>
        <v>No Issue</v>
      </c>
      <c r="P840" s="1" t="str">
        <f t="shared" si="118"/>
        <v>NoIssue</v>
      </c>
    </row>
    <row r="841" spans="1:16" ht="22.5" customHeight="1">
      <c r="A841" s="20">
        <v>11</v>
      </c>
      <c r="B841" s="21" t="s">
        <v>31</v>
      </c>
      <c r="C841" s="26">
        <v>102.17</v>
      </c>
      <c r="D841" s="1"/>
      <c r="E841" s="1"/>
      <c r="F841" s="1"/>
      <c r="G841" s="1"/>
      <c r="H841" s="1"/>
      <c r="I841" s="1"/>
      <c r="J841" s="1">
        <f t="shared" si="112"/>
        <v>0</v>
      </c>
      <c r="K841" s="19" t="str">
        <f t="shared" si="113"/>
        <v xml:space="preserve"> No Issue</v>
      </c>
      <c r="L841" s="1" t="str">
        <f t="shared" si="114"/>
        <v>No Issue</v>
      </c>
      <c r="M841" s="1" t="str">
        <f t="shared" si="115"/>
        <v>No Issue</v>
      </c>
      <c r="N841" s="1" t="str">
        <f t="shared" si="116"/>
        <v>No Issue</v>
      </c>
      <c r="O841" s="1" t="str">
        <f t="shared" si="117"/>
        <v>No Issue</v>
      </c>
      <c r="P841" s="1" t="str">
        <f t="shared" si="118"/>
        <v>NoIssue</v>
      </c>
    </row>
    <row r="842" spans="1:16" ht="22.5" customHeight="1">
      <c r="A842" s="20">
        <v>12</v>
      </c>
      <c r="B842" s="21" t="s">
        <v>32</v>
      </c>
      <c r="C842" s="26">
        <v>59.93</v>
      </c>
      <c r="D842" s="1"/>
      <c r="E842" s="1"/>
      <c r="F842" s="1"/>
      <c r="G842" s="1"/>
      <c r="H842" s="1"/>
      <c r="I842" s="1"/>
      <c r="J842" s="1">
        <f t="shared" si="112"/>
        <v>0</v>
      </c>
      <c r="K842" s="19" t="str">
        <f t="shared" si="113"/>
        <v xml:space="preserve"> No Issue</v>
      </c>
      <c r="L842" s="1" t="str">
        <f t="shared" si="114"/>
        <v>No Issue</v>
      </c>
      <c r="M842" s="1" t="str">
        <f t="shared" si="115"/>
        <v>No Issue</v>
      </c>
      <c r="N842" s="1" t="str">
        <f t="shared" si="116"/>
        <v>No Issue</v>
      </c>
      <c r="O842" s="1" t="str">
        <f t="shared" si="117"/>
        <v>No Issue</v>
      </c>
      <c r="P842" s="1" t="str">
        <f t="shared" si="118"/>
        <v>NoIssue</v>
      </c>
    </row>
    <row r="843" spans="1:16" ht="22.5" customHeight="1">
      <c r="A843" s="20">
        <v>13</v>
      </c>
      <c r="B843" s="21" t="s">
        <v>33</v>
      </c>
      <c r="C843" s="26">
        <v>118</v>
      </c>
      <c r="D843" s="1"/>
      <c r="E843" s="1"/>
      <c r="F843" s="1"/>
      <c r="G843" s="1"/>
      <c r="H843" s="1"/>
      <c r="I843" s="1"/>
      <c r="J843" s="1">
        <f t="shared" si="112"/>
        <v>0</v>
      </c>
      <c r="K843" s="19" t="str">
        <f t="shared" si="113"/>
        <v xml:space="preserve"> No Issue</v>
      </c>
      <c r="L843" s="1" t="str">
        <f t="shared" si="114"/>
        <v>No Issue</v>
      </c>
      <c r="M843" s="1" t="str">
        <f t="shared" si="115"/>
        <v>No Issue</v>
      </c>
      <c r="N843" s="1" t="str">
        <f t="shared" si="116"/>
        <v>No Issue</v>
      </c>
      <c r="O843" s="1" t="str">
        <f t="shared" si="117"/>
        <v>No Issue</v>
      </c>
      <c r="P843" s="1" t="str">
        <f t="shared" si="118"/>
        <v>NoIssue</v>
      </c>
    </row>
    <row r="844" spans="1:16" ht="22.5" customHeight="1">
      <c r="A844" s="20">
        <v>14</v>
      </c>
      <c r="B844" s="21" t="s">
        <v>34</v>
      </c>
      <c r="C844" s="26">
        <v>52.83</v>
      </c>
      <c r="D844" s="1"/>
      <c r="E844" s="1"/>
      <c r="F844" s="1"/>
      <c r="G844" s="1"/>
      <c r="H844" s="1"/>
      <c r="I844" s="1"/>
      <c r="J844" s="1">
        <f t="shared" si="112"/>
        <v>0</v>
      </c>
      <c r="K844" s="19" t="str">
        <f t="shared" si="113"/>
        <v xml:space="preserve"> No Issue</v>
      </c>
      <c r="L844" s="1" t="str">
        <f t="shared" si="114"/>
        <v>No Issue</v>
      </c>
      <c r="M844" s="1" t="str">
        <f t="shared" si="115"/>
        <v>No Issue</v>
      </c>
      <c r="N844" s="1" t="str">
        <f t="shared" si="116"/>
        <v>No Issue</v>
      </c>
      <c r="O844" s="1" t="str">
        <f t="shared" si="117"/>
        <v>No Issue</v>
      </c>
      <c r="P844" s="1" t="str">
        <f t="shared" si="118"/>
        <v>NoIssue</v>
      </c>
    </row>
    <row r="845" spans="1:16" ht="22.5" customHeight="1">
      <c r="A845" s="20">
        <v>15</v>
      </c>
      <c r="B845" s="21" t="s">
        <v>35</v>
      </c>
      <c r="C845" s="26">
        <v>93.2</v>
      </c>
      <c r="D845" s="1"/>
      <c r="E845" s="1"/>
      <c r="F845" s="1"/>
      <c r="G845" s="1"/>
      <c r="H845" s="1"/>
      <c r="I845" s="1"/>
      <c r="J845" s="1">
        <f t="shared" si="112"/>
        <v>0</v>
      </c>
      <c r="K845" s="19" t="str">
        <f t="shared" si="113"/>
        <v xml:space="preserve"> No Issue</v>
      </c>
      <c r="L845" s="1" t="str">
        <f t="shared" si="114"/>
        <v>No Issue</v>
      </c>
      <c r="M845" s="1" t="str">
        <f t="shared" si="115"/>
        <v>No Issue</v>
      </c>
      <c r="N845" s="1" t="str">
        <f t="shared" si="116"/>
        <v>No Issue</v>
      </c>
      <c r="O845" s="1" t="str">
        <f t="shared" si="117"/>
        <v>No Issue</v>
      </c>
      <c r="P845" s="1" t="str">
        <f t="shared" si="118"/>
        <v>NoIssue</v>
      </c>
    </row>
    <row r="846" spans="1:16" ht="22.5" customHeight="1">
      <c r="A846" s="20">
        <v>16</v>
      </c>
      <c r="B846" s="21" t="s">
        <v>36</v>
      </c>
      <c r="C846" s="26">
        <v>61.02</v>
      </c>
      <c r="D846" s="1"/>
      <c r="E846" s="1"/>
      <c r="F846" s="1"/>
      <c r="G846" s="1"/>
      <c r="H846" s="1"/>
      <c r="I846" s="1"/>
      <c r="J846" s="1">
        <f t="shared" si="112"/>
        <v>0</v>
      </c>
      <c r="K846" s="19" t="str">
        <f t="shared" si="113"/>
        <v xml:space="preserve"> No Issue</v>
      </c>
      <c r="L846" s="1" t="str">
        <f t="shared" si="114"/>
        <v>No Issue</v>
      </c>
      <c r="M846" s="1" t="str">
        <f t="shared" si="115"/>
        <v>No Issue</v>
      </c>
      <c r="N846" s="1" t="str">
        <f t="shared" si="116"/>
        <v>No Issue</v>
      </c>
      <c r="O846" s="1" t="str">
        <f t="shared" si="117"/>
        <v>No Issue</v>
      </c>
      <c r="P846" s="1" t="str">
        <f t="shared" si="118"/>
        <v>NoIssue</v>
      </c>
    </row>
    <row r="847" spans="1:16" ht="22.5" customHeight="1">
      <c r="A847" s="20">
        <v>17</v>
      </c>
      <c r="B847" s="21" t="s">
        <v>37</v>
      </c>
      <c r="C847" s="26">
        <v>36.619999999999997</v>
      </c>
      <c r="D847" s="1"/>
      <c r="E847" s="1"/>
      <c r="F847" s="1"/>
      <c r="G847" s="1"/>
      <c r="H847" s="1"/>
      <c r="I847" s="1"/>
      <c r="J847" s="1">
        <f t="shared" si="112"/>
        <v>0</v>
      </c>
      <c r="K847" s="19" t="str">
        <f t="shared" si="113"/>
        <v xml:space="preserve"> No Issue</v>
      </c>
      <c r="L847" s="1" t="str">
        <f t="shared" si="114"/>
        <v>No Issue</v>
      </c>
      <c r="M847" s="1" t="str">
        <f t="shared" si="115"/>
        <v>No Issue</v>
      </c>
      <c r="N847" s="1" t="str">
        <f t="shared" si="116"/>
        <v>No Issue</v>
      </c>
      <c r="O847" s="1" t="str">
        <f t="shared" si="117"/>
        <v>No Issue</v>
      </c>
      <c r="P847" s="1" t="str">
        <f t="shared" si="118"/>
        <v>NoIssue</v>
      </c>
    </row>
    <row r="848" spans="1:16" ht="22.5" customHeight="1">
      <c r="A848" s="20">
        <v>18</v>
      </c>
      <c r="B848" s="21" t="s">
        <v>38</v>
      </c>
      <c r="C848" s="26">
        <v>80.36</v>
      </c>
      <c r="D848" s="1"/>
      <c r="E848" s="1"/>
      <c r="F848" s="1"/>
      <c r="G848" s="1"/>
      <c r="H848" s="1"/>
      <c r="I848" s="1"/>
      <c r="J848" s="1">
        <f t="shared" si="112"/>
        <v>0</v>
      </c>
      <c r="K848" s="19" t="str">
        <f t="shared" si="113"/>
        <v xml:space="preserve"> No Issue</v>
      </c>
      <c r="L848" s="1" t="str">
        <f t="shared" si="114"/>
        <v>No Issue</v>
      </c>
      <c r="M848" s="1" t="str">
        <f t="shared" si="115"/>
        <v>No Issue</v>
      </c>
      <c r="N848" s="1" t="str">
        <f t="shared" si="116"/>
        <v>No Issue</v>
      </c>
      <c r="O848" s="1" t="str">
        <f t="shared" si="117"/>
        <v>No Issue</v>
      </c>
      <c r="P848" s="1" t="str">
        <f t="shared" si="118"/>
        <v>NoIssue</v>
      </c>
    </row>
    <row r="849" spans="1:16" ht="22.5" customHeight="1">
      <c r="A849" s="20">
        <v>19</v>
      </c>
      <c r="B849" s="21" t="s">
        <v>39</v>
      </c>
      <c r="C849" s="26">
        <v>160.56</v>
      </c>
      <c r="D849" s="1"/>
      <c r="E849" s="1"/>
      <c r="F849" s="1"/>
      <c r="G849" s="1"/>
      <c r="H849" s="1"/>
      <c r="I849" s="1"/>
      <c r="J849" s="1">
        <f t="shared" si="112"/>
        <v>0</v>
      </c>
      <c r="K849" s="19" t="str">
        <f t="shared" si="113"/>
        <v xml:space="preserve"> No Issue</v>
      </c>
      <c r="L849" s="1" t="str">
        <f t="shared" si="114"/>
        <v>No Issue</v>
      </c>
      <c r="M849" s="1" t="str">
        <f t="shared" si="115"/>
        <v>No Issue</v>
      </c>
      <c r="N849" s="1" t="str">
        <f t="shared" si="116"/>
        <v>No Issue</v>
      </c>
      <c r="O849" s="1" t="str">
        <f t="shared" si="117"/>
        <v>No Issue</v>
      </c>
      <c r="P849" s="1" t="str">
        <f t="shared" si="118"/>
        <v>NoIssue</v>
      </c>
    </row>
    <row r="850" spans="1:16" ht="22.5" customHeight="1">
      <c r="A850" s="20">
        <v>20</v>
      </c>
      <c r="B850" s="21" t="s">
        <v>40</v>
      </c>
      <c r="C850" s="26">
        <v>186.44</v>
      </c>
      <c r="D850" s="1"/>
      <c r="E850" s="1"/>
      <c r="F850" s="1"/>
      <c r="G850" s="1"/>
      <c r="H850" s="1"/>
      <c r="I850" s="1"/>
      <c r="J850" s="1">
        <f t="shared" si="112"/>
        <v>0</v>
      </c>
      <c r="K850" s="19" t="str">
        <f t="shared" si="113"/>
        <v xml:space="preserve"> No Issue</v>
      </c>
      <c r="L850" s="1" t="str">
        <f t="shared" si="114"/>
        <v>No Issue</v>
      </c>
      <c r="M850" s="1" t="str">
        <f t="shared" si="115"/>
        <v>No Issue</v>
      </c>
      <c r="N850" s="1" t="str">
        <f t="shared" si="116"/>
        <v>No Issue</v>
      </c>
      <c r="O850" s="1" t="str">
        <f t="shared" si="117"/>
        <v>No Issue</v>
      </c>
      <c r="P850" s="1" t="str">
        <f t="shared" si="118"/>
        <v>NoIssue</v>
      </c>
    </row>
    <row r="851" spans="1:16" ht="22.5" customHeight="1">
      <c r="A851" s="20">
        <v>21</v>
      </c>
      <c r="B851" s="21" t="s">
        <v>41</v>
      </c>
      <c r="C851" s="26">
        <v>92.59</v>
      </c>
      <c r="D851" s="1"/>
      <c r="E851" s="1"/>
      <c r="F851" s="1"/>
      <c r="G851" s="1"/>
      <c r="H851" s="1"/>
      <c r="I851" s="1"/>
      <c r="J851" s="1">
        <f t="shared" si="112"/>
        <v>0</v>
      </c>
      <c r="K851" s="19" t="str">
        <f t="shared" si="113"/>
        <v xml:space="preserve"> No Issue</v>
      </c>
      <c r="L851" s="1" t="str">
        <f t="shared" si="114"/>
        <v>No Issue</v>
      </c>
      <c r="M851" s="1" t="str">
        <f t="shared" si="115"/>
        <v>No Issue</v>
      </c>
      <c r="N851" s="1" t="str">
        <f t="shared" si="116"/>
        <v>No Issue</v>
      </c>
      <c r="O851" s="1" t="str">
        <f t="shared" si="117"/>
        <v>No Issue</v>
      </c>
      <c r="P851" s="1" t="str">
        <f t="shared" si="118"/>
        <v>NoIssue</v>
      </c>
    </row>
    <row r="852" spans="1:16" ht="22.5" customHeight="1">
      <c r="A852" s="20">
        <v>22</v>
      </c>
      <c r="B852" s="21" t="s">
        <v>42</v>
      </c>
      <c r="C852" s="26">
        <v>95.17</v>
      </c>
      <c r="D852" s="1"/>
      <c r="E852" s="1"/>
      <c r="F852" s="1"/>
      <c r="G852" s="1"/>
      <c r="H852" s="1"/>
      <c r="I852" s="1"/>
      <c r="J852" s="1">
        <f t="shared" si="112"/>
        <v>0</v>
      </c>
      <c r="K852" s="19" t="str">
        <f t="shared" si="113"/>
        <v xml:space="preserve"> No Issue</v>
      </c>
      <c r="L852" s="1" t="str">
        <f t="shared" si="114"/>
        <v>No Issue</v>
      </c>
      <c r="M852" s="1" t="str">
        <f t="shared" si="115"/>
        <v>No Issue</v>
      </c>
      <c r="N852" s="1" t="str">
        <f t="shared" si="116"/>
        <v>No Issue</v>
      </c>
      <c r="O852" s="1" t="str">
        <f t="shared" si="117"/>
        <v>No Issue</v>
      </c>
      <c r="P852" s="1" t="str">
        <f t="shared" si="118"/>
        <v>NoIssue</v>
      </c>
    </row>
    <row r="853" spans="1:16" ht="22.5" customHeight="1">
      <c r="A853" s="20">
        <v>23</v>
      </c>
      <c r="B853" s="21" t="s">
        <v>43</v>
      </c>
      <c r="C853" s="26">
        <v>92.94</v>
      </c>
      <c r="D853" s="1"/>
      <c r="E853" s="1"/>
      <c r="F853" s="1"/>
      <c r="G853" s="1"/>
      <c r="H853" s="1"/>
      <c r="I853" s="1"/>
      <c r="J853" s="1">
        <f t="shared" si="112"/>
        <v>0</v>
      </c>
      <c r="K853" s="19" t="str">
        <f t="shared" si="113"/>
        <v xml:space="preserve"> No Issue</v>
      </c>
      <c r="L853" s="1" t="str">
        <f t="shared" si="114"/>
        <v>No Issue</v>
      </c>
      <c r="M853" s="1" t="str">
        <f t="shared" si="115"/>
        <v>No Issue</v>
      </c>
      <c r="N853" s="1" t="str">
        <f t="shared" si="116"/>
        <v>No Issue</v>
      </c>
      <c r="O853" s="1" t="str">
        <f t="shared" si="117"/>
        <v>No Issue</v>
      </c>
      <c r="P853" s="1" t="str">
        <f t="shared" si="118"/>
        <v>NoIssue</v>
      </c>
    </row>
    <row r="854" spans="1:16" ht="22.5" customHeight="1">
      <c r="A854" s="20">
        <v>24</v>
      </c>
      <c r="B854" s="21" t="s">
        <v>44</v>
      </c>
      <c r="C854" s="26">
        <v>101.82</v>
      </c>
      <c r="D854" s="1"/>
      <c r="E854" s="1"/>
      <c r="F854" s="1"/>
      <c r="G854" s="1"/>
      <c r="H854" s="1"/>
      <c r="I854" s="1"/>
      <c r="J854" s="1">
        <f t="shared" si="112"/>
        <v>0</v>
      </c>
      <c r="K854" s="19" t="str">
        <f t="shared" si="113"/>
        <v xml:space="preserve"> No Issue</v>
      </c>
      <c r="L854" s="1" t="str">
        <f t="shared" si="114"/>
        <v>No Issue</v>
      </c>
      <c r="M854" s="1" t="str">
        <f t="shared" si="115"/>
        <v>No Issue</v>
      </c>
      <c r="N854" s="1" t="str">
        <f t="shared" si="116"/>
        <v>No Issue</v>
      </c>
      <c r="O854" s="1" t="str">
        <f t="shared" si="117"/>
        <v>No Issue</v>
      </c>
      <c r="P854" s="1" t="str">
        <f t="shared" si="118"/>
        <v>NoIssue</v>
      </c>
    </row>
    <row r="855" spans="1:16" ht="22.5" customHeight="1">
      <c r="A855" s="20">
        <v>25</v>
      </c>
      <c r="B855" s="21" t="s">
        <v>45</v>
      </c>
      <c r="C855" s="26">
        <v>53.49</v>
      </c>
      <c r="D855" s="1"/>
      <c r="E855" s="1"/>
      <c r="F855" s="1"/>
      <c r="G855" s="1"/>
      <c r="H855" s="1"/>
      <c r="I855" s="1"/>
      <c r="J855" s="1">
        <f t="shared" si="112"/>
        <v>0</v>
      </c>
      <c r="K855" s="19" t="str">
        <f t="shared" si="113"/>
        <v xml:space="preserve"> No Issue</v>
      </c>
      <c r="L855" s="1" t="str">
        <f t="shared" si="114"/>
        <v>No Issue</v>
      </c>
      <c r="M855" s="1" t="str">
        <f t="shared" si="115"/>
        <v>No Issue</v>
      </c>
      <c r="N855" s="1" t="str">
        <f t="shared" si="116"/>
        <v>No Issue</v>
      </c>
      <c r="O855" s="1" t="str">
        <f t="shared" si="117"/>
        <v>No Issue</v>
      </c>
      <c r="P855" s="1" t="str">
        <f t="shared" si="118"/>
        <v>NoIssue</v>
      </c>
    </row>
    <row r="856" spans="1:16" ht="22.5" customHeight="1">
      <c r="A856" s="20">
        <v>26</v>
      </c>
      <c r="B856" s="21" t="s">
        <v>46</v>
      </c>
      <c r="C856" s="26">
        <v>32.92</v>
      </c>
      <c r="D856" s="1"/>
      <c r="E856" s="1"/>
      <c r="F856" s="1"/>
      <c r="G856" s="1"/>
      <c r="H856" s="1"/>
      <c r="I856" s="1"/>
      <c r="J856" s="1">
        <f t="shared" si="112"/>
        <v>0</v>
      </c>
      <c r="K856" s="19" t="str">
        <f t="shared" si="113"/>
        <v xml:space="preserve"> No Issue</v>
      </c>
      <c r="L856" s="1" t="str">
        <f t="shared" si="114"/>
        <v>No Issue</v>
      </c>
      <c r="M856" s="1" t="str">
        <f t="shared" si="115"/>
        <v>No Issue</v>
      </c>
      <c r="N856" s="1" t="str">
        <f t="shared" si="116"/>
        <v>No Issue</v>
      </c>
      <c r="O856" s="1" t="str">
        <f t="shared" si="117"/>
        <v>No Issue</v>
      </c>
      <c r="P856" s="1" t="str">
        <f t="shared" si="118"/>
        <v>NoIssue</v>
      </c>
    </row>
    <row r="857" spans="1:16" ht="22.5" customHeight="1">
      <c r="A857" s="20">
        <v>27</v>
      </c>
      <c r="B857" s="21" t="s">
        <v>47</v>
      </c>
      <c r="C857" s="26">
        <v>116.68</v>
      </c>
      <c r="D857" s="1"/>
      <c r="E857" s="1"/>
      <c r="F857" s="1"/>
      <c r="G857" s="1"/>
      <c r="H857" s="1"/>
      <c r="I857" s="1"/>
      <c r="J857" s="1">
        <f t="shared" si="112"/>
        <v>0</v>
      </c>
      <c r="K857" s="19" t="str">
        <f t="shared" si="113"/>
        <v xml:space="preserve"> No Issue</v>
      </c>
      <c r="L857" s="1" t="str">
        <f t="shared" si="114"/>
        <v>No Issue</v>
      </c>
      <c r="M857" s="1" t="str">
        <f t="shared" si="115"/>
        <v>No Issue</v>
      </c>
      <c r="N857" s="1" t="str">
        <f t="shared" si="116"/>
        <v>No Issue</v>
      </c>
      <c r="O857" s="1" t="str">
        <f t="shared" si="117"/>
        <v>No Issue</v>
      </c>
      <c r="P857" s="1" t="str">
        <f t="shared" si="118"/>
        <v>NoIssue</v>
      </c>
    </row>
    <row r="858" spans="1:16" ht="22.5" customHeight="1">
      <c r="A858" s="20">
        <v>28</v>
      </c>
      <c r="B858" s="21" t="s">
        <v>48</v>
      </c>
      <c r="C858" s="26">
        <v>107.96</v>
      </c>
      <c r="D858" s="1"/>
      <c r="E858" s="1"/>
      <c r="F858" s="1"/>
      <c r="G858" s="1"/>
      <c r="H858" s="1"/>
      <c r="I858" s="1"/>
      <c r="J858" s="1">
        <f t="shared" si="112"/>
        <v>0</v>
      </c>
      <c r="K858" s="19" t="str">
        <f t="shared" si="113"/>
        <v xml:space="preserve"> No Issue</v>
      </c>
      <c r="L858" s="1" t="str">
        <f t="shared" si="114"/>
        <v>No Issue</v>
      </c>
      <c r="M858" s="1" t="str">
        <f t="shared" si="115"/>
        <v>No Issue</v>
      </c>
      <c r="N858" s="1" t="str">
        <f t="shared" si="116"/>
        <v>No Issue</v>
      </c>
      <c r="O858" s="1" t="str">
        <f t="shared" si="117"/>
        <v>No Issue</v>
      </c>
      <c r="P858" s="1" t="str">
        <f t="shared" si="118"/>
        <v>NoIssue</v>
      </c>
    </row>
    <row r="859" spans="1:16" ht="22.5" customHeight="1">
      <c r="A859" s="20">
        <v>29</v>
      </c>
      <c r="B859" s="21" t="s">
        <v>49</v>
      </c>
      <c r="C859" s="26">
        <v>248.89</v>
      </c>
      <c r="D859" s="1"/>
      <c r="E859" s="1"/>
      <c r="F859" s="1"/>
      <c r="G859" s="1"/>
      <c r="H859" s="1"/>
      <c r="I859" s="1"/>
      <c r="J859" s="1">
        <f t="shared" si="112"/>
        <v>0</v>
      </c>
      <c r="K859" s="19" t="str">
        <f t="shared" si="113"/>
        <v xml:space="preserve"> No Issue</v>
      </c>
      <c r="L859" s="1" t="str">
        <f t="shared" si="114"/>
        <v>No Issue</v>
      </c>
      <c r="M859" s="1" t="str">
        <f t="shared" si="115"/>
        <v>No Issue</v>
      </c>
      <c r="N859" s="1" t="str">
        <f t="shared" si="116"/>
        <v>No Issue</v>
      </c>
      <c r="O859" s="1" t="str">
        <f t="shared" si="117"/>
        <v>No Issue</v>
      </c>
      <c r="P859" s="1" t="str">
        <f t="shared" si="118"/>
        <v>NoIssue</v>
      </c>
    </row>
    <row r="860" spans="1:16" ht="22.5" customHeight="1">
      <c r="A860" s="20">
        <v>30</v>
      </c>
      <c r="B860" s="21" t="s">
        <v>50</v>
      </c>
      <c r="C860" s="26">
        <v>80.36</v>
      </c>
      <c r="D860" s="1"/>
      <c r="E860" s="1"/>
      <c r="F860" s="19"/>
      <c r="G860" s="19"/>
      <c r="H860" s="19"/>
      <c r="I860" s="1"/>
      <c r="J860" s="1">
        <f t="shared" si="112"/>
        <v>0</v>
      </c>
      <c r="K860" s="19" t="str">
        <f t="shared" si="113"/>
        <v xml:space="preserve"> No Issue</v>
      </c>
      <c r="L860" s="1" t="str">
        <f t="shared" si="114"/>
        <v>No Issue</v>
      </c>
      <c r="M860" s="1" t="str">
        <f t="shared" si="115"/>
        <v>No Issue</v>
      </c>
      <c r="N860" s="1" t="str">
        <f t="shared" si="116"/>
        <v>No Issue</v>
      </c>
      <c r="O860" s="1" t="str">
        <f t="shared" si="117"/>
        <v>No Issue</v>
      </c>
      <c r="P860" s="1" t="str">
        <f t="shared" si="118"/>
        <v>NoIssue</v>
      </c>
    </row>
    <row r="861" spans="1:16" ht="22.5" customHeight="1">
      <c r="A861" s="20">
        <v>31</v>
      </c>
      <c r="B861" s="21" t="s">
        <v>51</v>
      </c>
      <c r="C861" s="26">
        <v>52.46</v>
      </c>
      <c r="D861" s="1"/>
      <c r="E861" s="1"/>
      <c r="F861" s="19"/>
      <c r="G861" s="19"/>
      <c r="H861" s="19"/>
      <c r="I861" s="1"/>
      <c r="J861" s="1">
        <f t="shared" si="112"/>
        <v>0</v>
      </c>
      <c r="K861" s="19" t="str">
        <f t="shared" si="113"/>
        <v xml:space="preserve"> No Issue</v>
      </c>
      <c r="L861" s="1" t="str">
        <f t="shared" si="114"/>
        <v>No Issue</v>
      </c>
      <c r="M861" s="1" t="str">
        <f t="shared" si="115"/>
        <v>No Issue</v>
      </c>
      <c r="N861" s="1" t="str">
        <f t="shared" si="116"/>
        <v>No Issue</v>
      </c>
      <c r="O861" s="1" t="str">
        <f t="shared" si="117"/>
        <v>No Issue</v>
      </c>
      <c r="P861" s="1" t="str">
        <f t="shared" si="118"/>
        <v>NoIssue</v>
      </c>
    </row>
    <row r="862" spans="1:16" ht="22.5" customHeight="1">
      <c r="A862" s="20">
        <v>32</v>
      </c>
      <c r="B862" s="21" t="s">
        <v>52</v>
      </c>
      <c r="C862" s="26">
        <v>71.209999999999994</v>
      </c>
      <c r="D862" s="1"/>
      <c r="E862" s="1"/>
      <c r="F862" s="19"/>
      <c r="G862" s="19"/>
      <c r="H862" s="19"/>
      <c r="I862" s="1"/>
      <c r="J862" s="1">
        <f t="shared" si="112"/>
        <v>0</v>
      </c>
      <c r="K862" s="19" t="str">
        <f t="shared" si="113"/>
        <v xml:space="preserve"> No Issue</v>
      </c>
      <c r="L862" s="1" t="str">
        <f t="shared" si="114"/>
        <v>No Issue</v>
      </c>
      <c r="M862" s="1" t="str">
        <f t="shared" si="115"/>
        <v>No Issue</v>
      </c>
      <c r="N862" s="1" t="str">
        <f t="shared" si="116"/>
        <v>No Issue</v>
      </c>
      <c r="O862" s="1" t="str">
        <f t="shared" si="117"/>
        <v>No Issue</v>
      </c>
      <c r="P862" s="1" t="str">
        <f t="shared" si="118"/>
        <v>NoIssue</v>
      </c>
    </row>
    <row r="863" spans="1:16" ht="22.5" customHeight="1">
      <c r="A863" s="20">
        <v>33</v>
      </c>
      <c r="B863" s="21" t="s">
        <v>53</v>
      </c>
      <c r="C863" s="26">
        <v>80.349999999999994</v>
      </c>
      <c r="D863" s="1"/>
      <c r="E863" s="1"/>
      <c r="F863" s="19"/>
      <c r="G863" s="19"/>
      <c r="H863" s="19"/>
      <c r="I863" s="1"/>
      <c r="J863" s="1">
        <f t="shared" si="112"/>
        <v>0</v>
      </c>
      <c r="K863" s="19" t="str">
        <f t="shared" si="113"/>
        <v xml:space="preserve"> No Issue</v>
      </c>
      <c r="L863" s="1" t="str">
        <f t="shared" si="114"/>
        <v>No Issue</v>
      </c>
      <c r="M863" s="1" t="str">
        <f t="shared" si="115"/>
        <v>No Issue</v>
      </c>
      <c r="N863" s="1" t="str">
        <f t="shared" si="116"/>
        <v>No Issue</v>
      </c>
      <c r="O863" s="1" t="str">
        <f t="shared" si="117"/>
        <v>No Issue</v>
      </c>
      <c r="P863" s="1" t="str">
        <f t="shared" si="118"/>
        <v>NoIssue</v>
      </c>
    </row>
    <row r="864" spans="1:16" ht="22.5" customHeight="1">
      <c r="A864" s="20">
        <v>34</v>
      </c>
      <c r="B864" s="21" t="s">
        <v>54</v>
      </c>
      <c r="C864" s="26">
        <v>64.180000000000007</v>
      </c>
      <c r="D864" s="1"/>
      <c r="E864" s="1"/>
      <c r="F864" s="19"/>
      <c r="G864" s="19"/>
      <c r="H864" s="19"/>
      <c r="I864" s="1"/>
      <c r="J864" s="1">
        <f t="shared" si="112"/>
        <v>0</v>
      </c>
      <c r="K864" s="19" t="str">
        <f t="shared" si="113"/>
        <v xml:space="preserve"> No Issue</v>
      </c>
      <c r="L864" s="1" t="str">
        <f t="shared" si="114"/>
        <v>No Issue</v>
      </c>
      <c r="M864" s="1" t="str">
        <f t="shared" si="115"/>
        <v>No Issue</v>
      </c>
      <c r="N864" s="1" t="str">
        <f t="shared" si="116"/>
        <v>No Issue</v>
      </c>
      <c r="O864" s="1" t="str">
        <f t="shared" si="117"/>
        <v>No Issue</v>
      </c>
      <c r="P864" s="1" t="str">
        <f t="shared" si="118"/>
        <v>NoIssue</v>
      </c>
    </row>
    <row r="865" spans="1:16" ht="22.5" customHeight="1">
      <c r="A865" s="20">
        <v>35</v>
      </c>
      <c r="B865" s="21" t="s">
        <v>55</v>
      </c>
      <c r="C865" s="26">
        <v>36.9</v>
      </c>
      <c r="D865" s="1"/>
      <c r="E865" s="1"/>
      <c r="F865" s="19"/>
      <c r="G865" s="19"/>
      <c r="H865" s="19"/>
      <c r="I865" s="1"/>
      <c r="J865" s="1">
        <f t="shared" si="112"/>
        <v>0</v>
      </c>
      <c r="K865" s="19" t="str">
        <f t="shared" si="113"/>
        <v xml:space="preserve"> No Issue</v>
      </c>
      <c r="L865" s="1" t="str">
        <f t="shared" si="114"/>
        <v>No Issue</v>
      </c>
      <c r="M865" s="1" t="str">
        <f t="shared" si="115"/>
        <v>No Issue</v>
      </c>
      <c r="N865" s="1" t="str">
        <f t="shared" si="116"/>
        <v>No Issue</v>
      </c>
      <c r="O865" s="1" t="str">
        <f t="shared" si="117"/>
        <v>No Issue</v>
      </c>
      <c r="P865" s="1" t="str">
        <f t="shared" si="118"/>
        <v>NoIssue</v>
      </c>
    </row>
    <row r="866" spans="1:16" ht="22.5" customHeight="1">
      <c r="A866" s="20">
        <v>36</v>
      </c>
      <c r="B866" s="21" t="s">
        <v>56</v>
      </c>
      <c r="C866" s="26">
        <v>101.54</v>
      </c>
      <c r="D866" s="1"/>
      <c r="E866" s="1"/>
      <c r="F866" s="19"/>
      <c r="G866" s="19"/>
      <c r="H866" s="19"/>
      <c r="I866" s="1"/>
      <c r="J866" s="1">
        <f t="shared" si="112"/>
        <v>0</v>
      </c>
      <c r="K866" s="19" t="str">
        <f t="shared" si="113"/>
        <v xml:space="preserve"> No Issue</v>
      </c>
      <c r="L866" s="1" t="str">
        <f t="shared" si="114"/>
        <v>No Issue</v>
      </c>
      <c r="M866" s="1" t="str">
        <f t="shared" si="115"/>
        <v>No Issue</v>
      </c>
      <c r="N866" s="1" t="str">
        <f t="shared" si="116"/>
        <v>No Issue</v>
      </c>
      <c r="O866" s="1" t="str">
        <f t="shared" si="117"/>
        <v>No Issue</v>
      </c>
      <c r="P866" s="1" t="str">
        <f t="shared" si="118"/>
        <v>NoIssue</v>
      </c>
    </row>
    <row r="867" spans="1:16" ht="22.5" customHeight="1">
      <c r="A867" s="20">
        <v>37</v>
      </c>
      <c r="B867" s="21" t="s">
        <v>57</v>
      </c>
      <c r="C867" s="26">
        <v>40.5</v>
      </c>
      <c r="D867" s="1"/>
      <c r="E867" s="1"/>
      <c r="F867" s="19"/>
      <c r="G867" s="19"/>
      <c r="H867" s="19"/>
      <c r="I867" s="1"/>
      <c r="J867" s="1">
        <f t="shared" si="112"/>
        <v>0</v>
      </c>
      <c r="K867" s="19" t="str">
        <f t="shared" si="113"/>
        <v xml:space="preserve"> No Issue</v>
      </c>
      <c r="L867" s="1" t="str">
        <f t="shared" si="114"/>
        <v>No Issue</v>
      </c>
      <c r="M867" s="1" t="str">
        <f t="shared" si="115"/>
        <v>No Issue</v>
      </c>
      <c r="N867" s="1" t="str">
        <f t="shared" si="116"/>
        <v>No Issue</v>
      </c>
      <c r="O867" s="1" t="str">
        <f t="shared" si="117"/>
        <v>No Issue</v>
      </c>
      <c r="P867" s="1" t="str">
        <f t="shared" si="118"/>
        <v>NoIssue</v>
      </c>
    </row>
    <row r="868" spans="1:16" ht="22.5" customHeight="1">
      <c r="A868" s="20">
        <v>38</v>
      </c>
      <c r="B868" s="21" t="s">
        <v>58</v>
      </c>
      <c r="C868" s="26">
        <v>66.69</v>
      </c>
      <c r="D868" s="1"/>
      <c r="E868" s="1"/>
      <c r="F868" s="19"/>
      <c r="G868" s="19"/>
      <c r="H868" s="19"/>
      <c r="I868" s="1"/>
      <c r="J868" s="1">
        <f t="shared" si="112"/>
        <v>0</v>
      </c>
      <c r="K868" s="19" t="str">
        <f t="shared" si="113"/>
        <v xml:space="preserve"> No Issue</v>
      </c>
      <c r="L868" s="1" t="str">
        <f t="shared" si="114"/>
        <v>No Issue</v>
      </c>
      <c r="M868" s="1" t="str">
        <f t="shared" si="115"/>
        <v>No Issue</v>
      </c>
      <c r="N868" s="1" t="str">
        <f t="shared" si="116"/>
        <v>No Issue</v>
      </c>
      <c r="O868" s="1" t="str">
        <f t="shared" si="117"/>
        <v>No Issue</v>
      </c>
      <c r="P868" s="1" t="str">
        <f t="shared" si="118"/>
        <v>NoIssue</v>
      </c>
    </row>
    <row r="869" spans="1:16" ht="22.5" customHeight="1">
      <c r="A869" s="20">
        <v>39</v>
      </c>
      <c r="B869" s="21" t="s">
        <v>59</v>
      </c>
      <c r="C869" s="21">
        <v>150.85999999999999</v>
      </c>
      <c r="D869" s="1"/>
      <c r="E869" s="1"/>
      <c r="F869" s="19"/>
      <c r="G869" s="19"/>
      <c r="H869" s="19"/>
      <c r="I869" s="1"/>
      <c r="J869" s="1">
        <f t="shared" si="112"/>
        <v>0</v>
      </c>
      <c r="K869" s="19" t="str">
        <f t="shared" si="113"/>
        <v xml:space="preserve"> No Issue</v>
      </c>
      <c r="L869" s="1" t="str">
        <f t="shared" si="114"/>
        <v>No Issue</v>
      </c>
      <c r="M869" s="1" t="str">
        <f t="shared" si="115"/>
        <v>No Issue</v>
      </c>
      <c r="N869" s="1" t="str">
        <f t="shared" si="116"/>
        <v>No Issue</v>
      </c>
      <c r="O869" s="1" t="str">
        <f t="shared" si="117"/>
        <v>No Issue</v>
      </c>
      <c r="P869" s="1" t="str">
        <f t="shared" si="118"/>
        <v>NoIssue</v>
      </c>
    </row>
    <row r="870" spans="1:16" ht="22.5" customHeight="1">
      <c r="A870" s="20">
        <v>40</v>
      </c>
      <c r="B870" s="29" t="s">
        <v>60</v>
      </c>
      <c r="C870" s="26">
        <v>180</v>
      </c>
      <c r="D870" s="1"/>
      <c r="E870" s="1"/>
      <c r="F870" s="19"/>
      <c r="G870" s="19"/>
      <c r="H870" s="19"/>
      <c r="I870" s="1"/>
      <c r="J870" s="1">
        <f t="shared" si="112"/>
        <v>0</v>
      </c>
      <c r="K870" s="19" t="str">
        <f t="shared" si="113"/>
        <v xml:space="preserve"> No Issue</v>
      </c>
      <c r="L870" s="1" t="str">
        <f t="shared" si="114"/>
        <v>No Issue</v>
      </c>
      <c r="M870" s="1" t="str">
        <f t="shared" si="115"/>
        <v>No Issue</v>
      </c>
      <c r="N870" s="1" t="str">
        <f t="shared" si="116"/>
        <v>No Issue</v>
      </c>
      <c r="O870" s="1" t="str">
        <f t="shared" si="117"/>
        <v>No Issue</v>
      </c>
      <c r="P870" s="1" t="str">
        <f t="shared" si="118"/>
        <v>NoIssue</v>
      </c>
    </row>
    <row r="871" spans="1:16" ht="22.5" customHeight="1">
      <c r="A871" s="20">
        <v>41</v>
      </c>
      <c r="B871" s="29" t="s">
        <v>61</v>
      </c>
      <c r="C871" s="21">
        <v>128.57</v>
      </c>
      <c r="D871" s="1"/>
      <c r="E871" s="1"/>
      <c r="F871" s="19"/>
      <c r="G871" s="19"/>
      <c r="H871" s="19"/>
      <c r="I871" s="1"/>
      <c r="J871" s="1">
        <f t="shared" si="112"/>
        <v>0</v>
      </c>
      <c r="K871" s="19" t="str">
        <f t="shared" si="113"/>
        <v xml:space="preserve"> No Issue</v>
      </c>
      <c r="L871" s="1" t="str">
        <f t="shared" si="114"/>
        <v>No Issue</v>
      </c>
      <c r="M871" s="1" t="str">
        <f t="shared" si="115"/>
        <v>No Issue</v>
      </c>
      <c r="N871" s="1" t="str">
        <f t="shared" si="116"/>
        <v>No Issue</v>
      </c>
      <c r="O871" s="1" t="str">
        <f t="shared" si="117"/>
        <v>No Issue</v>
      </c>
      <c r="P871" s="1" t="str">
        <f t="shared" si="118"/>
        <v>NoIssue</v>
      </c>
    </row>
    <row r="872" spans="1:16" ht="22.5" customHeight="1">
      <c r="A872" s="20">
        <v>42</v>
      </c>
      <c r="B872" s="21"/>
      <c r="C872" s="21"/>
      <c r="D872" s="1"/>
      <c r="E872" s="1"/>
      <c r="F872" s="19"/>
      <c r="G872" s="19"/>
      <c r="H872" s="19"/>
      <c r="I872" s="1"/>
      <c r="J872" s="1">
        <f t="shared" si="112"/>
        <v>0</v>
      </c>
      <c r="K872" s="19" t="str">
        <f t="shared" si="113"/>
        <v xml:space="preserve"> No Issue</v>
      </c>
      <c r="L872" s="1" t="str">
        <f t="shared" si="114"/>
        <v>No Issue</v>
      </c>
      <c r="M872" s="1" t="str">
        <f t="shared" si="115"/>
        <v>No Issue</v>
      </c>
      <c r="N872" s="1" t="str">
        <f t="shared" si="116"/>
        <v>No Issue</v>
      </c>
      <c r="O872" s="1" t="str">
        <f t="shared" si="117"/>
        <v>No Issue</v>
      </c>
      <c r="P872" s="1" t="str">
        <f t="shared" si="118"/>
        <v>NoIssue</v>
      </c>
    </row>
    <row r="873" spans="1:16" ht="22.5" customHeight="1">
      <c r="A873" s="20">
        <v>43</v>
      </c>
      <c r="B873" s="30"/>
      <c r="C873" s="30"/>
      <c r="D873" s="1"/>
      <c r="E873" s="1"/>
      <c r="F873" s="19"/>
      <c r="G873" s="19"/>
      <c r="H873" s="19"/>
      <c r="I873" s="1"/>
      <c r="J873" s="1">
        <f t="shared" si="112"/>
        <v>0</v>
      </c>
      <c r="K873" s="19" t="str">
        <f t="shared" si="113"/>
        <v xml:space="preserve"> No Issue</v>
      </c>
      <c r="L873" s="1" t="str">
        <f t="shared" si="114"/>
        <v>No Issue</v>
      </c>
      <c r="M873" s="1" t="str">
        <f t="shared" si="115"/>
        <v>No Issue</v>
      </c>
      <c r="N873" s="1" t="str">
        <f t="shared" si="116"/>
        <v>No Issue</v>
      </c>
      <c r="O873" s="1" t="str">
        <f t="shared" si="117"/>
        <v>No Issue</v>
      </c>
      <c r="P873" s="1" t="str">
        <f t="shared" si="118"/>
        <v>NoIssue</v>
      </c>
    </row>
    <row r="874" spans="1:16" ht="22.5" customHeight="1">
      <c r="A874" s="20">
        <v>44</v>
      </c>
      <c r="B874" s="30"/>
      <c r="C874" s="30"/>
      <c r="D874" s="1"/>
      <c r="E874" s="1"/>
      <c r="F874" s="19"/>
      <c r="G874" s="19"/>
      <c r="H874" s="19"/>
      <c r="I874" s="1"/>
      <c r="J874" s="1">
        <f t="shared" si="112"/>
        <v>0</v>
      </c>
      <c r="K874" s="19" t="str">
        <f t="shared" si="113"/>
        <v xml:space="preserve"> No Issue</v>
      </c>
      <c r="L874" s="1" t="str">
        <f t="shared" si="114"/>
        <v>No Issue</v>
      </c>
      <c r="M874" s="1" t="str">
        <f t="shared" si="115"/>
        <v>No Issue</v>
      </c>
      <c r="N874" s="1" t="str">
        <f t="shared" si="116"/>
        <v>No Issue</v>
      </c>
      <c r="O874" s="1" t="str">
        <f t="shared" si="117"/>
        <v>No Issue</v>
      </c>
      <c r="P874" s="1" t="str">
        <f t="shared" si="118"/>
        <v>NoIssue</v>
      </c>
    </row>
    <row r="875" spans="1:16" ht="22.5" customHeight="1">
      <c r="A875" s="20">
        <v>45</v>
      </c>
      <c r="B875" s="30"/>
      <c r="C875" s="30"/>
      <c r="D875" s="1"/>
      <c r="E875" s="1"/>
      <c r="F875" s="19"/>
      <c r="G875" s="19"/>
      <c r="H875" s="19"/>
      <c r="I875" s="1"/>
      <c r="J875" s="1">
        <f t="shared" si="112"/>
        <v>0</v>
      </c>
      <c r="K875" s="19" t="str">
        <f t="shared" si="113"/>
        <v xml:space="preserve"> No Issue</v>
      </c>
      <c r="L875" s="1" t="str">
        <f t="shared" si="114"/>
        <v>No Issue</v>
      </c>
      <c r="M875" s="1" t="str">
        <f t="shared" si="115"/>
        <v>No Issue</v>
      </c>
      <c r="N875" s="1" t="str">
        <f t="shared" si="116"/>
        <v>No Issue</v>
      </c>
      <c r="O875" s="1" t="str">
        <f t="shared" si="117"/>
        <v>No Issue</v>
      </c>
      <c r="P875" s="1" t="str">
        <f t="shared" si="118"/>
        <v>NoIssue</v>
      </c>
    </row>
    <row r="876" spans="1:16" ht="22.5" customHeight="1">
      <c r="A876" s="20">
        <v>46</v>
      </c>
      <c r="B876" s="30"/>
      <c r="C876" s="30"/>
      <c r="D876" s="1"/>
      <c r="E876" s="1"/>
      <c r="F876" s="19"/>
      <c r="G876" s="19"/>
      <c r="H876" s="19"/>
      <c r="I876" s="1"/>
      <c r="J876" s="1">
        <f t="shared" si="112"/>
        <v>0</v>
      </c>
      <c r="K876" s="19" t="str">
        <f t="shared" si="113"/>
        <v xml:space="preserve"> No Issue</v>
      </c>
      <c r="L876" s="1" t="str">
        <f t="shared" si="114"/>
        <v>No Issue</v>
      </c>
      <c r="M876" s="1" t="str">
        <f t="shared" si="115"/>
        <v>No Issue</v>
      </c>
      <c r="N876" s="1" t="str">
        <f t="shared" si="116"/>
        <v>No Issue</v>
      </c>
      <c r="O876" s="1" t="str">
        <f t="shared" si="117"/>
        <v>No Issue</v>
      </c>
      <c r="P876" s="1" t="str">
        <f t="shared" si="118"/>
        <v>NoIssue</v>
      </c>
    </row>
    <row r="877" spans="1:16" ht="22.5" customHeight="1">
      <c r="A877" s="20">
        <v>47</v>
      </c>
      <c r="B877" s="31"/>
      <c r="C877" s="32"/>
      <c r="D877" s="1"/>
      <c r="E877" s="1"/>
      <c r="F877" s="19"/>
      <c r="G877" s="19"/>
      <c r="H877" s="19"/>
      <c r="I877" s="1"/>
      <c r="J877" s="1">
        <f t="shared" si="112"/>
        <v>0</v>
      </c>
      <c r="K877" s="19" t="str">
        <f t="shared" si="113"/>
        <v xml:space="preserve"> No Issue</v>
      </c>
      <c r="L877" s="1" t="str">
        <f t="shared" si="114"/>
        <v>No Issue</v>
      </c>
      <c r="M877" s="1" t="str">
        <f t="shared" si="115"/>
        <v>No Issue</v>
      </c>
      <c r="N877" s="1" t="str">
        <f t="shared" si="116"/>
        <v>No Issue</v>
      </c>
      <c r="O877" s="1" t="str">
        <f t="shared" si="117"/>
        <v>No Issue</v>
      </c>
      <c r="P877" s="1" t="str">
        <f t="shared" si="118"/>
        <v>NoIssue</v>
      </c>
    </row>
    <row r="878" spans="1:16" ht="22.5" customHeight="1">
      <c r="A878" s="20">
        <v>48</v>
      </c>
      <c r="B878" s="31"/>
      <c r="C878" s="32"/>
      <c r="D878" s="1"/>
      <c r="E878" s="1"/>
      <c r="F878" s="19"/>
      <c r="G878" s="19"/>
      <c r="H878" s="19"/>
      <c r="I878" s="1"/>
      <c r="J878" s="1">
        <f t="shared" si="112"/>
        <v>0</v>
      </c>
      <c r="K878" s="19" t="str">
        <f t="shared" si="113"/>
        <v xml:space="preserve"> No Issue</v>
      </c>
      <c r="L878" s="1" t="str">
        <f t="shared" si="114"/>
        <v>No Issue</v>
      </c>
      <c r="M878" s="1" t="str">
        <f t="shared" si="115"/>
        <v>No Issue</v>
      </c>
      <c r="N878" s="1" t="str">
        <f t="shared" si="116"/>
        <v>No Issue</v>
      </c>
      <c r="O878" s="1" t="str">
        <f t="shared" si="117"/>
        <v>No Issue</v>
      </c>
      <c r="P878" s="1" t="str">
        <f t="shared" si="118"/>
        <v>NoIssue</v>
      </c>
    </row>
    <row r="879" spans="1:16" ht="22.5" customHeight="1">
      <c r="A879" s="20">
        <v>49</v>
      </c>
      <c r="B879" s="31"/>
      <c r="C879" s="32"/>
      <c r="D879" s="1"/>
      <c r="E879" s="1"/>
      <c r="F879" s="19"/>
      <c r="G879" s="19"/>
      <c r="H879" s="19"/>
      <c r="I879" s="1"/>
      <c r="J879" s="1">
        <f t="shared" si="112"/>
        <v>0</v>
      </c>
      <c r="K879" s="19" t="str">
        <f t="shared" si="113"/>
        <v xml:space="preserve"> No Issue</v>
      </c>
      <c r="L879" s="1" t="str">
        <f t="shared" si="114"/>
        <v>No Issue</v>
      </c>
      <c r="M879" s="1" t="str">
        <f t="shared" si="115"/>
        <v>No Issue</v>
      </c>
      <c r="N879" s="1" t="str">
        <f t="shared" si="116"/>
        <v>No Issue</v>
      </c>
      <c r="O879" s="1" t="str">
        <f t="shared" si="117"/>
        <v>No Issue</v>
      </c>
      <c r="P879" s="1" t="str">
        <f t="shared" si="118"/>
        <v>NoIssue</v>
      </c>
    </row>
    <row r="880" spans="1:16" ht="22.5" customHeight="1">
      <c r="A880" s="20">
        <v>50</v>
      </c>
      <c r="B880" s="31"/>
      <c r="C880" s="32"/>
      <c r="D880" s="1"/>
      <c r="E880" s="1"/>
      <c r="F880" s="19"/>
      <c r="G880" s="19"/>
      <c r="H880" s="19"/>
      <c r="I880" s="1"/>
      <c r="J880" s="1">
        <f t="shared" si="112"/>
        <v>0</v>
      </c>
      <c r="K880" s="19" t="str">
        <f t="shared" si="113"/>
        <v xml:space="preserve"> No Issue</v>
      </c>
      <c r="L880" s="1" t="str">
        <f t="shared" si="114"/>
        <v>No Issue</v>
      </c>
      <c r="M880" s="1" t="str">
        <f t="shared" si="115"/>
        <v>No Issue</v>
      </c>
      <c r="N880" s="1" t="str">
        <f t="shared" si="116"/>
        <v>No Issue</v>
      </c>
      <c r="O880" s="1" t="str">
        <f t="shared" si="117"/>
        <v>No Issue</v>
      </c>
      <c r="P880" s="1" t="str">
        <f t="shared" si="118"/>
        <v>NoIssue</v>
      </c>
    </row>
    <row r="881" spans="1:16" ht="22.5" customHeight="1">
      <c r="A881" s="20">
        <v>51</v>
      </c>
      <c r="B881" s="31"/>
      <c r="C881" s="32"/>
      <c r="D881" s="1"/>
      <c r="E881" s="1"/>
      <c r="F881" s="19"/>
      <c r="G881" s="19"/>
      <c r="H881" s="19"/>
      <c r="I881" s="1"/>
      <c r="J881" s="1">
        <f t="shared" si="112"/>
        <v>0</v>
      </c>
      <c r="K881" s="19" t="str">
        <f t="shared" si="113"/>
        <v xml:space="preserve"> No Issue</v>
      </c>
      <c r="L881" s="1" t="str">
        <f t="shared" si="114"/>
        <v>No Issue</v>
      </c>
      <c r="M881" s="1" t="str">
        <f t="shared" si="115"/>
        <v>No Issue</v>
      </c>
      <c r="N881" s="1" t="str">
        <f t="shared" si="116"/>
        <v>No Issue</v>
      </c>
      <c r="O881" s="1" t="str">
        <f t="shared" si="117"/>
        <v>No Issue</v>
      </c>
      <c r="P881" s="1" t="str">
        <f t="shared" si="118"/>
        <v>NoIssue</v>
      </c>
    </row>
    <row r="882" spans="1:16" ht="22.5" customHeight="1">
      <c r="A882" s="20">
        <v>52</v>
      </c>
      <c r="B882" s="31"/>
      <c r="C882" s="32"/>
      <c r="D882" s="1"/>
      <c r="E882" s="1"/>
      <c r="F882" s="19"/>
      <c r="G882" s="19"/>
      <c r="H882" s="19"/>
      <c r="I882" s="1"/>
      <c r="J882" s="1">
        <f t="shared" si="112"/>
        <v>0</v>
      </c>
      <c r="K882" s="19" t="str">
        <f t="shared" si="113"/>
        <v xml:space="preserve"> No Issue</v>
      </c>
      <c r="L882" s="1" t="str">
        <f t="shared" si="114"/>
        <v>No Issue</v>
      </c>
      <c r="M882" s="1" t="str">
        <f t="shared" si="115"/>
        <v>No Issue</v>
      </c>
      <c r="N882" s="1" t="str">
        <f t="shared" si="116"/>
        <v>No Issue</v>
      </c>
      <c r="O882" s="1" t="str">
        <f t="shared" si="117"/>
        <v>No Issue</v>
      </c>
      <c r="P882" s="1" t="str">
        <f t="shared" si="118"/>
        <v>NoIssue</v>
      </c>
    </row>
    <row r="883" spans="1:16" ht="22.5" customHeight="1">
      <c r="A883" s="20">
        <v>53</v>
      </c>
      <c r="B883" s="31"/>
      <c r="C883" s="32"/>
      <c r="D883" s="1"/>
      <c r="E883" s="1"/>
      <c r="F883" s="19"/>
      <c r="G883" s="19"/>
      <c r="H883" s="19"/>
      <c r="I883" s="1"/>
      <c r="J883" s="1">
        <f t="shared" si="112"/>
        <v>0</v>
      </c>
      <c r="K883" s="19" t="str">
        <f t="shared" si="113"/>
        <v xml:space="preserve"> No Issue</v>
      </c>
      <c r="L883" s="1" t="str">
        <f t="shared" si="114"/>
        <v>No Issue</v>
      </c>
      <c r="M883" s="1" t="str">
        <f t="shared" si="115"/>
        <v>No Issue</v>
      </c>
      <c r="N883" s="1" t="str">
        <f t="shared" si="116"/>
        <v>No Issue</v>
      </c>
      <c r="O883" s="1" t="str">
        <f t="shared" si="117"/>
        <v>No Issue</v>
      </c>
      <c r="P883" s="1" t="str">
        <f t="shared" si="118"/>
        <v>NoIssue</v>
      </c>
    </row>
    <row r="884" spans="1:16" ht="22.5" customHeight="1">
      <c r="A884" s="20">
        <v>54</v>
      </c>
      <c r="B884" s="30"/>
      <c r="C884" s="30"/>
      <c r="D884" s="1"/>
      <c r="E884" s="1"/>
      <c r="F884" s="19"/>
      <c r="G884" s="19"/>
      <c r="H884" s="19"/>
      <c r="I884" s="1"/>
      <c r="J884" s="1">
        <f t="shared" si="112"/>
        <v>0</v>
      </c>
      <c r="K884" s="19" t="str">
        <f t="shared" si="113"/>
        <v xml:space="preserve"> No Issue</v>
      </c>
      <c r="L884" s="1" t="str">
        <f t="shared" si="114"/>
        <v>No Issue</v>
      </c>
      <c r="M884" s="1" t="str">
        <f t="shared" si="115"/>
        <v>No Issue</v>
      </c>
      <c r="N884" s="1" t="str">
        <f t="shared" si="116"/>
        <v>No Issue</v>
      </c>
      <c r="O884" s="1" t="str">
        <f t="shared" si="117"/>
        <v>No Issue</v>
      </c>
      <c r="P884" s="1" t="str">
        <f t="shared" si="118"/>
        <v>NoIssue</v>
      </c>
    </row>
    <row r="885" spans="1:16" ht="22.5" customHeight="1">
      <c r="A885" s="20">
        <v>55</v>
      </c>
      <c r="B885" s="31"/>
      <c r="C885" s="32"/>
      <c r="D885" s="1"/>
      <c r="E885" s="1"/>
      <c r="F885" s="19"/>
      <c r="G885" s="19"/>
      <c r="H885" s="19"/>
      <c r="I885" s="1"/>
      <c r="J885" s="1">
        <f t="shared" si="112"/>
        <v>0</v>
      </c>
      <c r="K885" s="19" t="str">
        <f t="shared" si="113"/>
        <v xml:space="preserve"> No Issue</v>
      </c>
      <c r="L885" s="1" t="str">
        <f t="shared" si="114"/>
        <v>No Issue</v>
      </c>
      <c r="M885" s="1" t="str">
        <f t="shared" si="115"/>
        <v>No Issue</v>
      </c>
      <c r="N885" s="1" t="str">
        <f t="shared" si="116"/>
        <v>No Issue</v>
      </c>
      <c r="O885" s="1" t="str">
        <f t="shared" si="117"/>
        <v>No Issue</v>
      </c>
      <c r="P885" s="1" t="str">
        <f t="shared" si="118"/>
        <v>NoIssue</v>
      </c>
    </row>
    <row r="886" spans="1:16" ht="22.5" customHeight="1">
      <c r="A886" s="20">
        <v>56</v>
      </c>
      <c r="B886" s="31"/>
      <c r="C886" s="32"/>
      <c r="D886" s="1"/>
      <c r="E886" s="1"/>
      <c r="F886" s="19"/>
      <c r="G886" s="19"/>
      <c r="H886" s="19"/>
      <c r="I886" s="1"/>
      <c r="J886" s="1">
        <f t="shared" si="112"/>
        <v>0</v>
      </c>
      <c r="K886" s="19" t="str">
        <f t="shared" si="113"/>
        <v xml:space="preserve"> No Issue</v>
      </c>
      <c r="L886" s="1" t="str">
        <f t="shared" si="114"/>
        <v>No Issue</v>
      </c>
      <c r="M886" s="1" t="str">
        <f t="shared" si="115"/>
        <v>No Issue</v>
      </c>
      <c r="N886" s="1" t="str">
        <f t="shared" si="116"/>
        <v>No Issue</v>
      </c>
      <c r="O886" s="1" t="str">
        <f t="shared" si="117"/>
        <v>No Issue</v>
      </c>
      <c r="P886" s="1" t="str">
        <f t="shared" si="118"/>
        <v>NoIssue</v>
      </c>
    </row>
    <row r="887" spans="1:16" ht="22.5" customHeight="1">
      <c r="A887" s="20"/>
      <c r="B887" s="36" t="s">
        <v>62</v>
      </c>
      <c r="C887" s="31"/>
      <c r="D887" s="1">
        <f t="shared" ref="D887:I887" si="119">SUMPRODUCT(D831:D886,$C831:$C886)</f>
        <v>0</v>
      </c>
      <c r="E887" s="1">
        <f t="shared" si="119"/>
        <v>0</v>
      </c>
      <c r="F887" s="1">
        <f t="shared" si="119"/>
        <v>0</v>
      </c>
      <c r="G887" s="1">
        <f t="shared" si="119"/>
        <v>0</v>
      </c>
      <c r="H887" s="1">
        <f t="shared" si="119"/>
        <v>0</v>
      </c>
      <c r="I887" s="1">
        <f t="shared" si="119"/>
        <v>0</v>
      </c>
      <c r="J887" s="1">
        <f t="shared" si="112"/>
        <v>0</v>
      </c>
      <c r="K887" s="19" t="str">
        <f t="shared" si="113"/>
        <v xml:space="preserve"> No Issue</v>
      </c>
      <c r="L887" s="1" t="str">
        <f t="shared" si="114"/>
        <v>No Issue</v>
      </c>
      <c r="M887" s="1" t="str">
        <f t="shared" si="115"/>
        <v>No Issue</v>
      </c>
      <c r="N887" s="1" t="str">
        <f t="shared" si="116"/>
        <v>No Issue</v>
      </c>
      <c r="O887" s="1" t="str">
        <f t="shared" si="117"/>
        <v>No Issue</v>
      </c>
      <c r="P887" s="1" t="str">
        <f t="shared" si="118"/>
        <v>NoIssue</v>
      </c>
    </row>
    <row r="888" spans="1:16" ht="22.5" customHeight="1">
      <c r="A888" s="37"/>
      <c r="B888" s="38" t="s">
        <v>63</v>
      </c>
      <c r="C888" s="39"/>
      <c r="D888" s="40"/>
      <c r="E888" s="41"/>
      <c r="F888" s="42"/>
      <c r="G888" s="51"/>
      <c r="H888" s="47"/>
      <c r="I888" s="42"/>
      <c r="J888" s="43"/>
      <c r="K888" s="52" t="s">
        <v>4</v>
      </c>
      <c r="L888" s="49"/>
      <c r="M888" s="49"/>
      <c r="N888" s="49"/>
      <c r="O888" s="49"/>
      <c r="P888" s="50"/>
    </row>
    <row r="889" spans="1:16" ht="22.5" customHeight="1">
      <c r="A889" s="35" t="s">
        <v>5</v>
      </c>
      <c r="B889" s="44" t="s">
        <v>6</v>
      </c>
      <c r="C889" s="19" t="s">
        <v>7</v>
      </c>
      <c r="D889" s="18" t="s">
        <v>8</v>
      </c>
      <c r="E889" s="18" t="s">
        <v>9</v>
      </c>
      <c r="F889" s="18" t="s">
        <v>10</v>
      </c>
      <c r="G889" s="18" t="s">
        <v>11</v>
      </c>
      <c r="H889" s="18" t="s">
        <v>12</v>
      </c>
      <c r="I889" s="18" t="s">
        <v>13</v>
      </c>
      <c r="J889" s="18" t="s">
        <v>14</v>
      </c>
      <c r="K889" s="19" t="s">
        <v>15</v>
      </c>
      <c r="L889" s="19" t="s">
        <v>16</v>
      </c>
      <c r="M889" s="19" t="s">
        <v>17</v>
      </c>
      <c r="N889" s="19" t="s">
        <v>18</v>
      </c>
      <c r="O889" s="19" t="s">
        <v>19</v>
      </c>
      <c r="P889" s="19" t="s">
        <v>20</v>
      </c>
    </row>
    <row r="890" spans="1:16" ht="22.5" customHeight="1">
      <c r="A890" s="20">
        <v>1</v>
      </c>
      <c r="B890" s="21" t="s">
        <v>21</v>
      </c>
      <c r="C890" s="22">
        <v>192.17</v>
      </c>
      <c r="D890" s="1">
        <f t="shared" ref="D890:I890" si="120">(D831+D772+D713+D654+D595+D536+D477+D418+D359+D300+D241+D182+D123+D64+D5)</f>
        <v>88</v>
      </c>
      <c r="E890" s="1">
        <f t="shared" si="120"/>
        <v>0</v>
      </c>
      <c r="F890" s="1">
        <f t="shared" si="120"/>
        <v>20</v>
      </c>
      <c r="G890" s="1">
        <f t="shared" si="120"/>
        <v>0</v>
      </c>
      <c r="H890" s="1">
        <f t="shared" si="120"/>
        <v>0</v>
      </c>
      <c r="I890" s="1">
        <f t="shared" si="120"/>
        <v>68</v>
      </c>
      <c r="J890" s="1">
        <f t="shared" ref="J890:J946" si="121">D890+E890-F890-G890+H890</f>
        <v>68</v>
      </c>
      <c r="K890" s="19" t="str">
        <f t="shared" ref="K890:K946" si="122">IF(I890&lt;&gt;(D890+E890-F890-G890+H890),"Closing stock Not Correct-Problem"," No Issue")</f>
        <v xml:space="preserve"> No Issue</v>
      </c>
      <c r="L890" s="1" t="str">
        <f t="shared" ref="L890:L946" si="123">IF((D890+E890)&lt;F890,"High Sale and Less Stock-Problem","No Issue")</f>
        <v>No Issue</v>
      </c>
      <c r="M890" s="1" t="str">
        <f t="shared" ref="M890:M946" si="124">IF(AND((D890+E890+I890)=0,F890&gt;0),"No Stock Sale Present Problem","No Issue")</f>
        <v>No Issue</v>
      </c>
      <c r="N890" s="1" t="str">
        <f t="shared" ref="N890:N946" si="125">IF(AND(SUM(D890:H890)=0,I890&gt;0),"Only Closing Entered Other Parameters No Entired Problem","No Issue")</f>
        <v>No Issue</v>
      </c>
      <c r="O890" s="1" t="str">
        <f t="shared" ref="O890:O946" si="126">IF(F890&gt;5000,"Check Once Sales quantity or Value Problem","No Issue")</f>
        <v>No Issue</v>
      </c>
      <c r="P890" s="1" t="str">
        <f t="shared" ref="P890:P946" si="127">IF(I890&gt;5000,"Check Once Closing quantity or Value Problem","NoIssue")</f>
        <v>NoIssue</v>
      </c>
    </row>
    <row r="891" spans="1:16" ht="22.5" customHeight="1">
      <c r="A891" s="20">
        <v>2</v>
      </c>
      <c r="B891" s="21" t="s">
        <v>22</v>
      </c>
      <c r="C891" s="22">
        <v>9.26</v>
      </c>
      <c r="D891" s="1">
        <f t="shared" ref="D891:I891" si="128">(D832+D773+D714+D655+D596+D537+D478+D419+D360+D301+D242+D183+D124+D65+D6)</f>
        <v>0</v>
      </c>
      <c r="E891" s="1">
        <f t="shared" si="128"/>
        <v>0</v>
      </c>
      <c r="F891" s="1">
        <f t="shared" si="128"/>
        <v>0</v>
      </c>
      <c r="G891" s="1">
        <f t="shared" si="128"/>
        <v>0</v>
      </c>
      <c r="H891" s="1">
        <f t="shared" si="128"/>
        <v>0</v>
      </c>
      <c r="I891" s="1">
        <f t="shared" si="128"/>
        <v>0</v>
      </c>
      <c r="J891" s="1">
        <f t="shared" si="121"/>
        <v>0</v>
      </c>
      <c r="K891" s="19" t="str">
        <f t="shared" si="122"/>
        <v xml:space="preserve"> No Issue</v>
      </c>
      <c r="L891" s="1" t="str">
        <f t="shared" si="123"/>
        <v>No Issue</v>
      </c>
      <c r="M891" s="1" t="str">
        <f t="shared" si="124"/>
        <v>No Issue</v>
      </c>
      <c r="N891" s="1" t="str">
        <f t="shared" si="125"/>
        <v>No Issue</v>
      </c>
      <c r="O891" s="1" t="str">
        <f t="shared" si="126"/>
        <v>No Issue</v>
      </c>
      <c r="P891" s="1" t="str">
        <f t="shared" si="127"/>
        <v>NoIssue</v>
      </c>
    </row>
    <row r="892" spans="1:16" ht="22.5" customHeight="1">
      <c r="A892" s="20">
        <v>3</v>
      </c>
      <c r="B892" s="21" t="s">
        <v>23</v>
      </c>
      <c r="C892" s="22">
        <v>87.79</v>
      </c>
      <c r="D892" s="1">
        <f t="shared" ref="D892:I892" si="129">(D833+D774+D715+D656+D597+D538+D479+D420+D361+D302+D243+D184+D125+D66+D7)</f>
        <v>0</v>
      </c>
      <c r="E892" s="1">
        <f t="shared" si="129"/>
        <v>0</v>
      </c>
      <c r="F892" s="1">
        <f t="shared" si="129"/>
        <v>0</v>
      </c>
      <c r="G892" s="1">
        <f t="shared" si="129"/>
        <v>0</v>
      </c>
      <c r="H892" s="1">
        <f t="shared" si="129"/>
        <v>0</v>
      </c>
      <c r="I892" s="1">
        <f t="shared" si="129"/>
        <v>0</v>
      </c>
      <c r="J892" s="1">
        <f t="shared" si="121"/>
        <v>0</v>
      </c>
      <c r="K892" s="19" t="str">
        <f t="shared" si="122"/>
        <v xml:space="preserve"> No Issue</v>
      </c>
      <c r="L892" s="1" t="str">
        <f t="shared" si="123"/>
        <v>No Issue</v>
      </c>
      <c r="M892" s="1" t="str">
        <f t="shared" si="124"/>
        <v>No Issue</v>
      </c>
      <c r="N892" s="1" t="str">
        <f t="shared" si="125"/>
        <v>No Issue</v>
      </c>
      <c r="O892" s="1" t="str">
        <f t="shared" si="126"/>
        <v>No Issue</v>
      </c>
      <c r="P892" s="1" t="str">
        <f t="shared" si="127"/>
        <v>NoIssue</v>
      </c>
    </row>
    <row r="893" spans="1:16" ht="22.5" customHeight="1">
      <c r="A893" s="20">
        <v>4</v>
      </c>
      <c r="B893" s="21" t="s">
        <v>24</v>
      </c>
      <c r="C893" s="22">
        <v>55.55</v>
      </c>
      <c r="D893" s="1">
        <f t="shared" ref="D893:I893" si="130">(D834+D775+D716+D657+D598+D539+D480+D421+D362+D303+D244+D185+D126+D67+D8)</f>
        <v>0</v>
      </c>
      <c r="E893" s="1">
        <f t="shared" si="130"/>
        <v>0</v>
      </c>
      <c r="F893" s="1">
        <f t="shared" si="130"/>
        <v>0</v>
      </c>
      <c r="G893" s="1">
        <f t="shared" si="130"/>
        <v>0</v>
      </c>
      <c r="H893" s="1">
        <f t="shared" si="130"/>
        <v>0</v>
      </c>
      <c r="I893" s="1">
        <f t="shared" si="130"/>
        <v>0</v>
      </c>
      <c r="J893" s="1">
        <f t="shared" si="121"/>
        <v>0</v>
      </c>
      <c r="K893" s="19" t="str">
        <f t="shared" si="122"/>
        <v xml:space="preserve"> No Issue</v>
      </c>
      <c r="L893" s="1" t="str">
        <f t="shared" si="123"/>
        <v>No Issue</v>
      </c>
      <c r="M893" s="1" t="str">
        <f t="shared" si="124"/>
        <v>No Issue</v>
      </c>
      <c r="N893" s="1" t="str">
        <f t="shared" si="125"/>
        <v>No Issue</v>
      </c>
      <c r="O893" s="1" t="str">
        <f t="shared" si="126"/>
        <v>No Issue</v>
      </c>
      <c r="P893" s="1" t="str">
        <f t="shared" si="127"/>
        <v>NoIssue</v>
      </c>
    </row>
    <row r="894" spans="1:16" ht="22.5" customHeight="1">
      <c r="A894" s="20">
        <v>5</v>
      </c>
      <c r="B894" s="21" t="s">
        <v>25</v>
      </c>
      <c r="C894" s="22">
        <v>70.010000000000005</v>
      </c>
      <c r="D894" s="1">
        <f t="shared" ref="D894:I894" si="131">(D835+D776+D717+D658+D599+D540+D481+D422+D363+D304+D245+D186+D127+D68+D9)</f>
        <v>264</v>
      </c>
      <c r="E894" s="1">
        <f t="shared" si="131"/>
        <v>0</v>
      </c>
      <c r="F894" s="1">
        <f t="shared" si="131"/>
        <v>36</v>
      </c>
      <c r="G894" s="1">
        <f t="shared" si="131"/>
        <v>0</v>
      </c>
      <c r="H894" s="1">
        <f t="shared" si="131"/>
        <v>0</v>
      </c>
      <c r="I894" s="1">
        <f t="shared" si="131"/>
        <v>228</v>
      </c>
      <c r="J894" s="1">
        <f t="shared" si="121"/>
        <v>228</v>
      </c>
      <c r="K894" s="19" t="str">
        <f t="shared" si="122"/>
        <v xml:space="preserve"> No Issue</v>
      </c>
      <c r="L894" s="1" t="str">
        <f t="shared" si="123"/>
        <v>No Issue</v>
      </c>
      <c r="M894" s="1" t="str">
        <f t="shared" si="124"/>
        <v>No Issue</v>
      </c>
      <c r="N894" s="1" t="str">
        <f t="shared" si="125"/>
        <v>No Issue</v>
      </c>
      <c r="O894" s="1" t="str">
        <f t="shared" si="126"/>
        <v>No Issue</v>
      </c>
      <c r="P894" s="1" t="str">
        <f t="shared" si="127"/>
        <v>NoIssue</v>
      </c>
    </row>
    <row r="895" spans="1:16" ht="22.5" customHeight="1">
      <c r="A895" s="20">
        <v>6</v>
      </c>
      <c r="B895" s="25" t="s">
        <v>26</v>
      </c>
      <c r="C895" s="22">
        <v>73.929999999999993</v>
      </c>
      <c r="D895" s="1">
        <f t="shared" ref="D895:I895" si="132">(D836+D777+D718+D659+D600+D541+D482+D423+D364+D305+D246+D187+D128+D69+D10)</f>
        <v>15</v>
      </c>
      <c r="E895" s="1">
        <f t="shared" si="132"/>
        <v>0</v>
      </c>
      <c r="F895" s="1">
        <f t="shared" si="132"/>
        <v>5</v>
      </c>
      <c r="G895" s="1">
        <f t="shared" si="132"/>
        <v>0</v>
      </c>
      <c r="H895" s="1">
        <f t="shared" si="132"/>
        <v>0</v>
      </c>
      <c r="I895" s="1">
        <f t="shared" si="132"/>
        <v>10</v>
      </c>
      <c r="J895" s="1">
        <f t="shared" si="121"/>
        <v>10</v>
      </c>
      <c r="K895" s="19" t="str">
        <f t="shared" si="122"/>
        <v xml:space="preserve"> No Issue</v>
      </c>
      <c r="L895" s="1" t="str">
        <f t="shared" si="123"/>
        <v>No Issue</v>
      </c>
      <c r="M895" s="1" t="str">
        <f t="shared" si="124"/>
        <v>No Issue</v>
      </c>
      <c r="N895" s="1" t="str">
        <f t="shared" si="125"/>
        <v>No Issue</v>
      </c>
      <c r="O895" s="1" t="str">
        <f t="shared" si="126"/>
        <v>No Issue</v>
      </c>
      <c r="P895" s="1" t="str">
        <f t="shared" si="127"/>
        <v>NoIssue</v>
      </c>
    </row>
    <row r="896" spans="1:16" ht="22.5" customHeight="1">
      <c r="A896" s="20">
        <v>7</v>
      </c>
      <c r="B896" s="21" t="s">
        <v>27</v>
      </c>
      <c r="C896" s="26">
        <v>13.91</v>
      </c>
      <c r="D896" s="1">
        <f t="shared" ref="D896:I896" si="133">(D837+D778+D719+D660+D601+D542+D483+D424+D365+D306+D247+D188+D129+D70+D11)</f>
        <v>0</v>
      </c>
      <c r="E896" s="1">
        <f t="shared" si="133"/>
        <v>0</v>
      </c>
      <c r="F896" s="1">
        <f t="shared" si="133"/>
        <v>0</v>
      </c>
      <c r="G896" s="1">
        <f t="shared" si="133"/>
        <v>0</v>
      </c>
      <c r="H896" s="1">
        <f t="shared" si="133"/>
        <v>0</v>
      </c>
      <c r="I896" s="1">
        <f t="shared" si="133"/>
        <v>0</v>
      </c>
      <c r="J896" s="1">
        <f t="shared" si="121"/>
        <v>0</v>
      </c>
      <c r="K896" s="19" t="str">
        <f t="shared" si="122"/>
        <v xml:space="preserve"> No Issue</v>
      </c>
      <c r="L896" s="1" t="str">
        <f t="shared" si="123"/>
        <v>No Issue</v>
      </c>
      <c r="M896" s="1" t="str">
        <f t="shared" si="124"/>
        <v>No Issue</v>
      </c>
      <c r="N896" s="1" t="str">
        <f t="shared" si="125"/>
        <v>No Issue</v>
      </c>
      <c r="O896" s="1" t="str">
        <f t="shared" si="126"/>
        <v>No Issue</v>
      </c>
      <c r="P896" s="1" t="str">
        <f t="shared" si="127"/>
        <v>NoIssue</v>
      </c>
    </row>
    <row r="897" spans="1:16" ht="22.5" customHeight="1">
      <c r="A897" s="20">
        <v>8</v>
      </c>
      <c r="B897" s="21" t="s">
        <v>28</v>
      </c>
      <c r="C897" s="26">
        <v>19.5</v>
      </c>
      <c r="D897" s="1">
        <f t="shared" ref="D897:I897" si="134">(D838+D779+D720+D661+D602+D543+D484+D425+D366+D307+D248+D189+D130+D71+D12)</f>
        <v>0</v>
      </c>
      <c r="E897" s="1">
        <f t="shared" si="134"/>
        <v>0</v>
      </c>
      <c r="F897" s="1">
        <f t="shared" si="134"/>
        <v>0</v>
      </c>
      <c r="G897" s="1">
        <f t="shared" si="134"/>
        <v>0</v>
      </c>
      <c r="H897" s="1">
        <f t="shared" si="134"/>
        <v>0</v>
      </c>
      <c r="I897" s="1">
        <f t="shared" si="134"/>
        <v>0</v>
      </c>
      <c r="J897" s="1">
        <f t="shared" si="121"/>
        <v>0</v>
      </c>
      <c r="K897" s="19" t="str">
        <f t="shared" si="122"/>
        <v xml:space="preserve"> No Issue</v>
      </c>
      <c r="L897" s="1" t="str">
        <f t="shared" si="123"/>
        <v>No Issue</v>
      </c>
      <c r="M897" s="1" t="str">
        <f t="shared" si="124"/>
        <v>No Issue</v>
      </c>
      <c r="N897" s="1" t="str">
        <f t="shared" si="125"/>
        <v>No Issue</v>
      </c>
      <c r="O897" s="1" t="str">
        <f t="shared" si="126"/>
        <v>No Issue</v>
      </c>
      <c r="P897" s="1" t="str">
        <f t="shared" si="127"/>
        <v>NoIssue</v>
      </c>
    </row>
    <row r="898" spans="1:16" ht="22.5" customHeight="1">
      <c r="A898" s="20">
        <v>9</v>
      </c>
      <c r="B898" s="21" t="s">
        <v>29</v>
      </c>
      <c r="C898" s="26">
        <v>28.83</v>
      </c>
      <c r="D898" s="1">
        <f t="shared" ref="D898:I898" si="135">(D839+D780+D721+D662+D603+D544+D485+D426+D367+D308+D249+D190+D131+D72+D13)</f>
        <v>0</v>
      </c>
      <c r="E898" s="1">
        <f t="shared" si="135"/>
        <v>0</v>
      </c>
      <c r="F898" s="1">
        <f t="shared" si="135"/>
        <v>0</v>
      </c>
      <c r="G898" s="1">
        <f t="shared" si="135"/>
        <v>0</v>
      </c>
      <c r="H898" s="1">
        <f t="shared" si="135"/>
        <v>0</v>
      </c>
      <c r="I898" s="1">
        <f t="shared" si="135"/>
        <v>0</v>
      </c>
      <c r="J898" s="1">
        <f t="shared" si="121"/>
        <v>0</v>
      </c>
      <c r="K898" s="19" t="str">
        <f t="shared" si="122"/>
        <v xml:space="preserve"> No Issue</v>
      </c>
      <c r="L898" s="1" t="str">
        <f t="shared" si="123"/>
        <v>No Issue</v>
      </c>
      <c r="M898" s="1" t="str">
        <f t="shared" si="124"/>
        <v>No Issue</v>
      </c>
      <c r="N898" s="1" t="str">
        <f t="shared" si="125"/>
        <v>No Issue</v>
      </c>
      <c r="O898" s="1" t="str">
        <f t="shared" si="126"/>
        <v>No Issue</v>
      </c>
      <c r="P898" s="1" t="str">
        <f t="shared" si="127"/>
        <v>NoIssue</v>
      </c>
    </row>
    <row r="899" spans="1:16" ht="22.5" customHeight="1">
      <c r="A899" s="20">
        <v>10</v>
      </c>
      <c r="B899" s="21" t="s">
        <v>30</v>
      </c>
      <c r="C899" s="26">
        <v>8.51</v>
      </c>
      <c r="D899" s="1">
        <f t="shared" ref="D899:I899" si="136">(D840+D781+D722+D663+D604+D545+D486+D427+D368+D309+D250+D191+D132+D73+D14)</f>
        <v>450</v>
      </c>
      <c r="E899" s="1">
        <f t="shared" si="136"/>
        <v>0</v>
      </c>
      <c r="F899" s="1">
        <f t="shared" si="136"/>
        <v>180</v>
      </c>
      <c r="G899" s="1">
        <f t="shared" si="136"/>
        <v>0</v>
      </c>
      <c r="H899" s="1">
        <f t="shared" si="136"/>
        <v>0</v>
      </c>
      <c r="I899" s="1">
        <f t="shared" si="136"/>
        <v>270</v>
      </c>
      <c r="J899" s="1">
        <f t="shared" si="121"/>
        <v>270</v>
      </c>
      <c r="K899" s="19" t="str">
        <f t="shared" si="122"/>
        <v xml:space="preserve"> No Issue</v>
      </c>
      <c r="L899" s="1" t="str">
        <f t="shared" si="123"/>
        <v>No Issue</v>
      </c>
      <c r="M899" s="1" t="str">
        <f t="shared" si="124"/>
        <v>No Issue</v>
      </c>
      <c r="N899" s="1" t="str">
        <f t="shared" si="125"/>
        <v>No Issue</v>
      </c>
      <c r="O899" s="1" t="str">
        <f t="shared" si="126"/>
        <v>No Issue</v>
      </c>
      <c r="P899" s="1" t="str">
        <f t="shared" si="127"/>
        <v>NoIssue</v>
      </c>
    </row>
    <row r="900" spans="1:16" ht="22.5" customHeight="1">
      <c r="A900" s="20">
        <v>11</v>
      </c>
      <c r="B900" s="21" t="s">
        <v>31</v>
      </c>
      <c r="C900" s="26">
        <v>102.17</v>
      </c>
      <c r="D900" s="1">
        <f t="shared" ref="D900:I900" si="137">(D841+D782+D723+D664+D605+D546+D487+D428+D369+D310+D251+D192+D133+D74+D15)</f>
        <v>50</v>
      </c>
      <c r="E900" s="1">
        <f t="shared" si="137"/>
        <v>0</v>
      </c>
      <c r="F900" s="1">
        <f t="shared" si="137"/>
        <v>0</v>
      </c>
      <c r="G900" s="1">
        <f t="shared" si="137"/>
        <v>0</v>
      </c>
      <c r="H900" s="1">
        <f t="shared" si="137"/>
        <v>0</v>
      </c>
      <c r="I900" s="1">
        <f t="shared" si="137"/>
        <v>50</v>
      </c>
      <c r="J900" s="1">
        <f t="shared" si="121"/>
        <v>50</v>
      </c>
      <c r="K900" s="19" t="str">
        <f t="shared" si="122"/>
        <v xml:space="preserve"> No Issue</v>
      </c>
      <c r="L900" s="1" t="str">
        <f t="shared" si="123"/>
        <v>No Issue</v>
      </c>
      <c r="M900" s="1" t="str">
        <f t="shared" si="124"/>
        <v>No Issue</v>
      </c>
      <c r="N900" s="1" t="str">
        <f t="shared" si="125"/>
        <v>No Issue</v>
      </c>
      <c r="O900" s="1" t="str">
        <f t="shared" si="126"/>
        <v>No Issue</v>
      </c>
      <c r="P900" s="1" t="str">
        <f t="shared" si="127"/>
        <v>NoIssue</v>
      </c>
    </row>
    <row r="901" spans="1:16" ht="22.5" customHeight="1">
      <c r="A901" s="20">
        <v>12</v>
      </c>
      <c r="B901" s="21" t="s">
        <v>32</v>
      </c>
      <c r="C901" s="26">
        <v>59.93</v>
      </c>
      <c r="D901" s="1">
        <f t="shared" ref="D901:I901" si="138">(D842+D783+D724+D665+D606+D547+D488+D429+D370+D311+D252+D193+D134+D75+D16)</f>
        <v>46</v>
      </c>
      <c r="E901" s="1">
        <f t="shared" si="138"/>
        <v>0</v>
      </c>
      <c r="F901" s="1">
        <f t="shared" si="138"/>
        <v>20</v>
      </c>
      <c r="G901" s="1">
        <f t="shared" si="138"/>
        <v>0</v>
      </c>
      <c r="H901" s="1">
        <f t="shared" si="138"/>
        <v>0</v>
      </c>
      <c r="I901" s="1">
        <f t="shared" si="138"/>
        <v>26</v>
      </c>
      <c r="J901" s="1">
        <f t="shared" si="121"/>
        <v>26</v>
      </c>
      <c r="K901" s="19" t="str">
        <f t="shared" si="122"/>
        <v xml:space="preserve"> No Issue</v>
      </c>
      <c r="L901" s="1" t="str">
        <f t="shared" si="123"/>
        <v>No Issue</v>
      </c>
      <c r="M901" s="1" t="str">
        <f t="shared" si="124"/>
        <v>No Issue</v>
      </c>
      <c r="N901" s="1" t="str">
        <f t="shared" si="125"/>
        <v>No Issue</v>
      </c>
      <c r="O901" s="1" t="str">
        <f t="shared" si="126"/>
        <v>No Issue</v>
      </c>
      <c r="P901" s="1" t="str">
        <f t="shared" si="127"/>
        <v>NoIssue</v>
      </c>
    </row>
    <row r="902" spans="1:16" ht="22.5" customHeight="1">
      <c r="A902" s="20">
        <v>13</v>
      </c>
      <c r="B902" s="21" t="s">
        <v>33</v>
      </c>
      <c r="C902" s="26">
        <v>118</v>
      </c>
      <c r="D902" s="1">
        <f t="shared" ref="D902:I902" si="139">(D843+D784+D725+D666+D607+D548+D489+D430+D371+D312+D253+D194+D135+D76+D17)</f>
        <v>80</v>
      </c>
      <c r="E902" s="1">
        <f t="shared" si="139"/>
        <v>0</v>
      </c>
      <c r="F902" s="1">
        <f t="shared" si="139"/>
        <v>10</v>
      </c>
      <c r="G902" s="1">
        <f t="shared" si="139"/>
        <v>0</v>
      </c>
      <c r="H902" s="1">
        <f t="shared" si="139"/>
        <v>0</v>
      </c>
      <c r="I902" s="1">
        <f t="shared" si="139"/>
        <v>70</v>
      </c>
      <c r="J902" s="1">
        <f t="shared" si="121"/>
        <v>70</v>
      </c>
      <c r="K902" s="19" t="str">
        <f t="shared" si="122"/>
        <v xml:space="preserve"> No Issue</v>
      </c>
      <c r="L902" s="1" t="str">
        <f t="shared" si="123"/>
        <v>No Issue</v>
      </c>
      <c r="M902" s="1" t="str">
        <f t="shared" si="124"/>
        <v>No Issue</v>
      </c>
      <c r="N902" s="1" t="str">
        <f t="shared" si="125"/>
        <v>No Issue</v>
      </c>
      <c r="O902" s="1" t="str">
        <f t="shared" si="126"/>
        <v>No Issue</v>
      </c>
      <c r="P902" s="1" t="str">
        <f t="shared" si="127"/>
        <v>NoIssue</v>
      </c>
    </row>
    <row r="903" spans="1:16" ht="22.5" customHeight="1">
      <c r="A903" s="20">
        <v>14</v>
      </c>
      <c r="B903" s="21" t="s">
        <v>34</v>
      </c>
      <c r="C903" s="26">
        <v>52.83</v>
      </c>
      <c r="D903" s="1">
        <f t="shared" ref="D903:I903" si="140">(D844+D785+D726+D667+D608+D549+D490+D431+D372+D313+D254+D195+D136+D77+D18)</f>
        <v>70</v>
      </c>
      <c r="E903" s="1">
        <f t="shared" si="140"/>
        <v>0</v>
      </c>
      <c r="F903" s="1">
        <f t="shared" si="140"/>
        <v>0</v>
      </c>
      <c r="G903" s="1">
        <f t="shared" si="140"/>
        <v>0</v>
      </c>
      <c r="H903" s="1">
        <f t="shared" si="140"/>
        <v>0</v>
      </c>
      <c r="I903" s="1">
        <f t="shared" si="140"/>
        <v>70</v>
      </c>
      <c r="J903" s="1">
        <f t="shared" si="121"/>
        <v>70</v>
      </c>
      <c r="K903" s="19" t="str">
        <f t="shared" si="122"/>
        <v xml:space="preserve"> No Issue</v>
      </c>
      <c r="L903" s="1" t="str">
        <f t="shared" si="123"/>
        <v>No Issue</v>
      </c>
      <c r="M903" s="1" t="str">
        <f t="shared" si="124"/>
        <v>No Issue</v>
      </c>
      <c r="N903" s="1" t="str">
        <f t="shared" si="125"/>
        <v>No Issue</v>
      </c>
      <c r="O903" s="1" t="str">
        <f t="shared" si="126"/>
        <v>No Issue</v>
      </c>
      <c r="P903" s="1" t="str">
        <f t="shared" si="127"/>
        <v>NoIssue</v>
      </c>
    </row>
    <row r="904" spans="1:16" ht="22.5" customHeight="1">
      <c r="A904" s="20">
        <v>15</v>
      </c>
      <c r="B904" s="21" t="s">
        <v>35</v>
      </c>
      <c r="C904" s="26">
        <v>93.2</v>
      </c>
      <c r="D904" s="1">
        <f t="shared" ref="D904:I904" si="141">(D845+D786+D727+D668+D609+D550+D491+D432+D373+D314+D255+D196+D137+D78+D19)</f>
        <v>166</v>
      </c>
      <c r="E904" s="1">
        <f t="shared" si="141"/>
        <v>0</v>
      </c>
      <c r="F904" s="1">
        <f t="shared" si="141"/>
        <v>0</v>
      </c>
      <c r="G904" s="1">
        <f t="shared" si="141"/>
        <v>0</v>
      </c>
      <c r="H904" s="1">
        <f t="shared" si="141"/>
        <v>0</v>
      </c>
      <c r="I904" s="1">
        <f t="shared" si="141"/>
        <v>166</v>
      </c>
      <c r="J904" s="1">
        <f t="shared" si="121"/>
        <v>166</v>
      </c>
      <c r="K904" s="19" t="str">
        <f t="shared" si="122"/>
        <v xml:space="preserve"> No Issue</v>
      </c>
      <c r="L904" s="1" t="str">
        <f t="shared" si="123"/>
        <v>No Issue</v>
      </c>
      <c r="M904" s="1" t="str">
        <f t="shared" si="124"/>
        <v>No Issue</v>
      </c>
      <c r="N904" s="1" t="str">
        <f t="shared" si="125"/>
        <v>No Issue</v>
      </c>
      <c r="O904" s="1" t="str">
        <f t="shared" si="126"/>
        <v>No Issue</v>
      </c>
      <c r="P904" s="1" t="str">
        <f t="shared" si="127"/>
        <v>NoIssue</v>
      </c>
    </row>
    <row r="905" spans="1:16" ht="22.5" customHeight="1">
      <c r="A905" s="20">
        <v>16</v>
      </c>
      <c r="B905" s="21" t="s">
        <v>36</v>
      </c>
      <c r="C905" s="26">
        <v>61.02</v>
      </c>
      <c r="D905" s="1">
        <f t="shared" ref="D905:I905" si="142">(D846+D787+D728+D669+D610+D551+D492+D433+D374+D315+D256+D197+D138+D79+D20)</f>
        <v>75</v>
      </c>
      <c r="E905" s="1">
        <f t="shared" si="142"/>
        <v>0</v>
      </c>
      <c r="F905" s="1">
        <f t="shared" si="142"/>
        <v>0</v>
      </c>
      <c r="G905" s="1">
        <f t="shared" si="142"/>
        <v>0</v>
      </c>
      <c r="H905" s="1">
        <f t="shared" si="142"/>
        <v>0</v>
      </c>
      <c r="I905" s="1">
        <f t="shared" si="142"/>
        <v>75</v>
      </c>
      <c r="J905" s="1">
        <f t="shared" si="121"/>
        <v>75</v>
      </c>
      <c r="K905" s="19" t="str">
        <f t="shared" si="122"/>
        <v xml:space="preserve"> No Issue</v>
      </c>
      <c r="L905" s="1" t="str">
        <f t="shared" si="123"/>
        <v>No Issue</v>
      </c>
      <c r="M905" s="1" t="str">
        <f t="shared" si="124"/>
        <v>No Issue</v>
      </c>
      <c r="N905" s="1" t="str">
        <f t="shared" si="125"/>
        <v>No Issue</v>
      </c>
      <c r="O905" s="1" t="str">
        <f t="shared" si="126"/>
        <v>No Issue</v>
      </c>
      <c r="P905" s="1" t="str">
        <f t="shared" si="127"/>
        <v>NoIssue</v>
      </c>
    </row>
    <row r="906" spans="1:16" ht="22.5" customHeight="1">
      <c r="A906" s="20">
        <v>17</v>
      </c>
      <c r="B906" s="21" t="s">
        <v>37</v>
      </c>
      <c r="C906" s="26">
        <v>36.619999999999997</v>
      </c>
      <c r="D906" s="1">
        <f t="shared" ref="D906:I906" si="143">(D847+D788+D729+D670+D611+D552+D493+D434+D375+D316+D257+D198+D139+D80+D21)</f>
        <v>0</v>
      </c>
      <c r="E906" s="1">
        <f t="shared" si="143"/>
        <v>0</v>
      </c>
      <c r="F906" s="1">
        <f t="shared" si="143"/>
        <v>0</v>
      </c>
      <c r="G906" s="1">
        <f t="shared" si="143"/>
        <v>0</v>
      </c>
      <c r="H906" s="1">
        <f t="shared" si="143"/>
        <v>0</v>
      </c>
      <c r="I906" s="1">
        <f t="shared" si="143"/>
        <v>0</v>
      </c>
      <c r="J906" s="1">
        <f t="shared" si="121"/>
        <v>0</v>
      </c>
      <c r="K906" s="19" t="str">
        <f t="shared" si="122"/>
        <v xml:space="preserve"> No Issue</v>
      </c>
      <c r="L906" s="1" t="str">
        <f t="shared" si="123"/>
        <v>No Issue</v>
      </c>
      <c r="M906" s="1" t="str">
        <f t="shared" si="124"/>
        <v>No Issue</v>
      </c>
      <c r="N906" s="1" t="str">
        <f t="shared" si="125"/>
        <v>No Issue</v>
      </c>
      <c r="O906" s="1" t="str">
        <f t="shared" si="126"/>
        <v>No Issue</v>
      </c>
      <c r="P906" s="1" t="str">
        <f t="shared" si="127"/>
        <v>NoIssue</v>
      </c>
    </row>
    <row r="907" spans="1:16" ht="22.5" customHeight="1">
      <c r="A907" s="20">
        <v>18</v>
      </c>
      <c r="B907" s="21" t="s">
        <v>38</v>
      </c>
      <c r="C907" s="26">
        <v>80.36</v>
      </c>
      <c r="D907" s="1">
        <f t="shared" ref="D907:I907" si="144">(D848+D789+D730+D671+D612+D553+D494+D435+D376+D317+D258+D199+D140+D81+D22)</f>
        <v>97</v>
      </c>
      <c r="E907" s="1">
        <f t="shared" si="144"/>
        <v>0</v>
      </c>
      <c r="F907" s="1">
        <f t="shared" si="144"/>
        <v>14</v>
      </c>
      <c r="G907" s="1">
        <f t="shared" si="144"/>
        <v>0</v>
      </c>
      <c r="H907" s="1">
        <f t="shared" si="144"/>
        <v>0</v>
      </c>
      <c r="I907" s="1">
        <f t="shared" si="144"/>
        <v>83</v>
      </c>
      <c r="J907" s="1">
        <f t="shared" si="121"/>
        <v>83</v>
      </c>
      <c r="K907" s="19" t="str">
        <f t="shared" si="122"/>
        <v xml:space="preserve"> No Issue</v>
      </c>
      <c r="L907" s="1" t="str">
        <f t="shared" si="123"/>
        <v>No Issue</v>
      </c>
      <c r="M907" s="1" t="str">
        <f t="shared" si="124"/>
        <v>No Issue</v>
      </c>
      <c r="N907" s="1" t="str">
        <f t="shared" si="125"/>
        <v>No Issue</v>
      </c>
      <c r="O907" s="1" t="str">
        <f t="shared" si="126"/>
        <v>No Issue</v>
      </c>
      <c r="P907" s="1" t="str">
        <f t="shared" si="127"/>
        <v>NoIssue</v>
      </c>
    </row>
    <row r="908" spans="1:16" ht="22.5" customHeight="1">
      <c r="A908" s="20">
        <v>19</v>
      </c>
      <c r="B908" s="21" t="s">
        <v>39</v>
      </c>
      <c r="C908" s="26">
        <v>160.56</v>
      </c>
      <c r="D908" s="1">
        <f t="shared" ref="D908:I908" si="145">(D849+D790+D731+D672+D613+D554+D495+D436+D377+D318+D259+D200+D141+D82+D23)</f>
        <v>0</v>
      </c>
      <c r="E908" s="1">
        <f t="shared" si="145"/>
        <v>0</v>
      </c>
      <c r="F908" s="1">
        <f t="shared" si="145"/>
        <v>0</v>
      </c>
      <c r="G908" s="1">
        <f t="shared" si="145"/>
        <v>0</v>
      </c>
      <c r="H908" s="1">
        <f t="shared" si="145"/>
        <v>0</v>
      </c>
      <c r="I908" s="1">
        <f t="shared" si="145"/>
        <v>0</v>
      </c>
      <c r="J908" s="1">
        <f t="shared" si="121"/>
        <v>0</v>
      </c>
      <c r="K908" s="19" t="str">
        <f t="shared" si="122"/>
        <v xml:space="preserve"> No Issue</v>
      </c>
      <c r="L908" s="1" t="str">
        <f t="shared" si="123"/>
        <v>No Issue</v>
      </c>
      <c r="M908" s="1" t="str">
        <f t="shared" si="124"/>
        <v>No Issue</v>
      </c>
      <c r="N908" s="1" t="str">
        <f t="shared" si="125"/>
        <v>No Issue</v>
      </c>
      <c r="O908" s="1" t="str">
        <f t="shared" si="126"/>
        <v>No Issue</v>
      </c>
      <c r="P908" s="1" t="str">
        <f t="shared" si="127"/>
        <v>NoIssue</v>
      </c>
    </row>
    <row r="909" spans="1:16" ht="22.5" customHeight="1">
      <c r="A909" s="20">
        <v>20</v>
      </c>
      <c r="B909" s="21" t="s">
        <v>40</v>
      </c>
      <c r="C909" s="26">
        <v>186.44</v>
      </c>
      <c r="D909" s="1">
        <f t="shared" ref="D909:I909" si="146">(D850+D791+D732+D673+D614+D555+D496+D437+D378+D319+D260+D201+D142+D83+D24)</f>
        <v>40</v>
      </c>
      <c r="E909" s="1">
        <f t="shared" si="146"/>
        <v>0</v>
      </c>
      <c r="F909" s="1">
        <f t="shared" si="146"/>
        <v>8</v>
      </c>
      <c r="G909" s="1">
        <f t="shared" si="146"/>
        <v>0</v>
      </c>
      <c r="H909" s="1">
        <f t="shared" si="146"/>
        <v>0</v>
      </c>
      <c r="I909" s="1">
        <f t="shared" si="146"/>
        <v>32</v>
      </c>
      <c r="J909" s="1">
        <f t="shared" si="121"/>
        <v>32</v>
      </c>
      <c r="K909" s="19" t="str">
        <f t="shared" si="122"/>
        <v xml:space="preserve"> No Issue</v>
      </c>
      <c r="L909" s="1" t="str">
        <f t="shared" si="123"/>
        <v>No Issue</v>
      </c>
      <c r="M909" s="1" t="str">
        <f t="shared" si="124"/>
        <v>No Issue</v>
      </c>
      <c r="N909" s="1" t="str">
        <f t="shared" si="125"/>
        <v>No Issue</v>
      </c>
      <c r="O909" s="1" t="str">
        <f t="shared" si="126"/>
        <v>No Issue</v>
      </c>
      <c r="P909" s="1" t="str">
        <f t="shared" si="127"/>
        <v>NoIssue</v>
      </c>
    </row>
    <row r="910" spans="1:16" ht="22.5" customHeight="1">
      <c r="A910" s="20">
        <v>21</v>
      </c>
      <c r="B910" s="21" t="s">
        <v>41</v>
      </c>
      <c r="C910" s="26">
        <v>92.59</v>
      </c>
      <c r="D910" s="1">
        <f t="shared" ref="D910:I910" si="147">(D851+D792+D733+D674+D615+D556+D497+D438+D379+D320+D261+D202+D143+D84+D25)</f>
        <v>41</v>
      </c>
      <c r="E910" s="1">
        <f t="shared" si="147"/>
        <v>0</v>
      </c>
      <c r="F910" s="1">
        <f t="shared" si="147"/>
        <v>24</v>
      </c>
      <c r="G910" s="1">
        <f t="shared" si="147"/>
        <v>0</v>
      </c>
      <c r="H910" s="1">
        <f t="shared" si="147"/>
        <v>0</v>
      </c>
      <c r="I910" s="1">
        <f t="shared" si="147"/>
        <v>17</v>
      </c>
      <c r="J910" s="1">
        <f t="shared" si="121"/>
        <v>17</v>
      </c>
      <c r="K910" s="19" t="str">
        <f t="shared" si="122"/>
        <v xml:space="preserve"> No Issue</v>
      </c>
      <c r="L910" s="1" t="str">
        <f t="shared" si="123"/>
        <v>No Issue</v>
      </c>
      <c r="M910" s="1" t="str">
        <f t="shared" si="124"/>
        <v>No Issue</v>
      </c>
      <c r="N910" s="1" t="str">
        <f t="shared" si="125"/>
        <v>No Issue</v>
      </c>
      <c r="O910" s="1" t="str">
        <f t="shared" si="126"/>
        <v>No Issue</v>
      </c>
      <c r="P910" s="1" t="str">
        <f t="shared" si="127"/>
        <v>NoIssue</v>
      </c>
    </row>
    <row r="911" spans="1:16" ht="22.5" customHeight="1">
      <c r="A911" s="20">
        <v>22</v>
      </c>
      <c r="B911" s="21" t="s">
        <v>42</v>
      </c>
      <c r="C911" s="26">
        <v>95.17</v>
      </c>
      <c r="D911" s="1">
        <f t="shared" ref="D911:I911" si="148">(D852+D793+D734+D675+D616+D557+D498+D439+D380+D321+D262+D203+D144+D85+D26)</f>
        <v>10</v>
      </c>
      <c r="E911" s="1">
        <f t="shared" si="148"/>
        <v>0</v>
      </c>
      <c r="F911" s="1">
        <f t="shared" si="148"/>
        <v>0</v>
      </c>
      <c r="G911" s="1">
        <f t="shared" si="148"/>
        <v>0</v>
      </c>
      <c r="H911" s="1">
        <f t="shared" si="148"/>
        <v>0</v>
      </c>
      <c r="I911" s="1">
        <f t="shared" si="148"/>
        <v>10</v>
      </c>
      <c r="J911" s="1">
        <f t="shared" si="121"/>
        <v>10</v>
      </c>
      <c r="K911" s="19" t="str">
        <f t="shared" si="122"/>
        <v xml:space="preserve"> No Issue</v>
      </c>
      <c r="L911" s="1" t="str">
        <f t="shared" si="123"/>
        <v>No Issue</v>
      </c>
      <c r="M911" s="1" t="str">
        <f t="shared" si="124"/>
        <v>No Issue</v>
      </c>
      <c r="N911" s="1" t="str">
        <f t="shared" si="125"/>
        <v>No Issue</v>
      </c>
      <c r="O911" s="1" t="str">
        <f t="shared" si="126"/>
        <v>No Issue</v>
      </c>
      <c r="P911" s="1" t="str">
        <f t="shared" si="127"/>
        <v>NoIssue</v>
      </c>
    </row>
    <row r="912" spans="1:16" ht="22.5" customHeight="1">
      <c r="A912" s="20">
        <v>23</v>
      </c>
      <c r="B912" s="21" t="s">
        <v>43</v>
      </c>
      <c r="C912" s="26">
        <v>92.94</v>
      </c>
      <c r="D912" s="1">
        <f t="shared" ref="D912:I912" si="149">(D853+D794+D735+D676+D617+D558+D499+D440+D381+D322+D263+D204+D145+D86+D27)</f>
        <v>75</v>
      </c>
      <c r="E912" s="1">
        <f t="shared" si="149"/>
        <v>0</v>
      </c>
      <c r="F912" s="1">
        <f t="shared" si="149"/>
        <v>30</v>
      </c>
      <c r="G912" s="1">
        <f t="shared" si="149"/>
        <v>0</v>
      </c>
      <c r="H912" s="1">
        <f t="shared" si="149"/>
        <v>0</v>
      </c>
      <c r="I912" s="1">
        <f t="shared" si="149"/>
        <v>45</v>
      </c>
      <c r="J912" s="1">
        <f t="shared" si="121"/>
        <v>45</v>
      </c>
      <c r="K912" s="19" t="str">
        <f t="shared" si="122"/>
        <v xml:space="preserve"> No Issue</v>
      </c>
      <c r="L912" s="1" t="str">
        <f t="shared" si="123"/>
        <v>No Issue</v>
      </c>
      <c r="M912" s="1" t="str">
        <f t="shared" si="124"/>
        <v>No Issue</v>
      </c>
      <c r="N912" s="1" t="str">
        <f t="shared" si="125"/>
        <v>No Issue</v>
      </c>
      <c r="O912" s="1" t="str">
        <f t="shared" si="126"/>
        <v>No Issue</v>
      </c>
      <c r="P912" s="1" t="str">
        <f t="shared" si="127"/>
        <v>NoIssue</v>
      </c>
    </row>
    <row r="913" spans="1:16" ht="22.5" customHeight="1">
      <c r="A913" s="20">
        <v>24</v>
      </c>
      <c r="B913" s="21" t="s">
        <v>44</v>
      </c>
      <c r="C913" s="26">
        <v>101.82</v>
      </c>
      <c r="D913" s="1">
        <f t="shared" ref="D913:I913" si="150">(D854+D795+D736+D677+D618+D559+D500+D441+D382+D323+D264+D205+D146+D87+D28)</f>
        <v>10</v>
      </c>
      <c r="E913" s="1">
        <f t="shared" si="150"/>
        <v>0</v>
      </c>
      <c r="F913" s="1">
        <f t="shared" si="150"/>
        <v>0</v>
      </c>
      <c r="G913" s="1">
        <f t="shared" si="150"/>
        <v>0</v>
      </c>
      <c r="H913" s="1">
        <f t="shared" si="150"/>
        <v>0</v>
      </c>
      <c r="I913" s="1">
        <f t="shared" si="150"/>
        <v>10</v>
      </c>
      <c r="J913" s="1">
        <f t="shared" si="121"/>
        <v>10</v>
      </c>
      <c r="K913" s="19" t="str">
        <f t="shared" si="122"/>
        <v xml:space="preserve"> No Issue</v>
      </c>
      <c r="L913" s="1" t="str">
        <f t="shared" si="123"/>
        <v>No Issue</v>
      </c>
      <c r="M913" s="1" t="str">
        <f t="shared" si="124"/>
        <v>No Issue</v>
      </c>
      <c r="N913" s="1" t="str">
        <f t="shared" si="125"/>
        <v>No Issue</v>
      </c>
      <c r="O913" s="1" t="str">
        <f t="shared" si="126"/>
        <v>No Issue</v>
      </c>
      <c r="P913" s="1" t="str">
        <f t="shared" si="127"/>
        <v>NoIssue</v>
      </c>
    </row>
    <row r="914" spans="1:16" ht="22.5" customHeight="1">
      <c r="A914" s="20">
        <v>25</v>
      </c>
      <c r="B914" s="21" t="s">
        <v>45</v>
      </c>
      <c r="C914" s="26">
        <v>53.49</v>
      </c>
      <c r="D914" s="1">
        <f t="shared" ref="D914:I914" si="151">(D855+D796+D737+D678+D619+D560+D501+D442+D383+D324+D265+D206+D147+D88+D29)</f>
        <v>140</v>
      </c>
      <c r="E914" s="1">
        <f t="shared" si="151"/>
        <v>0</v>
      </c>
      <c r="F914" s="1">
        <f t="shared" si="151"/>
        <v>30</v>
      </c>
      <c r="G914" s="1">
        <f t="shared" si="151"/>
        <v>0</v>
      </c>
      <c r="H914" s="1">
        <f t="shared" si="151"/>
        <v>0</v>
      </c>
      <c r="I914" s="1">
        <f t="shared" si="151"/>
        <v>110</v>
      </c>
      <c r="J914" s="1">
        <f t="shared" si="121"/>
        <v>110</v>
      </c>
      <c r="K914" s="19" t="str">
        <f t="shared" si="122"/>
        <v xml:space="preserve"> No Issue</v>
      </c>
      <c r="L914" s="1" t="str">
        <f t="shared" si="123"/>
        <v>No Issue</v>
      </c>
      <c r="M914" s="1" t="str">
        <f t="shared" si="124"/>
        <v>No Issue</v>
      </c>
      <c r="N914" s="1" t="str">
        <f t="shared" si="125"/>
        <v>No Issue</v>
      </c>
      <c r="O914" s="1" t="str">
        <f t="shared" si="126"/>
        <v>No Issue</v>
      </c>
      <c r="P914" s="1" t="str">
        <f t="shared" si="127"/>
        <v>NoIssue</v>
      </c>
    </row>
    <row r="915" spans="1:16" ht="22.5" customHeight="1">
      <c r="A915" s="20">
        <v>26</v>
      </c>
      <c r="B915" s="21" t="s">
        <v>46</v>
      </c>
      <c r="C915" s="26">
        <v>32.92</v>
      </c>
      <c r="D915" s="1">
        <f t="shared" ref="D915:I915" si="152">(D856+D797+D738+D679+D620+D561+D502+D443+D384+D325+D266+D207+D148+D89+D30)</f>
        <v>10</v>
      </c>
      <c r="E915" s="1">
        <f t="shared" si="152"/>
        <v>0</v>
      </c>
      <c r="F915" s="1">
        <f t="shared" si="152"/>
        <v>0</v>
      </c>
      <c r="G915" s="1">
        <f t="shared" si="152"/>
        <v>0</v>
      </c>
      <c r="H915" s="1">
        <f t="shared" si="152"/>
        <v>0</v>
      </c>
      <c r="I915" s="1">
        <f t="shared" si="152"/>
        <v>10</v>
      </c>
      <c r="J915" s="1">
        <f t="shared" si="121"/>
        <v>10</v>
      </c>
      <c r="K915" s="19" t="str">
        <f t="shared" si="122"/>
        <v xml:space="preserve"> No Issue</v>
      </c>
      <c r="L915" s="1" t="str">
        <f t="shared" si="123"/>
        <v>No Issue</v>
      </c>
      <c r="M915" s="1" t="str">
        <f t="shared" si="124"/>
        <v>No Issue</v>
      </c>
      <c r="N915" s="1" t="str">
        <f t="shared" si="125"/>
        <v>No Issue</v>
      </c>
      <c r="O915" s="1" t="str">
        <f t="shared" si="126"/>
        <v>No Issue</v>
      </c>
      <c r="P915" s="1" t="str">
        <f t="shared" si="127"/>
        <v>NoIssue</v>
      </c>
    </row>
    <row r="916" spans="1:16" ht="22.5" customHeight="1">
      <c r="A916" s="20">
        <v>27</v>
      </c>
      <c r="B916" s="21" t="s">
        <v>47</v>
      </c>
      <c r="C916" s="26">
        <v>116.68</v>
      </c>
      <c r="D916" s="1">
        <f t="shared" ref="D916:I916" si="153">(D857+D798+D739+D680+D621+D562+D503+D444+D385+D326+D267+D208+D149+D90+D31)</f>
        <v>65</v>
      </c>
      <c r="E916" s="1">
        <f t="shared" si="153"/>
        <v>0</v>
      </c>
      <c r="F916" s="1">
        <f t="shared" si="153"/>
        <v>19</v>
      </c>
      <c r="G916" s="1">
        <f t="shared" si="153"/>
        <v>0</v>
      </c>
      <c r="H916" s="1">
        <f t="shared" si="153"/>
        <v>0</v>
      </c>
      <c r="I916" s="1">
        <f t="shared" si="153"/>
        <v>46</v>
      </c>
      <c r="J916" s="1">
        <f t="shared" si="121"/>
        <v>46</v>
      </c>
      <c r="K916" s="19" t="str">
        <f t="shared" si="122"/>
        <v xml:space="preserve"> No Issue</v>
      </c>
      <c r="L916" s="1" t="str">
        <f t="shared" si="123"/>
        <v>No Issue</v>
      </c>
      <c r="M916" s="1" t="str">
        <f t="shared" si="124"/>
        <v>No Issue</v>
      </c>
      <c r="N916" s="1" t="str">
        <f t="shared" si="125"/>
        <v>No Issue</v>
      </c>
      <c r="O916" s="1" t="str">
        <f t="shared" si="126"/>
        <v>No Issue</v>
      </c>
      <c r="P916" s="1" t="str">
        <f t="shared" si="127"/>
        <v>NoIssue</v>
      </c>
    </row>
    <row r="917" spans="1:16" ht="22.5" customHeight="1">
      <c r="A917" s="20">
        <v>28</v>
      </c>
      <c r="B917" s="21" t="s">
        <v>48</v>
      </c>
      <c r="C917" s="26">
        <v>107.96</v>
      </c>
      <c r="D917" s="1">
        <f t="shared" ref="D917:I917" si="154">(D858+D799+D740+D681+D622+D563+D504+D445+D386+D327+D268+D209+D150+D91+D32)</f>
        <v>10</v>
      </c>
      <c r="E917" s="1">
        <f t="shared" si="154"/>
        <v>33</v>
      </c>
      <c r="F917" s="1">
        <f t="shared" si="154"/>
        <v>24</v>
      </c>
      <c r="G917" s="1">
        <f t="shared" si="154"/>
        <v>0</v>
      </c>
      <c r="H917" s="1">
        <f t="shared" si="154"/>
        <v>0</v>
      </c>
      <c r="I917" s="1">
        <f t="shared" si="154"/>
        <v>19</v>
      </c>
      <c r="J917" s="1">
        <f t="shared" si="121"/>
        <v>19</v>
      </c>
      <c r="K917" s="19" t="str">
        <f t="shared" si="122"/>
        <v xml:space="preserve"> No Issue</v>
      </c>
      <c r="L917" s="1" t="str">
        <f t="shared" si="123"/>
        <v>No Issue</v>
      </c>
      <c r="M917" s="1" t="str">
        <f t="shared" si="124"/>
        <v>No Issue</v>
      </c>
      <c r="N917" s="1" t="str">
        <f t="shared" si="125"/>
        <v>No Issue</v>
      </c>
      <c r="O917" s="1" t="str">
        <f t="shared" si="126"/>
        <v>No Issue</v>
      </c>
      <c r="P917" s="1" t="str">
        <f t="shared" si="127"/>
        <v>NoIssue</v>
      </c>
    </row>
    <row r="918" spans="1:16" ht="22.5" customHeight="1">
      <c r="A918" s="20">
        <v>29</v>
      </c>
      <c r="B918" s="21" t="s">
        <v>49</v>
      </c>
      <c r="C918" s="26">
        <v>248.89</v>
      </c>
      <c r="D918" s="1">
        <f t="shared" ref="D918:I918" si="155">(D859+D800+D741+D682+D623+D564+D505+D446+D387+D328+D269+D210+D151+D92+D33)</f>
        <v>10</v>
      </c>
      <c r="E918" s="1">
        <f t="shared" si="155"/>
        <v>0</v>
      </c>
      <c r="F918" s="1">
        <f t="shared" si="155"/>
        <v>0</v>
      </c>
      <c r="G918" s="1">
        <f t="shared" si="155"/>
        <v>0</v>
      </c>
      <c r="H918" s="1">
        <f t="shared" si="155"/>
        <v>0</v>
      </c>
      <c r="I918" s="1">
        <f t="shared" si="155"/>
        <v>10</v>
      </c>
      <c r="J918" s="1">
        <f t="shared" si="121"/>
        <v>10</v>
      </c>
      <c r="K918" s="19" t="str">
        <f t="shared" si="122"/>
        <v xml:space="preserve"> No Issue</v>
      </c>
      <c r="L918" s="1" t="str">
        <f t="shared" si="123"/>
        <v>No Issue</v>
      </c>
      <c r="M918" s="1" t="str">
        <f t="shared" si="124"/>
        <v>No Issue</v>
      </c>
      <c r="N918" s="1" t="str">
        <f t="shared" si="125"/>
        <v>No Issue</v>
      </c>
      <c r="O918" s="1" t="str">
        <f t="shared" si="126"/>
        <v>No Issue</v>
      </c>
      <c r="P918" s="1" t="str">
        <f t="shared" si="127"/>
        <v>NoIssue</v>
      </c>
    </row>
    <row r="919" spans="1:16" ht="22.5" customHeight="1">
      <c r="A919" s="20">
        <v>30</v>
      </c>
      <c r="B919" s="21" t="s">
        <v>50</v>
      </c>
      <c r="C919" s="26">
        <v>80.36</v>
      </c>
      <c r="D919" s="1">
        <f t="shared" ref="D919:I919" si="156">(D860+D801+D742+D683+D624+D565+D506+D447+D388+D329+D270+D211+D152+D93+D34)</f>
        <v>166</v>
      </c>
      <c r="E919" s="1">
        <f t="shared" si="156"/>
        <v>0</v>
      </c>
      <c r="F919" s="1">
        <f t="shared" si="156"/>
        <v>55</v>
      </c>
      <c r="G919" s="1">
        <f t="shared" si="156"/>
        <v>0</v>
      </c>
      <c r="H919" s="1">
        <f t="shared" si="156"/>
        <v>0</v>
      </c>
      <c r="I919" s="1">
        <f t="shared" si="156"/>
        <v>111</v>
      </c>
      <c r="J919" s="1">
        <f t="shared" si="121"/>
        <v>111</v>
      </c>
      <c r="K919" s="19" t="str">
        <f t="shared" si="122"/>
        <v xml:space="preserve"> No Issue</v>
      </c>
      <c r="L919" s="1" t="str">
        <f t="shared" si="123"/>
        <v>No Issue</v>
      </c>
      <c r="M919" s="1" t="str">
        <f t="shared" si="124"/>
        <v>No Issue</v>
      </c>
      <c r="N919" s="1" t="str">
        <f t="shared" si="125"/>
        <v>No Issue</v>
      </c>
      <c r="O919" s="1" t="str">
        <f t="shared" si="126"/>
        <v>No Issue</v>
      </c>
      <c r="P919" s="1" t="str">
        <f t="shared" si="127"/>
        <v>NoIssue</v>
      </c>
    </row>
    <row r="920" spans="1:16" ht="22.5" customHeight="1">
      <c r="A920" s="20">
        <v>31</v>
      </c>
      <c r="B920" s="21" t="s">
        <v>51</v>
      </c>
      <c r="C920" s="26">
        <v>52.46</v>
      </c>
      <c r="D920" s="1">
        <f t="shared" ref="D920:I920" si="157">(D861+D802+D743+D684+D625+D566+D507+D448+D389+D330+D271+D212+D153+D94+D35)</f>
        <v>68</v>
      </c>
      <c r="E920" s="1">
        <f t="shared" si="157"/>
        <v>0</v>
      </c>
      <c r="F920" s="1">
        <f t="shared" si="157"/>
        <v>22</v>
      </c>
      <c r="G920" s="1">
        <f t="shared" si="157"/>
        <v>0</v>
      </c>
      <c r="H920" s="1">
        <f t="shared" si="157"/>
        <v>0</v>
      </c>
      <c r="I920" s="1">
        <f t="shared" si="157"/>
        <v>46</v>
      </c>
      <c r="J920" s="1">
        <f t="shared" si="121"/>
        <v>46</v>
      </c>
      <c r="K920" s="19" t="str">
        <f t="shared" si="122"/>
        <v xml:space="preserve"> No Issue</v>
      </c>
      <c r="L920" s="1" t="str">
        <f t="shared" si="123"/>
        <v>No Issue</v>
      </c>
      <c r="M920" s="1" t="str">
        <f t="shared" si="124"/>
        <v>No Issue</v>
      </c>
      <c r="N920" s="1" t="str">
        <f t="shared" si="125"/>
        <v>No Issue</v>
      </c>
      <c r="O920" s="1" t="str">
        <f t="shared" si="126"/>
        <v>No Issue</v>
      </c>
      <c r="P920" s="1" t="str">
        <f t="shared" si="127"/>
        <v>NoIssue</v>
      </c>
    </row>
    <row r="921" spans="1:16" ht="22.5" customHeight="1">
      <c r="A921" s="20">
        <v>32</v>
      </c>
      <c r="B921" s="21" t="s">
        <v>52</v>
      </c>
      <c r="C921" s="26">
        <v>71.209999999999994</v>
      </c>
      <c r="D921" s="1">
        <f t="shared" ref="D921:I921" si="158">(D862+D803+D744+D685+D626+D567+D508+D449+D390+D331+D272+D213+D154+D95+D36)</f>
        <v>95</v>
      </c>
      <c r="E921" s="1">
        <f t="shared" si="158"/>
        <v>0</v>
      </c>
      <c r="F921" s="1">
        <f t="shared" si="158"/>
        <v>40</v>
      </c>
      <c r="G921" s="1">
        <f t="shared" si="158"/>
        <v>0</v>
      </c>
      <c r="H921" s="1">
        <f t="shared" si="158"/>
        <v>0</v>
      </c>
      <c r="I921" s="1">
        <f t="shared" si="158"/>
        <v>55</v>
      </c>
      <c r="J921" s="1">
        <f t="shared" si="121"/>
        <v>55</v>
      </c>
      <c r="K921" s="19" t="str">
        <f t="shared" si="122"/>
        <v xml:space="preserve"> No Issue</v>
      </c>
      <c r="L921" s="1" t="str">
        <f t="shared" si="123"/>
        <v>No Issue</v>
      </c>
      <c r="M921" s="1" t="str">
        <f t="shared" si="124"/>
        <v>No Issue</v>
      </c>
      <c r="N921" s="1" t="str">
        <f t="shared" si="125"/>
        <v>No Issue</v>
      </c>
      <c r="O921" s="1" t="str">
        <f t="shared" si="126"/>
        <v>No Issue</v>
      </c>
      <c r="P921" s="1" t="str">
        <f t="shared" si="127"/>
        <v>NoIssue</v>
      </c>
    </row>
    <row r="922" spans="1:16" ht="22.5" customHeight="1">
      <c r="A922" s="20">
        <v>33</v>
      </c>
      <c r="B922" s="21" t="s">
        <v>53</v>
      </c>
      <c r="C922" s="26">
        <v>80.349999999999994</v>
      </c>
      <c r="D922" s="1">
        <f t="shared" ref="D922:I922" si="159">(D863+D804+D745+D686+D627+D568+D509+D450+D391+D332+D273+D214+D155+D96+D37)</f>
        <v>10</v>
      </c>
      <c r="E922" s="1">
        <f t="shared" si="159"/>
        <v>0</v>
      </c>
      <c r="F922" s="1">
        <f t="shared" si="159"/>
        <v>0</v>
      </c>
      <c r="G922" s="1">
        <f t="shared" si="159"/>
        <v>0</v>
      </c>
      <c r="H922" s="1">
        <f t="shared" si="159"/>
        <v>0</v>
      </c>
      <c r="I922" s="1">
        <f t="shared" si="159"/>
        <v>10</v>
      </c>
      <c r="J922" s="1">
        <f t="shared" si="121"/>
        <v>10</v>
      </c>
      <c r="K922" s="19" t="str">
        <f t="shared" si="122"/>
        <v xml:space="preserve"> No Issue</v>
      </c>
      <c r="L922" s="1" t="str">
        <f t="shared" si="123"/>
        <v>No Issue</v>
      </c>
      <c r="M922" s="1" t="str">
        <f t="shared" si="124"/>
        <v>No Issue</v>
      </c>
      <c r="N922" s="1" t="str">
        <f t="shared" si="125"/>
        <v>No Issue</v>
      </c>
      <c r="O922" s="1" t="str">
        <f t="shared" si="126"/>
        <v>No Issue</v>
      </c>
      <c r="P922" s="1" t="str">
        <f t="shared" si="127"/>
        <v>NoIssue</v>
      </c>
    </row>
    <row r="923" spans="1:16" ht="22.5" customHeight="1">
      <c r="A923" s="20">
        <v>34</v>
      </c>
      <c r="B923" s="21" t="s">
        <v>54</v>
      </c>
      <c r="C923" s="26">
        <v>64.180000000000007</v>
      </c>
      <c r="D923" s="1">
        <f t="shared" ref="D923:I923" si="160">(D864+D805+D746+D687+D628+D569+D510+D451+D392+D333+D274+D215+D156+D97+D38)</f>
        <v>432</v>
      </c>
      <c r="E923" s="1">
        <f t="shared" si="160"/>
        <v>300</v>
      </c>
      <c r="F923" s="1">
        <f t="shared" si="160"/>
        <v>165</v>
      </c>
      <c r="G923" s="1">
        <f t="shared" si="160"/>
        <v>0</v>
      </c>
      <c r="H923" s="1">
        <f t="shared" si="160"/>
        <v>0</v>
      </c>
      <c r="I923" s="1">
        <f t="shared" si="160"/>
        <v>567</v>
      </c>
      <c r="J923" s="1">
        <f t="shared" si="121"/>
        <v>567</v>
      </c>
      <c r="K923" s="19" t="str">
        <f t="shared" si="122"/>
        <v xml:space="preserve"> No Issue</v>
      </c>
      <c r="L923" s="1" t="str">
        <f t="shared" si="123"/>
        <v>No Issue</v>
      </c>
      <c r="M923" s="1" t="str">
        <f t="shared" si="124"/>
        <v>No Issue</v>
      </c>
      <c r="N923" s="1" t="str">
        <f t="shared" si="125"/>
        <v>No Issue</v>
      </c>
      <c r="O923" s="1" t="str">
        <f t="shared" si="126"/>
        <v>No Issue</v>
      </c>
      <c r="P923" s="1" t="str">
        <f t="shared" si="127"/>
        <v>NoIssue</v>
      </c>
    </row>
    <row r="924" spans="1:16" ht="22.5" customHeight="1">
      <c r="A924" s="20">
        <v>35</v>
      </c>
      <c r="B924" s="21" t="s">
        <v>55</v>
      </c>
      <c r="C924" s="26">
        <v>36.9</v>
      </c>
      <c r="D924" s="1">
        <f t="shared" ref="D924:I924" si="161">(D865+D806+D747+D688+D629+D570+D511+D452+D393+D334+D275+D216+D157+D98+D39)</f>
        <v>95</v>
      </c>
      <c r="E924" s="1">
        <f t="shared" si="161"/>
        <v>0</v>
      </c>
      <c r="F924" s="1">
        <f t="shared" si="161"/>
        <v>0</v>
      </c>
      <c r="G924" s="1">
        <f t="shared" si="161"/>
        <v>0</v>
      </c>
      <c r="H924" s="1">
        <f t="shared" si="161"/>
        <v>0</v>
      </c>
      <c r="I924" s="1">
        <f t="shared" si="161"/>
        <v>95</v>
      </c>
      <c r="J924" s="1">
        <f t="shared" si="121"/>
        <v>95</v>
      </c>
      <c r="K924" s="19" t="str">
        <f t="shared" si="122"/>
        <v xml:space="preserve"> No Issue</v>
      </c>
      <c r="L924" s="1" t="str">
        <f t="shared" si="123"/>
        <v>No Issue</v>
      </c>
      <c r="M924" s="1" t="str">
        <f t="shared" si="124"/>
        <v>No Issue</v>
      </c>
      <c r="N924" s="1" t="str">
        <f t="shared" si="125"/>
        <v>No Issue</v>
      </c>
      <c r="O924" s="1" t="str">
        <f t="shared" si="126"/>
        <v>No Issue</v>
      </c>
      <c r="P924" s="1" t="str">
        <f t="shared" si="127"/>
        <v>NoIssue</v>
      </c>
    </row>
    <row r="925" spans="1:16" ht="22.5" customHeight="1">
      <c r="A925" s="20">
        <v>36</v>
      </c>
      <c r="B925" s="21" t="s">
        <v>56</v>
      </c>
      <c r="C925" s="26">
        <v>101.54</v>
      </c>
      <c r="D925" s="1">
        <f t="shared" ref="D925:I925" si="162">(D866+D807+D748+D689+D630+D571+D512+D453+D394+D335+D276+D217+D158+D99+D40)</f>
        <v>204</v>
      </c>
      <c r="E925" s="1">
        <f t="shared" si="162"/>
        <v>0</v>
      </c>
      <c r="F925" s="1">
        <f t="shared" si="162"/>
        <v>25</v>
      </c>
      <c r="G925" s="1">
        <f t="shared" si="162"/>
        <v>0</v>
      </c>
      <c r="H925" s="1">
        <f t="shared" si="162"/>
        <v>0</v>
      </c>
      <c r="I925" s="1">
        <f t="shared" si="162"/>
        <v>179</v>
      </c>
      <c r="J925" s="1">
        <f t="shared" si="121"/>
        <v>179</v>
      </c>
      <c r="K925" s="19" t="str">
        <f t="shared" si="122"/>
        <v xml:space="preserve"> No Issue</v>
      </c>
      <c r="L925" s="1" t="str">
        <f t="shared" si="123"/>
        <v>No Issue</v>
      </c>
      <c r="M925" s="1" t="str">
        <f t="shared" si="124"/>
        <v>No Issue</v>
      </c>
      <c r="N925" s="1" t="str">
        <f t="shared" si="125"/>
        <v>No Issue</v>
      </c>
      <c r="O925" s="1" t="str">
        <f t="shared" si="126"/>
        <v>No Issue</v>
      </c>
      <c r="P925" s="1" t="str">
        <f t="shared" si="127"/>
        <v>NoIssue</v>
      </c>
    </row>
    <row r="926" spans="1:16" ht="22.5" customHeight="1">
      <c r="A926" s="20">
        <v>37</v>
      </c>
      <c r="B926" s="21" t="s">
        <v>57</v>
      </c>
      <c r="C926" s="26">
        <v>40.5</v>
      </c>
      <c r="D926" s="1">
        <f t="shared" ref="D926:I926" si="163">(D867+D808+D749+D690+D631+D572+D513+D454+D395+D336+D277+D218+D159+D100+D41)</f>
        <v>0</v>
      </c>
      <c r="E926" s="1">
        <f t="shared" si="163"/>
        <v>0</v>
      </c>
      <c r="F926" s="1">
        <f t="shared" si="163"/>
        <v>0</v>
      </c>
      <c r="G926" s="1">
        <f t="shared" si="163"/>
        <v>0</v>
      </c>
      <c r="H926" s="1">
        <f t="shared" si="163"/>
        <v>0</v>
      </c>
      <c r="I926" s="1">
        <f t="shared" si="163"/>
        <v>0</v>
      </c>
      <c r="J926" s="1">
        <f t="shared" si="121"/>
        <v>0</v>
      </c>
      <c r="K926" s="19" t="str">
        <f t="shared" si="122"/>
        <v xml:space="preserve"> No Issue</v>
      </c>
      <c r="L926" s="1" t="str">
        <f t="shared" si="123"/>
        <v>No Issue</v>
      </c>
      <c r="M926" s="1" t="str">
        <f t="shared" si="124"/>
        <v>No Issue</v>
      </c>
      <c r="N926" s="1" t="str">
        <f t="shared" si="125"/>
        <v>No Issue</v>
      </c>
      <c r="O926" s="1" t="str">
        <f t="shared" si="126"/>
        <v>No Issue</v>
      </c>
      <c r="P926" s="1" t="str">
        <f t="shared" si="127"/>
        <v>NoIssue</v>
      </c>
    </row>
    <row r="927" spans="1:16" ht="22.5" customHeight="1">
      <c r="A927" s="20">
        <v>38</v>
      </c>
      <c r="B927" s="21" t="s">
        <v>58</v>
      </c>
      <c r="C927" s="26">
        <v>66.69</v>
      </c>
      <c r="D927" s="1">
        <f t="shared" ref="D927:I927" si="164">(D868+D809+D750+D691+D632+D573+D514+D455+D396+D337+D278+D219+D160+D101+D42)</f>
        <v>99</v>
      </c>
      <c r="E927" s="1">
        <f t="shared" si="164"/>
        <v>110</v>
      </c>
      <c r="F927" s="1">
        <f t="shared" si="164"/>
        <v>130</v>
      </c>
      <c r="G927" s="1">
        <f t="shared" si="164"/>
        <v>0</v>
      </c>
      <c r="H927" s="1">
        <f t="shared" si="164"/>
        <v>0</v>
      </c>
      <c r="I927" s="1">
        <f t="shared" si="164"/>
        <v>79</v>
      </c>
      <c r="J927" s="1">
        <f t="shared" si="121"/>
        <v>79</v>
      </c>
      <c r="K927" s="19" t="str">
        <f t="shared" si="122"/>
        <v xml:space="preserve"> No Issue</v>
      </c>
      <c r="L927" s="1" t="str">
        <f t="shared" si="123"/>
        <v>No Issue</v>
      </c>
      <c r="M927" s="1" t="str">
        <f t="shared" si="124"/>
        <v>No Issue</v>
      </c>
      <c r="N927" s="1" t="str">
        <f t="shared" si="125"/>
        <v>No Issue</v>
      </c>
      <c r="O927" s="1" t="str">
        <f t="shared" si="126"/>
        <v>No Issue</v>
      </c>
      <c r="P927" s="1" t="str">
        <f t="shared" si="127"/>
        <v>NoIssue</v>
      </c>
    </row>
    <row r="928" spans="1:16" ht="22.5" customHeight="1">
      <c r="A928" s="20">
        <v>39</v>
      </c>
      <c r="B928" s="21" t="s">
        <v>59</v>
      </c>
      <c r="C928" s="21">
        <v>150.85999999999999</v>
      </c>
      <c r="D928" s="1">
        <f t="shared" ref="D928:I928" si="165">(D869+D810+D751+D692+D633+D574+D515+D456+D397+D338+D279+D220+D161+D102+D43)</f>
        <v>10</v>
      </c>
      <c r="E928" s="1">
        <f t="shared" si="165"/>
        <v>160</v>
      </c>
      <c r="F928" s="1">
        <f t="shared" si="165"/>
        <v>110</v>
      </c>
      <c r="G928" s="1">
        <f t="shared" si="165"/>
        <v>0</v>
      </c>
      <c r="H928" s="1">
        <f t="shared" si="165"/>
        <v>0</v>
      </c>
      <c r="I928" s="1">
        <f t="shared" si="165"/>
        <v>60</v>
      </c>
      <c r="J928" s="1">
        <f t="shared" si="121"/>
        <v>60</v>
      </c>
      <c r="K928" s="19" t="str">
        <f t="shared" si="122"/>
        <v xml:space="preserve"> No Issue</v>
      </c>
      <c r="L928" s="1" t="str">
        <f t="shared" si="123"/>
        <v>No Issue</v>
      </c>
      <c r="M928" s="1" t="str">
        <f t="shared" si="124"/>
        <v>No Issue</v>
      </c>
      <c r="N928" s="1" t="str">
        <f t="shared" si="125"/>
        <v>No Issue</v>
      </c>
      <c r="O928" s="1" t="str">
        <f t="shared" si="126"/>
        <v>No Issue</v>
      </c>
      <c r="P928" s="1" t="str">
        <f t="shared" si="127"/>
        <v>NoIssue</v>
      </c>
    </row>
    <row r="929" spans="1:16" ht="22.5" customHeight="1">
      <c r="A929" s="20">
        <v>40</v>
      </c>
      <c r="B929" s="29" t="s">
        <v>60</v>
      </c>
      <c r="C929" s="26">
        <v>180</v>
      </c>
      <c r="D929" s="1">
        <f t="shared" ref="D929:I929" si="166">(D870+D811+D752+D693+D634+D575+D516+D457+D398+D339+D280+D221+D162+D103+D44)</f>
        <v>10</v>
      </c>
      <c r="E929" s="1">
        <f t="shared" si="166"/>
        <v>0</v>
      </c>
      <c r="F929" s="1">
        <f t="shared" si="166"/>
        <v>0</v>
      </c>
      <c r="G929" s="1">
        <f t="shared" si="166"/>
        <v>0</v>
      </c>
      <c r="H929" s="1">
        <f t="shared" si="166"/>
        <v>0</v>
      </c>
      <c r="I929" s="1">
        <f t="shared" si="166"/>
        <v>10</v>
      </c>
      <c r="J929" s="1">
        <f t="shared" si="121"/>
        <v>10</v>
      </c>
      <c r="K929" s="19" t="str">
        <f t="shared" si="122"/>
        <v xml:space="preserve"> No Issue</v>
      </c>
      <c r="L929" s="1" t="str">
        <f t="shared" si="123"/>
        <v>No Issue</v>
      </c>
      <c r="M929" s="1" t="str">
        <f t="shared" si="124"/>
        <v>No Issue</v>
      </c>
      <c r="N929" s="1" t="str">
        <f t="shared" si="125"/>
        <v>No Issue</v>
      </c>
      <c r="O929" s="1" t="str">
        <f t="shared" si="126"/>
        <v>No Issue</v>
      </c>
      <c r="P929" s="1" t="str">
        <f t="shared" si="127"/>
        <v>NoIssue</v>
      </c>
    </row>
    <row r="930" spans="1:16" ht="22.5" customHeight="1">
      <c r="A930" s="20">
        <v>41</v>
      </c>
      <c r="B930" s="29" t="s">
        <v>61</v>
      </c>
      <c r="C930" s="21">
        <v>128.57</v>
      </c>
      <c r="D930" s="1">
        <f t="shared" ref="D930:I930" si="167">(D871+D812+D753+D694+D635+D576+D517+D458+D399+D340+D281+D222+D163+D104+D45)</f>
        <v>10</v>
      </c>
      <c r="E930" s="1">
        <f t="shared" si="167"/>
        <v>0</v>
      </c>
      <c r="F930" s="1">
        <f t="shared" si="167"/>
        <v>0</v>
      </c>
      <c r="G930" s="1">
        <f t="shared" si="167"/>
        <v>0</v>
      </c>
      <c r="H930" s="1">
        <f t="shared" si="167"/>
        <v>0</v>
      </c>
      <c r="I930" s="1">
        <f t="shared" si="167"/>
        <v>10</v>
      </c>
      <c r="J930" s="1">
        <f t="shared" si="121"/>
        <v>10</v>
      </c>
      <c r="K930" s="19" t="str">
        <f t="shared" si="122"/>
        <v xml:space="preserve"> No Issue</v>
      </c>
      <c r="L930" s="1" t="str">
        <f t="shared" si="123"/>
        <v>No Issue</v>
      </c>
      <c r="M930" s="1" t="str">
        <f t="shared" si="124"/>
        <v>No Issue</v>
      </c>
      <c r="N930" s="1" t="str">
        <f t="shared" si="125"/>
        <v>No Issue</v>
      </c>
      <c r="O930" s="1" t="str">
        <f t="shared" si="126"/>
        <v>No Issue</v>
      </c>
      <c r="P930" s="1" t="str">
        <f t="shared" si="127"/>
        <v>NoIssue</v>
      </c>
    </row>
    <row r="931" spans="1:16" ht="22.5" customHeight="1">
      <c r="A931" s="20">
        <v>42</v>
      </c>
      <c r="B931" s="21"/>
      <c r="C931" s="21"/>
      <c r="D931" s="1">
        <f t="shared" ref="D931:I931" si="168">(D872+D813+D754+D695+D636+D577+D518+D459+D400+D341+D282+D223+D164+D105+D46)</f>
        <v>0</v>
      </c>
      <c r="E931" s="1">
        <f t="shared" si="168"/>
        <v>0</v>
      </c>
      <c r="F931" s="1">
        <f t="shared" si="168"/>
        <v>0</v>
      </c>
      <c r="G931" s="1">
        <f t="shared" si="168"/>
        <v>0</v>
      </c>
      <c r="H931" s="1">
        <f t="shared" si="168"/>
        <v>0</v>
      </c>
      <c r="I931" s="1">
        <f t="shared" si="168"/>
        <v>0</v>
      </c>
      <c r="J931" s="1">
        <f t="shared" si="121"/>
        <v>0</v>
      </c>
      <c r="K931" s="19" t="str">
        <f t="shared" si="122"/>
        <v xml:space="preserve"> No Issue</v>
      </c>
      <c r="L931" s="1" t="str">
        <f t="shared" si="123"/>
        <v>No Issue</v>
      </c>
      <c r="M931" s="1" t="str">
        <f t="shared" si="124"/>
        <v>No Issue</v>
      </c>
      <c r="N931" s="1" t="str">
        <f t="shared" si="125"/>
        <v>No Issue</v>
      </c>
      <c r="O931" s="1" t="str">
        <f t="shared" si="126"/>
        <v>No Issue</v>
      </c>
      <c r="P931" s="1" t="str">
        <f t="shared" si="127"/>
        <v>NoIssue</v>
      </c>
    </row>
    <row r="932" spans="1:16" ht="22.5" customHeight="1">
      <c r="A932" s="20">
        <v>43</v>
      </c>
      <c r="B932" s="30"/>
      <c r="C932" s="30"/>
      <c r="D932" s="1">
        <f t="shared" ref="D932:I932" si="169">(D873+D814+D755+D696+D637+D578+D519+D460+D401+D342+D283+D224+D165+D106+D47)</f>
        <v>0</v>
      </c>
      <c r="E932" s="1">
        <f t="shared" si="169"/>
        <v>0</v>
      </c>
      <c r="F932" s="1">
        <f t="shared" si="169"/>
        <v>0</v>
      </c>
      <c r="G932" s="1">
        <f t="shared" si="169"/>
        <v>0</v>
      </c>
      <c r="H932" s="1">
        <f t="shared" si="169"/>
        <v>0</v>
      </c>
      <c r="I932" s="1">
        <f t="shared" si="169"/>
        <v>0</v>
      </c>
      <c r="J932" s="1">
        <f t="shared" si="121"/>
        <v>0</v>
      </c>
      <c r="K932" s="19" t="str">
        <f t="shared" si="122"/>
        <v xml:space="preserve"> No Issue</v>
      </c>
      <c r="L932" s="1" t="str">
        <f t="shared" si="123"/>
        <v>No Issue</v>
      </c>
      <c r="M932" s="1" t="str">
        <f t="shared" si="124"/>
        <v>No Issue</v>
      </c>
      <c r="N932" s="1" t="str">
        <f t="shared" si="125"/>
        <v>No Issue</v>
      </c>
      <c r="O932" s="1" t="str">
        <f t="shared" si="126"/>
        <v>No Issue</v>
      </c>
      <c r="P932" s="1" t="str">
        <f t="shared" si="127"/>
        <v>NoIssue</v>
      </c>
    </row>
    <row r="933" spans="1:16" ht="22.5" customHeight="1">
      <c r="A933" s="20">
        <v>44</v>
      </c>
      <c r="B933" s="30"/>
      <c r="C933" s="30"/>
      <c r="D933" s="1">
        <f t="shared" ref="D933:I933" si="170">(D874+D815+D756+D697+D638+D579+D520+D461+D402+D343+D284+D225+D166+D107+D48)</f>
        <v>0</v>
      </c>
      <c r="E933" s="1">
        <f t="shared" si="170"/>
        <v>0</v>
      </c>
      <c r="F933" s="1">
        <f t="shared" si="170"/>
        <v>0</v>
      </c>
      <c r="G933" s="1">
        <f t="shared" si="170"/>
        <v>0</v>
      </c>
      <c r="H933" s="1">
        <f t="shared" si="170"/>
        <v>0</v>
      </c>
      <c r="I933" s="1">
        <f t="shared" si="170"/>
        <v>0</v>
      </c>
      <c r="J933" s="1">
        <f t="shared" si="121"/>
        <v>0</v>
      </c>
      <c r="K933" s="19" t="str">
        <f t="shared" si="122"/>
        <v xml:space="preserve"> No Issue</v>
      </c>
      <c r="L933" s="1" t="str">
        <f t="shared" si="123"/>
        <v>No Issue</v>
      </c>
      <c r="M933" s="1" t="str">
        <f t="shared" si="124"/>
        <v>No Issue</v>
      </c>
      <c r="N933" s="1" t="str">
        <f t="shared" si="125"/>
        <v>No Issue</v>
      </c>
      <c r="O933" s="1" t="str">
        <f t="shared" si="126"/>
        <v>No Issue</v>
      </c>
      <c r="P933" s="1" t="str">
        <f t="shared" si="127"/>
        <v>NoIssue</v>
      </c>
    </row>
    <row r="934" spans="1:16" ht="22.5" customHeight="1">
      <c r="A934" s="20">
        <v>45</v>
      </c>
      <c r="B934" s="30"/>
      <c r="C934" s="30"/>
      <c r="D934" s="1">
        <f t="shared" ref="D934:I934" si="171">(D875+D816+D757+D698+D639+D580+D521+D462+D403+D344+D285+D226+D167+D108+D49)</f>
        <v>0</v>
      </c>
      <c r="E934" s="1">
        <f t="shared" si="171"/>
        <v>0</v>
      </c>
      <c r="F934" s="1">
        <f t="shared" si="171"/>
        <v>0</v>
      </c>
      <c r="G934" s="1">
        <f t="shared" si="171"/>
        <v>0</v>
      </c>
      <c r="H934" s="1">
        <f t="shared" si="171"/>
        <v>0</v>
      </c>
      <c r="I934" s="1">
        <f t="shared" si="171"/>
        <v>0</v>
      </c>
      <c r="J934" s="1">
        <f t="shared" si="121"/>
        <v>0</v>
      </c>
      <c r="K934" s="19" t="str">
        <f t="shared" si="122"/>
        <v xml:space="preserve"> No Issue</v>
      </c>
      <c r="L934" s="1" t="str">
        <f t="shared" si="123"/>
        <v>No Issue</v>
      </c>
      <c r="M934" s="1" t="str">
        <f t="shared" si="124"/>
        <v>No Issue</v>
      </c>
      <c r="N934" s="1" t="str">
        <f t="shared" si="125"/>
        <v>No Issue</v>
      </c>
      <c r="O934" s="1" t="str">
        <f t="shared" si="126"/>
        <v>No Issue</v>
      </c>
      <c r="P934" s="1" t="str">
        <f t="shared" si="127"/>
        <v>NoIssue</v>
      </c>
    </row>
    <row r="935" spans="1:16" ht="22.5" customHeight="1">
      <c r="A935" s="20">
        <v>46</v>
      </c>
      <c r="B935" s="30"/>
      <c r="C935" s="30"/>
      <c r="D935" s="1">
        <f t="shared" ref="D935:I935" si="172">(D876+D817+D758+D699+D640+D581+D522+D463+D404+D345+D286+D227+D168+D109+D50)</f>
        <v>0</v>
      </c>
      <c r="E935" s="1">
        <f t="shared" si="172"/>
        <v>0</v>
      </c>
      <c r="F935" s="1">
        <f t="shared" si="172"/>
        <v>0</v>
      </c>
      <c r="G935" s="1">
        <f t="shared" si="172"/>
        <v>0</v>
      </c>
      <c r="H935" s="1">
        <f t="shared" si="172"/>
        <v>0</v>
      </c>
      <c r="I935" s="1">
        <f t="shared" si="172"/>
        <v>0</v>
      </c>
      <c r="J935" s="1">
        <f t="shared" si="121"/>
        <v>0</v>
      </c>
      <c r="K935" s="19" t="str">
        <f t="shared" si="122"/>
        <v xml:space="preserve"> No Issue</v>
      </c>
      <c r="L935" s="1" t="str">
        <f t="shared" si="123"/>
        <v>No Issue</v>
      </c>
      <c r="M935" s="1" t="str">
        <f t="shared" si="124"/>
        <v>No Issue</v>
      </c>
      <c r="N935" s="1" t="str">
        <f t="shared" si="125"/>
        <v>No Issue</v>
      </c>
      <c r="O935" s="1" t="str">
        <f t="shared" si="126"/>
        <v>No Issue</v>
      </c>
      <c r="P935" s="1" t="str">
        <f t="shared" si="127"/>
        <v>NoIssue</v>
      </c>
    </row>
    <row r="936" spans="1:16" ht="22.5" customHeight="1">
      <c r="A936" s="20">
        <v>47</v>
      </c>
      <c r="B936" s="31"/>
      <c r="C936" s="32"/>
      <c r="D936" s="1">
        <f t="shared" ref="D936:I936" si="173">(D877+D818+D759+D700+D641+D582+D523+D464+D405+D346+D287+D228+D169+D110+D51)</f>
        <v>0</v>
      </c>
      <c r="E936" s="1">
        <f t="shared" si="173"/>
        <v>0</v>
      </c>
      <c r="F936" s="1">
        <f t="shared" si="173"/>
        <v>0</v>
      </c>
      <c r="G936" s="1">
        <f t="shared" si="173"/>
        <v>0</v>
      </c>
      <c r="H936" s="1">
        <f t="shared" si="173"/>
        <v>0</v>
      </c>
      <c r="I936" s="1">
        <f t="shared" si="173"/>
        <v>0</v>
      </c>
      <c r="J936" s="1">
        <f t="shared" si="121"/>
        <v>0</v>
      </c>
      <c r="K936" s="19" t="str">
        <f t="shared" si="122"/>
        <v xml:space="preserve"> No Issue</v>
      </c>
      <c r="L936" s="1" t="str">
        <f t="shared" si="123"/>
        <v>No Issue</v>
      </c>
      <c r="M936" s="1" t="str">
        <f t="shared" si="124"/>
        <v>No Issue</v>
      </c>
      <c r="N936" s="1" t="str">
        <f t="shared" si="125"/>
        <v>No Issue</v>
      </c>
      <c r="O936" s="1" t="str">
        <f t="shared" si="126"/>
        <v>No Issue</v>
      </c>
      <c r="P936" s="1" t="str">
        <f t="shared" si="127"/>
        <v>NoIssue</v>
      </c>
    </row>
    <row r="937" spans="1:16" ht="22.5" customHeight="1">
      <c r="A937" s="20">
        <v>48</v>
      </c>
      <c r="B937" s="31"/>
      <c r="C937" s="32"/>
      <c r="D937" s="1">
        <f t="shared" ref="D937:I937" si="174">(D878+D819+D760+D701+D642+D583+D524+D465+D406+D347+D288+D229+D170+D111+D52)</f>
        <v>0</v>
      </c>
      <c r="E937" s="1">
        <f t="shared" si="174"/>
        <v>0</v>
      </c>
      <c r="F937" s="1">
        <f t="shared" si="174"/>
        <v>0</v>
      </c>
      <c r="G937" s="1">
        <f t="shared" si="174"/>
        <v>0</v>
      </c>
      <c r="H937" s="1">
        <f t="shared" si="174"/>
        <v>0</v>
      </c>
      <c r="I937" s="1">
        <f t="shared" si="174"/>
        <v>0</v>
      </c>
      <c r="J937" s="1">
        <f t="shared" si="121"/>
        <v>0</v>
      </c>
      <c r="K937" s="19" t="str">
        <f t="shared" si="122"/>
        <v xml:space="preserve"> No Issue</v>
      </c>
      <c r="L937" s="1" t="str">
        <f t="shared" si="123"/>
        <v>No Issue</v>
      </c>
      <c r="M937" s="1" t="str">
        <f t="shared" si="124"/>
        <v>No Issue</v>
      </c>
      <c r="N937" s="1" t="str">
        <f t="shared" si="125"/>
        <v>No Issue</v>
      </c>
      <c r="O937" s="1" t="str">
        <f t="shared" si="126"/>
        <v>No Issue</v>
      </c>
      <c r="P937" s="1" t="str">
        <f t="shared" si="127"/>
        <v>NoIssue</v>
      </c>
    </row>
    <row r="938" spans="1:16" ht="22.5" customHeight="1">
      <c r="A938" s="20">
        <v>49</v>
      </c>
      <c r="B938" s="31"/>
      <c r="C938" s="32"/>
      <c r="D938" s="1">
        <f t="shared" ref="D938:I938" si="175">(D879+D820+D761+D702+D643+D584+D525+D466+D407+D348+D289+D230+D171+D112+D53)</f>
        <v>0</v>
      </c>
      <c r="E938" s="1">
        <f t="shared" si="175"/>
        <v>0</v>
      </c>
      <c r="F938" s="1">
        <f t="shared" si="175"/>
        <v>0</v>
      </c>
      <c r="G938" s="1">
        <f t="shared" si="175"/>
        <v>0</v>
      </c>
      <c r="H938" s="1">
        <f t="shared" si="175"/>
        <v>0</v>
      </c>
      <c r="I938" s="1">
        <f t="shared" si="175"/>
        <v>0</v>
      </c>
      <c r="J938" s="1">
        <f t="shared" si="121"/>
        <v>0</v>
      </c>
      <c r="K938" s="19" t="str">
        <f t="shared" si="122"/>
        <v xml:space="preserve"> No Issue</v>
      </c>
      <c r="L938" s="1" t="str">
        <f t="shared" si="123"/>
        <v>No Issue</v>
      </c>
      <c r="M938" s="1" t="str">
        <f t="shared" si="124"/>
        <v>No Issue</v>
      </c>
      <c r="N938" s="1" t="str">
        <f t="shared" si="125"/>
        <v>No Issue</v>
      </c>
      <c r="O938" s="1" t="str">
        <f t="shared" si="126"/>
        <v>No Issue</v>
      </c>
      <c r="P938" s="1" t="str">
        <f t="shared" si="127"/>
        <v>NoIssue</v>
      </c>
    </row>
    <row r="939" spans="1:16" ht="22.5" customHeight="1">
      <c r="A939" s="20">
        <v>50</v>
      </c>
      <c r="B939" s="31"/>
      <c r="C939" s="32"/>
      <c r="D939" s="1">
        <f t="shared" ref="D939:I939" si="176">(D880+D821+D762+D703+D644+D585+D526+D467+D408+D349+D290+D231+D172+D113+D54)</f>
        <v>0</v>
      </c>
      <c r="E939" s="1">
        <f t="shared" si="176"/>
        <v>0</v>
      </c>
      <c r="F939" s="1">
        <f t="shared" si="176"/>
        <v>0</v>
      </c>
      <c r="G939" s="1">
        <f t="shared" si="176"/>
        <v>0</v>
      </c>
      <c r="H939" s="1">
        <f t="shared" si="176"/>
        <v>0</v>
      </c>
      <c r="I939" s="1">
        <f t="shared" si="176"/>
        <v>0</v>
      </c>
      <c r="J939" s="1">
        <f t="shared" si="121"/>
        <v>0</v>
      </c>
      <c r="K939" s="19" t="str">
        <f t="shared" si="122"/>
        <v xml:space="preserve"> No Issue</v>
      </c>
      <c r="L939" s="1" t="str">
        <f t="shared" si="123"/>
        <v>No Issue</v>
      </c>
      <c r="M939" s="1" t="str">
        <f t="shared" si="124"/>
        <v>No Issue</v>
      </c>
      <c r="N939" s="1" t="str">
        <f t="shared" si="125"/>
        <v>No Issue</v>
      </c>
      <c r="O939" s="1" t="str">
        <f t="shared" si="126"/>
        <v>No Issue</v>
      </c>
      <c r="P939" s="1" t="str">
        <f t="shared" si="127"/>
        <v>NoIssue</v>
      </c>
    </row>
    <row r="940" spans="1:16" ht="22.5" customHeight="1">
      <c r="A940" s="20">
        <v>51</v>
      </c>
      <c r="B940" s="31"/>
      <c r="C940" s="32"/>
      <c r="D940" s="1">
        <f t="shared" ref="D940:I940" si="177">(D881+D822+D763+D704+D645+D586+D527+D468+D409+D350+D291+D232+D173+D114+D55)</f>
        <v>0</v>
      </c>
      <c r="E940" s="1">
        <f t="shared" si="177"/>
        <v>0</v>
      </c>
      <c r="F940" s="1">
        <f t="shared" si="177"/>
        <v>0</v>
      </c>
      <c r="G940" s="1">
        <f t="shared" si="177"/>
        <v>0</v>
      </c>
      <c r="H940" s="1">
        <f t="shared" si="177"/>
        <v>0</v>
      </c>
      <c r="I940" s="1">
        <f t="shared" si="177"/>
        <v>0</v>
      </c>
      <c r="J940" s="1">
        <f t="shared" si="121"/>
        <v>0</v>
      </c>
      <c r="K940" s="19" t="str">
        <f t="shared" si="122"/>
        <v xml:space="preserve"> No Issue</v>
      </c>
      <c r="L940" s="1" t="str">
        <f t="shared" si="123"/>
        <v>No Issue</v>
      </c>
      <c r="M940" s="1" t="str">
        <f t="shared" si="124"/>
        <v>No Issue</v>
      </c>
      <c r="N940" s="1" t="str">
        <f t="shared" si="125"/>
        <v>No Issue</v>
      </c>
      <c r="O940" s="1" t="str">
        <f t="shared" si="126"/>
        <v>No Issue</v>
      </c>
      <c r="P940" s="1" t="str">
        <f t="shared" si="127"/>
        <v>NoIssue</v>
      </c>
    </row>
    <row r="941" spans="1:16" ht="22.5" customHeight="1">
      <c r="A941" s="20">
        <v>52</v>
      </c>
      <c r="B941" s="31"/>
      <c r="C941" s="32"/>
      <c r="D941" s="1">
        <f t="shared" ref="D941:I941" si="178">(D882+D823+D764+D705+D646+D587+D528+D469+D410+D351+D292+D233+D174+D115+D56)</f>
        <v>0</v>
      </c>
      <c r="E941" s="1">
        <f t="shared" si="178"/>
        <v>0</v>
      </c>
      <c r="F941" s="1">
        <f t="shared" si="178"/>
        <v>0</v>
      </c>
      <c r="G941" s="1">
        <f t="shared" si="178"/>
        <v>0</v>
      </c>
      <c r="H941" s="1">
        <f t="shared" si="178"/>
        <v>0</v>
      </c>
      <c r="I941" s="1">
        <f t="shared" si="178"/>
        <v>0</v>
      </c>
      <c r="J941" s="1">
        <f t="shared" si="121"/>
        <v>0</v>
      </c>
      <c r="K941" s="19" t="str">
        <f t="shared" si="122"/>
        <v xml:space="preserve"> No Issue</v>
      </c>
      <c r="L941" s="1" t="str">
        <f t="shared" si="123"/>
        <v>No Issue</v>
      </c>
      <c r="M941" s="1" t="str">
        <f t="shared" si="124"/>
        <v>No Issue</v>
      </c>
      <c r="N941" s="1" t="str">
        <f t="shared" si="125"/>
        <v>No Issue</v>
      </c>
      <c r="O941" s="1" t="str">
        <f t="shared" si="126"/>
        <v>No Issue</v>
      </c>
      <c r="P941" s="1" t="str">
        <f t="shared" si="127"/>
        <v>NoIssue</v>
      </c>
    </row>
    <row r="942" spans="1:16" ht="22.5" customHeight="1">
      <c r="A942" s="20">
        <v>53</v>
      </c>
      <c r="B942" s="31"/>
      <c r="C942" s="32"/>
      <c r="D942" s="1">
        <f t="shared" ref="D942:I942" si="179">(D883+D824+D765+D706+D647+D588+D529+D470+D411+D352+D293+D234+D175+D116+D57)</f>
        <v>0</v>
      </c>
      <c r="E942" s="1">
        <f t="shared" si="179"/>
        <v>0</v>
      </c>
      <c r="F942" s="1">
        <f t="shared" si="179"/>
        <v>0</v>
      </c>
      <c r="G942" s="1">
        <f t="shared" si="179"/>
        <v>0</v>
      </c>
      <c r="H942" s="1">
        <f t="shared" si="179"/>
        <v>0</v>
      </c>
      <c r="I942" s="1">
        <f t="shared" si="179"/>
        <v>0</v>
      </c>
      <c r="J942" s="1">
        <f t="shared" si="121"/>
        <v>0</v>
      </c>
      <c r="K942" s="19" t="str">
        <f t="shared" si="122"/>
        <v xml:space="preserve"> No Issue</v>
      </c>
      <c r="L942" s="1" t="str">
        <f t="shared" si="123"/>
        <v>No Issue</v>
      </c>
      <c r="M942" s="1" t="str">
        <f t="shared" si="124"/>
        <v>No Issue</v>
      </c>
      <c r="N942" s="1" t="str">
        <f t="shared" si="125"/>
        <v>No Issue</v>
      </c>
      <c r="O942" s="1" t="str">
        <f t="shared" si="126"/>
        <v>No Issue</v>
      </c>
      <c r="P942" s="1" t="str">
        <f t="shared" si="127"/>
        <v>NoIssue</v>
      </c>
    </row>
    <row r="943" spans="1:16" ht="22.5" customHeight="1">
      <c r="A943" s="20">
        <v>54</v>
      </c>
      <c r="B943" s="30"/>
      <c r="C943" s="30"/>
      <c r="D943" s="1">
        <f t="shared" ref="D943:I943" si="180">(D884+D825+D766+D707+D648+D589+D530+D471+D412+D353+D294+D235+D176+D117+D58)</f>
        <v>0</v>
      </c>
      <c r="E943" s="1">
        <f t="shared" si="180"/>
        <v>0</v>
      </c>
      <c r="F943" s="1">
        <f t="shared" si="180"/>
        <v>0</v>
      </c>
      <c r="G943" s="1">
        <f t="shared" si="180"/>
        <v>0</v>
      </c>
      <c r="H943" s="1">
        <f t="shared" si="180"/>
        <v>0</v>
      </c>
      <c r="I943" s="1">
        <f t="shared" si="180"/>
        <v>0</v>
      </c>
      <c r="J943" s="1">
        <f t="shared" si="121"/>
        <v>0</v>
      </c>
      <c r="K943" s="19" t="str">
        <f t="shared" si="122"/>
        <v xml:space="preserve"> No Issue</v>
      </c>
      <c r="L943" s="1" t="str">
        <f t="shared" si="123"/>
        <v>No Issue</v>
      </c>
      <c r="M943" s="1" t="str">
        <f t="shared" si="124"/>
        <v>No Issue</v>
      </c>
      <c r="N943" s="1" t="str">
        <f t="shared" si="125"/>
        <v>No Issue</v>
      </c>
      <c r="O943" s="1" t="str">
        <f t="shared" si="126"/>
        <v>No Issue</v>
      </c>
      <c r="P943" s="1" t="str">
        <f t="shared" si="127"/>
        <v>NoIssue</v>
      </c>
    </row>
    <row r="944" spans="1:16" ht="22.5" customHeight="1">
      <c r="A944" s="20">
        <v>55</v>
      </c>
      <c r="B944" s="31"/>
      <c r="C944" s="32"/>
      <c r="D944" s="1">
        <f t="shared" ref="D944:I944" si="181">(D885+D826+D767+D708+D649+D590+D531+D472+D413+D354+D295+D236+D177+D118+D59)</f>
        <v>0</v>
      </c>
      <c r="E944" s="1">
        <f t="shared" si="181"/>
        <v>0</v>
      </c>
      <c r="F944" s="1">
        <f t="shared" si="181"/>
        <v>0</v>
      </c>
      <c r="G944" s="1">
        <f t="shared" si="181"/>
        <v>0</v>
      </c>
      <c r="H944" s="1">
        <f t="shared" si="181"/>
        <v>0</v>
      </c>
      <c r="I944" s="1">
        <f t="shared" si="181"/>
        <v>0</v>
      </c>
      <c r="J944" s="1">
        <f t="shared" si="121"/>
        <v>0</v>
      </c>
      <c r="K944" s="19" t="str">
        <f t="shared" si="122"/>
        <v xml:space="preserve"> No Issue</v>
      </c>
      <c r="L944" s="1" t="str">
        <f t="shared" si="123"/>
        <v>No Issue</v>
      </c>
      <c r="M944" s="1" t="str">
        <f t="shared" si="124"/>
        <v>No Issue</v>
      </c>
      <c r="N944" s="1" t="str">
        <f t="shared" si="125"/>
        <v>No Issue</v>
      </c>
      <c r="O944" s="1" t="str">
        <f t="shared" si="126"/>
        <v>No Issue</v>
      </c>
      <c r="P944" s="1" t="str">
        <f t="shared" si="127"/>
        <v>NoIssue</v>
      </c>
    </row>
    <row r="945" spans="1:16" ht="22.5" customHeight="1">
      <c r="A945" s="20">
        <v>56</v>
      </c>
      <c r="B945" s="31"/>
      <c r="C945" s="32"/>
      <c r="D945" s="1">
        <f t="shared" ref="D945:I945" si="182">(D886+D827+D768+D709+D650+D591+D532+D473+D414+D355+D296+D237+D178+D119+D60)</f>
        <v>0</v>
      </c>
      <c r="E945" s="1">
        <f t="shared" si="182"/>
        <v>0</v>
      </c>
      <c r="F945" s="1">
        <f t="shared" si="182"/>
        <v>0</v>
      </c>
      <c r="G945" s="1">
        <f t="shared" si="182"/>
        <v>0</v>
      </c>
      <c r="H945" s="1">
        <f t="shared" si="182"/>
        <v>0</v>
      </c>
      <c r="I945" s="1">
        <f t="shared" si="182"/>
        <v>0</v>
      </c>
      <c r="J945" s="1">
        <f t="shared" si="121"/>
        <v>0</v>
      </c>
      <c r="K945" s="19" t="str">
        <f t="shared" si="122"/>
        <v xml:space="preserve"> No Issue</v>
      </c>
      <c r="L945" s="1" t="str">
        <f t="shared" si="123"/>
        <v>No Issue</v>
      </c>
      <c r="M945" s="1" t="str">
        <f t="shared" si="124"/>
        <v>No Issue</v>
      </c>
      <c r="N945" s="1" t="str">
        <f t="shared" si="125"/>
        <v>No Issue</v>
      </c>
      <c r="O945" s="1" t="str">
        <f t="shared" si="126"/>
        <v>No Issue</v>
      </c>
      <c r="P945" s="1" t="str">
        <f t="shared" si="127"/>
        <v>NoIssue</v>
      </c>
    </row>
    <row r="946" spans="1:16" ht="22.5" customHeight="1">
      <c r="A946" s="20"/>
      <c r="B946" s="1" t="s">
        <v>62</v>
      </c>
      <c r="C946" s="31"/>
      <c r="D946" s="1">
        <f t="shared" ref="D946:I946" si="183">SUMPRODUCT(D890:D945,$C890:$C945)</f>
        <v>215960.26000000004</v>
      </c>
      <c r="E946" s="1">
        <f t="shared" si="183"/>
        <v>54290.18</v>
      </c>
      <c r="F946" s="1">
        <f t="shared" si="183"/>
        <v>71498.209999999992</v>
      </c>
      <c r="G946" s="1">
        <f t="shared" si="183"/>
        <v>0</v>
      </c>
      <c r="H946" s="1">
        <f t="shared" si="183"/>
        <v>0</v>
      </c>
      <c r="I946" s="1">
        <f t="shared" si="183"/>
        <v>198752.23000000004</v>
      </c>
      <c r="J946" s="1">
        <f t="shared" si="121"/>
        <v>198752.23000000007</v>
      </c>
      <c r="K946" s="19" t="str">
        <f t="shared" si="122"/>
        <v xml:space="preserve"> No Issue</v>
      </c>
      <c r="L946" s="1" t="str">
        <f t="shared" si="123"/>
        <v>No Issue</v>
      </c>
      <c r="M946" s="1" t="str">
        <f t="shared" si="124"/>
        <v>No Issue</v>
      </c>
      <c r="N946" s="1" t="str">
        <f t="shared" si="125"/>
        <v>No Issue</v>
      </c>
      <c r="O946" s="1" t="str">
        <f t="shared" si="126"/>
        <v>Check Once Sales quantity or Value Problem</v>
      </c>
      <c r="P946" s="1" t="str">
        <f t="shared" si="127"/>
        <v>Check Once Closing quantity or Value Problem</v>
      </c>
    </row>
    <row r="947" spans="1:16" ht="22.5" customHeight="1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</row>
    <row r="948" spans="1:16" ht="22.5" customHeight="1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</row>
    <row r="949" spans="1:16" ht="22.5" customHeight="1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</row>
    <row r="950" spans="1:16" ht="22.5" customHeight="1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</row>
    <row r="951" spans="1:16" ht="22.5" customHeight="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</row>
    <row r="952" spans="1:16" ht="22.5" customHeight="1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</row>
    <row r="953" spans="1:16" ht="22.5" customHeight="1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</row>
    <row r="954" spans="1:16" ht="22.5" customHeight="1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</row>
    <row r="955" spans="1:16" ht="22.5" customHeight="1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</row>
    <row r="956" spans="1:16" ht="22.5" customHeight="1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</row>
    <row r="957" spans="1:16" ht="22.5" customHeight="1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</row>
    <row r="958" spans="1:16" ht="22.5" customHeight="1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</row>
    <row r="959" spans="1:16" ht="22.5" customHeight="1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</row>
    <row r="960" spans="1:16" ht="22.5" customHeight="1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</row>
    <row r="961" spans="1:16" ht="22.5" customHeight="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</row>
    <row r="962" spans="1:16" ht="22.5" customHeight="1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</row>
    <row r="963" spans="1:16" ht="22.5" customHeight="1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</row>
    <row r="964" spans="1:16" ht="22.5" customHeight="1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</row>
    <row r="965" spans="1:16" ht="22.5" customHeight="1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</row>
    <row r="966" spans="1:16" ht="22.5" customHeight="1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</row>
    <row r="967" spans="1:16" ht="22.5" customHeight="1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</row>
    <row r="968" spans="1:16" ht="22.5" customHeight="1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</row>
    <row r="969" spans="1:16" ht="22.5" customHeight="1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</row>
    <row r="970" spans="1:16" ht="22.5" customHeight="1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</row>
    <row r="971" spans="1:16" ht="22.5" customHeight="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</row>
    <row r="972" spans="1:16" ht="22.5" customHeight="1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</row>
    <row r="973" spans="1:16" ht="22.5" customHeight="1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</row>
    <row r="974" spans="1:16" ht="22.5" customHeight="1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</row>
    <row r="975" spans="1:16" ht="22.5" customHeight="1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</row>
    <row r="976" spans="1:16" ht="22.5" customHeight="1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</row>
    <row r="977" spans="1:16" ht="22.5" customHeight="1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</row>
    <row r="978" spans="1:16" ht="22.5" customHeight="1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</row>
    <row r="979" spans="1:16" ht="22.5" customHeight="1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</row>
    <row r="980" spans="1:16" ht="22.5" customHeight="1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</row>
    <row r="981" spans="1:16" ht="22.5" customHeight="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</row>
    <row r="982" spans="1:16" ht="22.5" customHeight="1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</row>
    <row r="983" spans="1:16" ht="22.5" customHeight="1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</row>
    <row r="984" spans="1:16" ht="22.5" customHeight="1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</row>
    <row r="985" spans="1:16" ht="22.5" customHeight="1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</row>
    <row r="986" spans="1:16" ht="22.5" customHeight="1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</row>
    <row r="987" spans="1:16" ht="22.5" customHeight="1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</row>
    <row r="988" spans="1:16" ht="22.5" customHeight="1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</row>
    <row r="989" spans="1:16" ht="22.5" customHeight="1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</row>
    <row r="990" spans="1:16" ht="22.5" customHeight="1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</row>
    <row r="991" spans="1:16" ht="22.5" customHeight="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</row>
    <row r="992" spans="1:16" ht="22.5" customHeight="1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</row>
    <row r="993" spans="1:16" ht="22.5" customHeight="1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</row>
    <row r="994" spans="1:16" ht="22.5" customHeight="1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</row>
    <row r="995" spans="1:16" ht="22.5" customHeight="1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</row>
    <row r="996" spans="1:16" ht="22.5" customHeight="1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</row>
    <row r="997" spans="1:16" ht="22.5" customHeight="1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</row>
    <row r="998" spans="1:16" ht="22.5" customHeight="1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</row>
    <row r="999" spans="1:16" ht="22.5" customHeight="1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</row>
    <row r="1000" spans="1:16" ht="22.5" customHeight="1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</row>
  </sheetData>
  <mergeCells count="32">
    <mergeCell ref="G888:H888"/>
    <mergeCell ref="K888:P888"/>
    <mergeCell ref="G770:H770"/>
    <mergeCell ref="K534:P534"/>
    <mergeCell ref="G416:H416"/>
    <mergeCell ref="K711:P711"/>
    <mergeCell ref="K652:P652"/>
    <mergeCell ref="G652:H652"/>
    <mergeCell ref="G593:H593"/>
    <mergeCell ref="K770:P770"/>
    <mergeCell ref="G829:H829"/>
    <mergeCell ref="K829:P829"/>
    <mergeCell ref="G357:H357"/>
    <mergeCell ref="K298:P298"/>
    <mergeCell ref="K416:P416"/>
    <mergeCell ref="K475:P475"/>
    <mergeCell ref="G534:H534"/>
    <mergeCell ref="G711:H711"/>
    <mergeCell ref="G475:H475"/>
    <mergeCell ref="K239:P239"/>
    <mergeCell ref="G121:H121"/>
    <mergeCell ref="G239:H239"/>
    <mergeCell ref="K593:P593"/>
    <mergeCell ref="G3:H3"/>
    <mergeCell ref="K3:P3"/>
    <mergeCell ref="K62:P62"/>
    <mergeCell ref="K357:P357"/>
    <mergeCell ref="G180:H180"/>
    <mergeCell ref="G298:H298"/>
    <mergeCell ref="K121:P121"/>
    <mergeCell ref="G62:H62"/>
    <mergeCell ref="K180:P180"/>
  </mergeCells>
  <conditionalFormatting sqref="A239 J239:P239">
    <cfRule type="containsText" dxfId="847" priority="738" operator="containsText" text="Problem">
      <formula>NOT(ISERROR(SEARCH(("Problem"),(A239))))</formula>
    </cfRule>
    <cfRule type="containsText" dxfId="846" priority="739" operator="containsText" text="Problem">
      <formula>NOT(ISERROR(SEARCH(("Problem"),(A239))))</formula>
    </cfRule>
    <cfRule type="containsText" dxfId="845" priority="740" operator="containsText" text="Problem">
      <formula>NOT(ISERROR(SEARCH(("Problem"),(A239))))</formula>
    </cfRule>
  </conditionalFormatting>
  <conditionalFormatting sqref="I772">
    <cfRule type="containsText" dxfId="844" priority="584" operator="containsText" text="Problem">
      <formula>NOT(ISERROR(SEARCH(("Problem"),(I772))))</formula>
    </cfRule>
    <cfRule type="containsText" dxfId="843" priority="585" operator="containsText" text="Problem">
      <formula>NOT(ISERROR(SEARCH(("Problem"),(I772))))</formula>
    </cfRule>
    <cfRule type="containsText" dxfId="842" priority="583" operator="containsText" text="Problem">
      <formula>NOT(ISERROR(SEARCH(("Problem"),(I772))))</formula>
    </cfRule>
  </conditionalFormatting>
  <conditionalFormatting sqref="I832:I859">
    <cfRule type="containsText" dxfId="841" priority="654" operator="containsText" text="Problem">
      <formula>NOT(ISERROR(SEARCH(("Problem"),(I832))))</formula>
    </cfRule>
    <cfRule type="containsText" dxfId="840" priority="655" operator="containsText" text="Problem">
      <formula>NOT(ISERROR(SEARCH(("Problem"),(I832))))</formula>
    </cfRule>
    <cfRule type="containsText" dxfId="839" priority="653" operator="containsText" text="Problem">
      <formula>NOT(ISERROR(SEARCH(("Problem"),(I832))))</formula>
    </cfRule>
    <cfRule type="containsText" dxfId="838" priority="656" operator="containsText" text="Problem">
      <formula>NOT(ISERROR(SEARCH(("Problem"),(I832))))</formula>
    </cfRule>
  </conditionalFormatting>
  <conditionalFormatting sqref="E182">
    <cfRule type="containsText" dxfId="837" priority="174" operator="containsText" text="Problem">
      <formula>NOT(ISERROR(SEARCH(("Problem"),(E182))))</formula>
    </cfRule>
    <cfRule type="containsText" dxfId="836" priority="176" operator="containsText" text="Problem">
      <formula>NOT(ISERROR(SEARCH(("Problem"),(E182))))</formula>
    </cfRule>
    <cfRule type="containsText" dxfId="835" priority="175" operator="containsText" text="Problem">
      <formula>NOT(ISERROR(SEARCH(("Problem"),(E182))))</formula>
    </cfRule>
  </conditionalFormatting>
  <conditionalFormatting sqref="E772">
    <cfRule type="containsText" dxfId="834" priority="606" operator="containsText" text="Problem">
      <formula>NOT(ISERROR(SEARCH(("Problem"),(E772))))</formula>
    </cfRule>
    <cfRule type="containsText" dxfId="833" priority="604" operator="containsText" text="Problem">
      <formula>NOT(ISERROR(SEARCH(("Problem"),(E772))))</formula>
    </cfRule>
    <cfRule type="containsText" dxfId="832" priority="605" operator="containsText" text="Problem">
      <formula>NOT(ISERROR(SEARCH(("Problem"),(E772))))</formula>
    </cfRule>
  </conditionalFormatting>
  <conditionalFormatting sqref="I123">
    <cfRule type="containsText" dxfId="831" priority="112" operator="containsText" text="Problem">
      <formula>NOT(ISERROR(SEARCH(("Problem"),(I123))))</formula>
    </cfRule>
    <cfRule type="containsText" dxfId="830" priority="110" operator="containsText" text="Problem">
      <formula>NOT(ISERROR(SEARCH(("Problem"),(I123))))</formula>
    </cfRule>
    <cfRule type="containsText" dxfId="829" priority="111" operator="containsText" text="Problem">
      <formula>NOT(ISERROR(SEARCH(("Problem"),(I123))))</formula>
    </cfRule>
  </conditionalFormatting>
  <conditionalFormatting sqref="H477">
    <cfRule type="containsText" dxfId="828" priority="361" operator="containsText" text="Problem">
      <formula>NOT(ISERROR(SEARCH(("Problem"),(H477))))</formula>
    </cfRule>
    <cfRule type="containsText" dxfId="827" priority="360" operator="containsText" text="Problem">
      <formula>NOT(ISERROR(SEARCH(("Problem"),(H477))))</formula>
    </cfRule>
    <cfRule type="containsText" dxfId="826" priority="359" operator="containsText" text="Problem">
      <formula>NOT(ISERROR(SEARCH(("Problem"),(H477))))</formula>
    </cfRule>
  </conditionalFormatting>
  <conditionalFormatting sqref="I654">
    <cfRule type="containsText" dxfId="825" priority="498" operator="containsText" text="Problem">
      <formula>NOT(ISERROR(SEARCH(("Problem"),(I654))))</formula>
    </cfRule>
    <cfRule type="containsText" dxfId="824" priority="497" operator="containsText" text="Problem">
      <formula>NOT(ISERROR(SEARCH(("Problem"),(I654))))</formula>
    </cfRule>
    <cfRule type="containsText" dxfId="823" priority="499" operator="containsText" text="Problem">
      <formula>NOT(ISERROR(SEARCH(("Problem"),(I654))))</formula>
    </cfRule>
  </conditionalFormatting>
  <conditionalFormatting sqref="F241">
    <cfRule type="containsText" dxfId="822" priority="214" operator="containsText" text="Problem">
      <formula>NOT(ISERROR(SEARCH(("Problem"),(F241))))</formula>
    </cfRule>
    <cfRule type="containsText" dxfId="821" priority="216" operator="containsText" text="Problem">
      <formula>NOT(ISERROR(SEARCH(("Problem"),(F241))))</formula>
    </cfRule>
    <cfRule type="containsText" dxfId="820" priority="215" operator="containsText" text="Problem">
      <formula>NOT(ISERROR(SEARCH(("Problem"),(F241))))</formula>
    </cfRule>
  </conditionalFormatting>
  <conditionalFormatting sqref="A417:I417 A474:H474 I447:I474 J417:P474">
    <cfRule type="containsText" dxfId="819" priority="336" operator="containsText" text="Problem">
      <formula>NOT(ISERROR(SEARCH(("Problem"),(A417))))</formula>
    </cfRule>
    <cfRule type="containsText" dxfId="818" priority="335" operator="containsText" text="Problem">
      <formula>NOT(ISERROR(SEARCH(("Problem"),(A417))))</formula>
    </cfRule>
    <cfRule type="containsText" dxfId="817" priority="334" operator="containsText" text="Problem">
      <formula>NOT(ISERROR(SEARCH(("Problem"),(A417))))</formula>
    </cfRule>
  </conditionalFormatting>
  <conditionalFormatting sqref="G418">
    <cfRule type="containsText" dxfId="816" priority="330" operator="containsText" text="Problem">
      <formula>NOT(ISERROR(SEARCH(("Problem"),(G418))))</formula>
    </cfRule>
    <cfRule type="containsText" dxfId="815" priority="331" operator="containsText" text="Problem">
      <formula>NOT(ISERROR(SEARCH(("Problem"),(G418))))</formula>
    </cfRule>
    <cfRule type="containsText" dxfId="814" priority="332" operator="containsText" text="Problem">
      <formula>NOT(ISERROR(SEARCH(("Problem"),(G418))))</formula>
    </cfRule>
  </conditionalFormatting>
  <conditionalFormatting sqref="F655:F682">
    <cfRule type="containsText" dxfId="813" priority="521" operator="containsText" text="Problem">
      <formula>NOT(ISERROR(SEARCH(("Problem"),(F655))))</formula>
    </cfRule>
    <cfRule type="containsText" dxfId="812" priority="522" operator="containsText" text="Problem">
      <formula>NOT(ISERROR(SEARCH(("Problem"),(F655))))</formula>
    </cfRule>
    <cfRule type="containsText" dxfId="811" priority="523" operator="containsText" text="Problem">
      <formula>NOT(ISERROR(SEARCH(("Problem"),(F655))))</formula>
    </cfRule>
  </conditionalFormatting>
  <conditionalFormatting sqref="H124:H151">
    <cfRule type="containsText" dxfId="810" priority="99" operator="containsText" text="Problem">
      <formula>NOT(ISERROR(SEARCH(("Problem"),(H124))))</formula>
    </cfRule>
    <cfRule type="containsText" dxfId="809" priority="100" operator="containsText" text="Problem">
      <formula>NOT(ISERROR(SEARCH(("Problem"),(H124))))</formula>
    </cfRule>
    <cfRule type="containsText" dxfId="808" priority="98" operator="containsText" text="Problem">
      <formula>NOT(ISERROR(SEARCH(("Problem"),(H124))))</formula>
    </cfRule>
  </conditionalFormatting>
  <conditionalFormatting sqref="D177:D178 E152:H178">
    <cfRule type="containsText" dxfId="807" priority="122" operator="containsText" text="Problem">
      <formula>NOT(ISERROR(SEARCH(("Problem"),(D177))))</formula>
    </cfRule>
    <cfRule type="containsText" dxfId="806" priority="123" operator="containsText" text="Problem">
      <formula>NOT(ISERROR(SEARCH(("Problem"),(D177))))</formula>
    </cfRule>
    <cfRule type="containsText" dxfId="805" priority="124" operator="containsText" text="Problem">
      <formula>NOT(ISERROR(SEARCH(("Problem"),(D177))))</formula>
    </cfRule>
  </conditionalFormatting>
  <conditionalFormatting sqref="D891:D945 J891:J945">
    <cfRule type="containsText" dxfId="804" priority="713" operator="containsText" text="Problem">
      <formula>NOT(ISERROR(SEARCH(("Problem"),(D891))))</formula>
    </cfRule>
    <cfRule type="containsText" dxfId="803" priority="712" operator="containsText" text="Problem">
      <formula>NOT(ISERROR(SEARCH(("Problem"),(D891))))</formula>
    </cfRule>
    <cfRule type="containsText" dxfId="802" priority="711" operator="containsText" text="Problem">
      <formula>NOT(ISERROR(SEARCH(("Problem"),(D891))))</formula>
    </cfRule>
  </conditionalFormatting>
  <conditionalFormatting sqref="A535:I535 A592:H592 I565:I592 J535:P592">
    <cfRule type="containsText" dxfId="801" priority="420" operator="containsText" text="Problem">
      <formula>NOT(ISERROR(SEARCH(("Problem"),(A535))))</formula>
    </cfRule>
    <cfRule type="containsText" dxfId="800" priority="422" operator="containsText" text="Problem">
      <formula>NOT(ISERROR(SEARCH(("Problem"),(A535))))</formula>
    </cfRule>
    <cfRule type="containsText" dxfId="799" priority="421" operator="containsText" text="Problem">
      <formula>NOT(ISERROR(SEARCH(("Problem"),(A535))))</formula>
    </cfRule>
  </conditionalFormatting>
  <conditionalFormatting sqref="I714:I741">
    <cfRule type="containsText" dxfId="798" priority="567" operator="containsText" text="Problem">
      <formula>NOT(ISERROR(SEARCH(("Problem"),(I714))))</formula>
    </cfRule>
    <cfRule type="containsText" dxfId="797" priority="568" operator="containsText" text="Problem">
      <formula>NOT(ISERROR(SEARCH(("Problem"),(I714))))</formula>
    </cfRule>
    <cfRule type="containsText" dxfId="796" priority="569" operator="containsText" text="Problem">
      <formula>NOT(ISERROR(SEARCH(("Problem"),(I714))))</formula>
    </cfRule>
    <cfRule type="containsText" dxfId="795" priority="570" operator="containsText" text="Problem">
      <formula>NOT(ISERROR(SEARCH(("Problem"),(I714))))</formula>
    </cfRule>
  </conditionalFormatting>
  <conditionalFormatting sqref="G655:G682">
    <cfRule type="containsText" dxfId="794" priority="491" operator="containsText" text="Problem">
      <formula>NOT(ISERROR(SEARCH(("Problem"),(G655))))</formula>
    </cfRule>
    <cfRule type="containsText" dxfId="793" priority="493" operator="containsText" text="Problem">
      <formula>NOT(ISERROR(SEARCH(("Problem"),(G655))))</formula>
    </cfRule>
    <cfRule type="containsText" dxfId="792" priority="492" operator="containsText" text="Problem">
      <formula>NOT(ISERROR(SEARCH(("Problem"),(G655))))</formula>
    </cfRule>
  </conditionalFormatting>
  <conditionalFormatting sqref="I537:I564">
    <cfRule type="containsText" dxfId="791" priority="439" operator="containsText" text="Problem">
      <formula>NOT(ISERROR(SEARCH(("Problem"),(I537))))</formula>
    </cfRule>
    <cfRule type="containsText" dxfId="790" priority="440" operator="containsText" text="Problem">
      <formula>NOT(ISERROR(SEARCH(("Problem"),(I537))))</formula>
    </cfRule>
    <cfRule type="containsText" dxfId="789" priority="438" operator="containsText" text="Problem">
      <formula>NOT(ISERROR(SEARCH(("Problem"),(I537))))</formula>
    </cfRule>
    <cfRule type="containsText" dxfId="788" priority="441" operator="containsText" text="Problem">
      <formula>NOT(ISERROR(SEARCH(("Problem"),(I537))))</formula>
    </cfRule>
  </conditionalFormatting>
  <conditionalFormatting sqref="H595">
    <cfRule type="containsText" dxfId="787" priority="446" operator="containsText" text="Problem">
      <formula>NOT(ISERROR(SEARCH(("Problem"),(H595))))</formula>
    </cfRule>
    <cfRule type="containsText" dxfId="786" priority="445" operator="containsText" text="Problem">
      <formula>NOT(ISERROR(SEARCH(("Problem"),(H595))))</formula>
    </cfRule>
    <cfRule type="containsText" dxfId="785" priority="447" operator="containsText" text="Problem">
      <formula>NOT(ISERROR(SEARCH(("Problem"),(H595))))</formula>
    </cfRule>
  </conditionalFormatting>
  <conditionalFormatting sqref="I831">
    <cfRule type="containsText" dxfId="784" priority="628" operator="containsText" text="Problem">
      <formula>NOT(ISERROR(SEARCH(("Problem"),(I831))))</formula>
    </cfRule>
    <cfRule type="containsText" dxfId="783" priority="626" operator="containsText" text="Problem">
      <formula>NOT(ISERROR(SEARCH(("Problem"),(I831))))</formula>
    </cfRule>
    <cfRule type="containsText" dxfId="782" priority="627" operator="containsText" text="Problem">
      <formula>NOT(ISERROR(SEARCH(("Problem"),(I831))))</formula>
    </cfRule>
  </conditionalFormatting>
  <conditionalFormatting sqref="B809:C809 B821:B824 B826:C827 C778:C808 C818:C824">
    <cfRule type="containsText" dxfId="781" priority="840" operator="containsText" text="Problem">
      <formula>NOT(ISERROR(SEARCH(("Problem"),(B809))))</formula>
    </cfRule>
    <cfRule type="containsText" dxfId="780" priority="842" operator="containsText" text="Problem">
      <formula>NOT(ISERROR(SEARCH(("Problem"),(B809))))</formula>
    </cfRule>
    <cfRule type="containsText" dxfId="779" priority="841" operator="containsText" text="Problem">
      <formula>NOT(ISERROR(SEARCH(("Problem"),(B809))))</formula>
    </cfRule>
  </conditionalFormatting>
  <conditionalFormatting sqref="I300">
    <cfRule type="containsText" dxfId="778" priority="240" operator="containsText" text="Problem">
      <formula>NOT(ISERROR(SEARCH(("Problem"),(I300))))</formula>
    </cfRule>
    <cfRule type="containsText" dxfId="777" priority="239" operator="containsText" text="Problem">
      <formula>NOT(ISERROR(SEARCH(("Problem"),(I300))))</formula>
    </cfRule>
    <cfRule type="containsText" dxfId="776" priority="241" operator="containsText" text="Problem">
      <formula>NOT(ISERROR(SEARCH(("Problem"),(I300))))</formula>
    </cfRule>
  </conditionalFormatting>
  <conditionalFormatting sqref="I655:I682">
    <cfRule type="containsText" dxfId="775" priority="525" operator="containsText" text="Problem">
      <formula>NOT(ISERROR(SEARCH(("Problem"),(I655))))</formula>
    </cfRule>
    <cfRule type="containsText" dxfId="774" priority="524" operator="containsText" text="Problem">
      <formula>NOT(ISERROR(SEARCH(("Problem"),(I655))))</formula>
    </cfRule>
    <cfRule type="containsText" dxfId="773" priority="527" operator="containsText" text="Problem">
      <formula>NOT(ISERROR(SEARCH(("Problem"),(I655))))</formula>
    </cfRule>
    <cfRule type="containsText" dxfId="772" priority="526" operator="containsText" text="Problem">
      <formula>NOT(ISERROR(SEARCH(("Problem"),(I655))))</formula>
    </cfRule>
  </conditionalFormatting>
  <conditionalFormatting sqref="E655:E682">
    <cfRule type="containsText" dxfId="771" priority="512" operator="containsText" text="Problem">
      <formula>NOT(ISERROR(SEARCH(("Problem"),(E655))))</formula>
    </cfRule>
    <cfRule type="containsText" dxfId="770" priority="513" operator="containsText" text="Problem">
      <formula>NOT(ISERROR(SEARCH(("Problem"),(E655))))</formula>
    </cfRule>
    <cfRule type="containsText" dxfId="769" priority="514" operator="containsText" text="Problem">
      <formula>NOT(ISERROR(SEARCH(("Problem"),(E655))))</formula>
    </cfRule>
  </conditionalFormatting>
  <conditionalFormatting sqref="F714:F741">
    <cfRule type="containsText" dxfId="768" priority="564" operator="containsText" text="Problem">
      <formula>NOT(ISERROR(SEARCH(("Problem"),(F714))))</formula>
    </cfRule>
    <cfRule type="containsText" dxfId="767" priority="566" operator="containsText" text="Problem">
      <formula>NOT(ISERROR(SEARCH(("Problem"),(F714))))</formula>
    </cfRule>
    <cfRule type="containsText" dxfId="766" priority="565" operator="containsText" text="Problem">
      <formula>NOT(ISERROR(SEARCH(("Problem"),(F714))))</formula>
    </cfRule>
  </conditionalFormatting>
  <conditionalFormatting sqref="D152:D176">
    <cfRule type="containsText" dxfId="765" priority="113" operator="containsText" text="Problem">
      <formula>NOT(ISERROR(SEARCH(("Problem"),(D152))))</formula>
    </cfRule>
    <cfRule type="containsText" dxfId="764" priority="114" operator="containsText" text="Problem">
      <formula>NOT(ISERROR(SEARCH(("Problem"),(D152))))</formula>
    </cfRule>
  </conditionalFormatting>
  <conditionalFormatting sqref="D118:D119 E93:H119">
    <cfRule type="containsText" dxfId="763" priority="81" operator="containsText" text="Problem">
      <formula>NOT(ISERROR(SEARCH(("Problem"),(D118))))</formula>
    </cfRule>
    <cfRule type="containsText" dxfId="762" priority="79" operator="containsText" text="Problem">
      <formula>NOT(ISERROR(SEARCH(("Problem"),(D118))))</formula>
    </cfRule>
    <cfRule type="containsText" dxfId="761" priority="80" operator="containsText" text="Problem">
      <formula>NOT(ISERROR(SEARCH(("Problem"),(D118))))</formula>
    </cfRule>
  </conditionalFormatting>
  <conditionalFormatting sqref="G832:G859">
    <cfRule type="containsText" dxfId="760" priority="621" operator="containsText" text="Problem">
      <formula>NOT(ISERROR(SEARCH(("Problem"),(G832))))</formula>
    </cfRule>
    <cfRule type="containsText" dxfId="759" priority="620" operator="containsText" text="Problem">
      <formula>NOT(ISERROR(SEARCH(("Problem"),(G832))))</formula>
    </cfRule>
    <cfRule type="containsText" dxfId="758" priority="622" operator="containsText" text="Problem">
      <formula>NOT(ISERROR(SEARCH(("Problem"),(G832))))</formula>
    </cfRule>
  </conditionalFormatting>
  <conditionalFormatting sqref="D860:D884">
    <cfRule type="containsText" dxfId="757" priority="630" operator="containsText" text="Problem">
      <formula>NOT(ISERROR(SEARCH(("Problem"),(D860))))</formula>
    </cfRule>
    <cfRule type="containsText" dxfId="756" priority="629" operator="containsText" text="Problem">
      <formula>NOT(ISERROR(SEARCH(("Problem"),(D860))))</formula>
    </cfRule>
  </conditionalFormatting>
  <conditionalFormatting sqref="B160:C160 B172:B175 B177:C178 C129:C159 C169:C175">
    <cfRule type="containsText" dxfId="755" priority="808" operator="containsText" text="Problem">
      <formula>NOT(ISERROR(SEARCH(("Problem"),(B160))))</formula>
    </cfRule>
    <cfRule type="containsText" dxfId="754" priority="807" operator="containsText" text="Problem">
      <formula>NOT(ISERROR(SEARCH(("Problem"),(B160))))</formula>
    </cfRule>
    <cfRule type="containsText" dxfId="753" priority="809" operator="containsText" text="Problem">
      <formula>NOT(ISERROR(SEARCH(("Problem"),(B160))))</formula>
    </cfRule>
  </conditionalFormatting>
  <conditionalFormatting sqref="A831:A886">
    <cfRule type="containsText" dxfId="752" priority="703" operator="containsText" text="Problem">
      <formula>NOT(ISERROR(SEARCH(("Problem"),(A831))))</formula>
    </cfRule>
    <cfRule type="containsText" dxfId="751" priority="704" operator="containsText" text="Problem">
      <formula>NOT(ISERROR(SEARCH(("Problem"),(A831))))</formula>
    </cfRule>
    <cfRule type="containsText" dxfId="750" priority="702" operator="containsText" text="Problem">
      <formula>NOT(ISERROR(SEARCH(("Problem"),(A831))))</formula>
    </cfRule>
  </conditionalFormatting>
  <conditionalFormatting sqref="H300">
    <cfRule type="containsText" dxfId="749" priority="231" operator="containsText" text="Problem">
      <formula>NOT(ISERROR(SEARCH(("Problem"),(H300))))</formula>
    </cfRule>
    <cfRule type="containsText" dxfId="748" priority="232" operator="containsText" text="Problem">
      <formula>NOT(ISERROR(SEARCH(("Problem"),(H300))))</formula>
    </cfRule>
    <cfRule type="containsText" dxfId="747" priority="230" operator="containsText" text="Problem">
      <formula>NOT(ISERROR(SEARCH(("Problem"),(H300))))</formula>
    </cfRule>
  </conditionalFormatting>
  <conditionalFormatting sqref="D236:D237 E211:H237">
    <cfRule type="containsText" dxfId="746" priority="165" operator="containsText" text="Problem">
      <formula>NOT(ISERROR(SEARCH(("Problem"),(D236))))</formula>
    </cfRule>
    <cfRule type="containsText" dxfId="745" priority="166" operator="containsText" text="Problem">
      <formula>NOT(ISERROR(SEARCH(("Problem"),(D236))))</formula>
    </cfRule>
    <cfRule type="containsText" dxfId="744" priority="167" operator="containsText" text="Problem">
      <formula>NOT(ISERROR(SEARCH(("Problem"),(D236))))</formula>
    </cfRule>
  </conditionalFormatting>
  <conditionalFormatting sqref="I241">
    <cfRule type="containsText" dxfId="743" priority="197" operator="containsText" text="Problem">
      <formula>NOT(ISERROR(SEARCH(("Problem"),(I241))))</formula>
    </cfRule>
    <cfRule type="containsText" dxfId="742" priority="198" operator="containsText" text="Problem">
      <formula>NOT(ISERROR(SEARCH(("Problem"),(I241))))</formula>
    </cfRule>
    <cfRule type="containsText" dxfId="741" priority="196" operator="containsText" text="Problem">
      <formula>NOT(ISERROR(SEARCH(("Problem"),(I241))))</formula>
    </cfRule>
  </conditionalFormatting>
  <conditionalFormatting sqref="F64">
    <cfRule type="containsText" dxfId="740" priority="85" operator="containsText" text="Problem">
      <formula>NOT(ISERROR(SEARCH(("Problem"),(F64))))</formula>
    </cfRule>
    <cfRule type="containsText" dxfId="739" priority="86" operator="containsText" text="Problem">
      <formula>NOT(ISERROR(SEARCH(("Problem"),(F64))))</formula>
    </cfRule>
    <cfRule type="containsText" dxfId="738" priority="87" operator="containsText" text="Problem">
      <formula>NOT(ISERROR(SEARCH(("Problem"),(F64))))</formula>
    </cfRule>
  </conditionalFormatting>
  <conditionalFormatting sqref="D35:D59">
    <cfRule type="containsText" dxfId="737" priority="21" operator="containsText" text="Problem">
      <formula>NOT(ISERROR(SEARCH(("Problem"),(D35))))</formula>
    </cfRule>
    <cfRule type="containsText" dxfId="736" priority="20" operator="containsText" text="Problem">
      <formula>NOT(ISERROR(SEARCH(("Problem"),(D35))))</formula>
    </cfRule>
    <cfRule type="containsText" dxfId="735" priority="19" operator="containsText" text="Problem">
      <formula>NOT(ISERROR(SEARCH(("Problem"),(D35))))</formula>
    </cfRule>
  </conditionalFormatting>
  <conditionalFormatting sqref="H831">
    <cfRule type="containsText" dxfId="734" priority="617" operator="containsText" text="Problem">
      <formula>NOT(ISERROR(SEARCH(("Problem"),(H831))))</formula>
    </cfRule>
    <cfRule type="containsText" dxfId="733" priority="619" operator="containsText" text="Problem">
      <formula>NOT(ISERROR(SEARCH(("Problem"),(H831))))</formula>
    </cfRule>
    <cfRule type="containsText" dxfId="732" priority="618" operator="containsText" text="Problem">
      <formula>NOT(ISERROR(SEARCH(("Problem"),(H831))))</formula>
    </cfRule>
  </conditionalFormatting>
  <conditionalFormatting sqref="F65:F92">
    <cfRule type="containsText" dxfId="731" priority="93" operator="containsText" text="Problem">
      <formula>NOT(ISERROR(SEARCH(("Problem"),(F65))))</formula>
    </cfRule>
    <cfRule type="containsText" dxfId="730" priority="92" operator="containsText" text="Problem">
      <formula>NOT(ISERROR(SEARCH(("Problem"),(F65))))</formula>
    </cfRule>
    <cfRule type="containsText" dxfId="729" priority="91" operator="containsText" text="Problem">
      <formula>NOT(ISERROR(SEARCH(("Problem"),(F65))))</formula>
    </cfRule>
  </conditionalFormatting>
  <conditionalFormatting sqref="G64">
    <cfRule type="containsText" dxfId="728" priority="74" operator="containsText" text="Problem">
      <formula>NOT(ISERROR(SEARCH(("Problem"),(G64))))</formula>
    </cfRule>
    <cfRule type="containsText" dxfId="727" priority="73" operator="containsText" text="Problem">
      <formula>NOT(ISERROR(SEARCH(("Problem"),(G64))))</formula>
    </cfRule>
    <cfRule type="containsText" dxfId="726" priority="72" operator="containsText" text="Problem">
      <formula>NOT(ISERROR(SEARCH(("Problem"),(G64))))</formula>
    </cfRule>
  </conditionalFormatting>
  <conditionalFormatting sqref="F832:F859">
    <cfRule type="containsText" dxfId="725" priority="651" operator="containsText" text="Problem">
      <formula>NOT(ISERROR(SEARCH(("Problem"),(F832))))</formula>
    </cfRule>
    <cfRule type="containsText" dxfId="724" priority="652" operator="containsText" text="Problem">
      <formula>NOT(ISERROR(SEARCH(("Problem"),(F832))))</formula>
    </cfRule>
    <cfRule type="containsText" dxfId="723" priority="650" operator="containsText" text="Problem">
      <formula>NOT(ISERROR(SEARCH(("Problem"),(F832))))</formula>
    </cfRule>
  </conditionalFormatting>
  <conditionalFormatting sqref="D6:D34">
    <cfRule type="containsText" dxfId="722" priority="14" operator="containsText" text="Problem">
      <formula>NOT(ISERROR(SEARCH(("Problem"),(D6))))</formula>
    </cfRule>
    <cfRule type="containsText" dxfId="721" priority="13" operator="containsText" text="Problem">
      <formula>NOT(ISERROR(SEARCH(("Problem"),(D6))))</formula>
    </cfRule>
    <cfRule type="containsText" dxfId="720" priority="15" operator="containsText" text="Problem">
      <formula>NOT(ISERROR(SEARCH(("Problem"),(D6))))</formula>
    </cfRule>
  </conditionalFormatting>
  <conditionalFormatting sqref="G478:G505">
    <cfRule type="containsText" dxfId="719" priority="362" operator="containsText" text="Problem">
      <formula>NOT(ISERROR(SEARCH(("Problem"),(G478))))</formula>
    </cfRule>
    <cfRule type="containsText" dxfId="718" priority="363" operator="containsText" text="Problem">
      <formula>NOT(ISERROR(SEARCH(("Problem"),(G478))))</formula>
    </cfRule>
    <cfRule type="containsText" dxfId="717" priority="364" operator="containsText" text="Problem">
      <formula>NOT(ISERROR(SEARCH(("Problem"),(G478))))</formula>
    </cfRule>
  </conditionalFormatting>
  <conditionalFormatting sqref="E891:I945">
    <cfRule type="containsText" dxfId="716" priority="714" operator="containsText" text="Problem">
      <formula>NOT(ISERROR(SEARCH(("Problem"),(E891))))</formula>
    </cfRule>
    <cfRule type="containsText" dxfId="715" priority="715" operator="containsText" text="Problem">
      <formula>NOT(ISERROR(SEARCH(("Problem"),(E891))))</formula>
    </cfRule>
    <cfRule type="containsText" dxfId="714" priority="716" operator="containsText" text="Problem">
      <formula>NOT(ISERROR(SEARCH(("Problem"),(E891))))</formula>
    </cfRule>
  </conditionalFormatting>
  <conditionalFormatting sqref="A121 J121:P121">
    <cfRule type="containsText" dxfId="713" priority="727" operator="containsText" text="Problem">
      <formula>NOT(ISERROR(SEARCH(("Problem"),(A121))))</formula>
    </cfRule>
    <cfRule type="containsText" dxfId="712" priority="726" operator="containsText" text="Problem">
      <formula>NOT(ISERROR(SEARCH(("Problem"),(A121))))</formula>
    </cfRule>
    <cfRule type="containsText" dxfId="711" priority="728" operator="containsText" text="Problem">
      <formula>NOT(ISERROR(SEARCH(("Problem"),(A121))))</formula>
    </cfRule>
  </conditionalFormatting>
  <conditionalFormatting sqref="F773:F800">
    <cfRule type="containsText" dxfId="710" priority="609" operator="containsText" text="Problem">
      <formula>NOT(ISERROR(SEARCH(("Problem"),(F773))))</formula>
    </cfRule>
    <cfRule type="containsText" dxfId="709" priority="607" operator="containsText" text="Problem">
      <formula>NOT(ISERROR(SEARCH(("Problem"),(F773))))</formula>
    </cfRule>
    <cfRule type="containsText" dxfId="708" priority="608" operator="containsText" text="Problem">
      <formula>NOT(ISERROR(SEARCH(("Problem"),(F773))))</formula>
    </cfRule>
  </conditionalFormatting>
  <conditionalFormatting sqref="H772">
    <cfRule type="containsText" dxfId="707" priority="575" operator="containsText" text="Problem">
      <formula>NOT(ISERROR(SEARCH(("Problem"),(H772))))</formula>
    </cfRule>
    <cfRule type="containsText" dxfId="706" priority="576" operator="containsText" text="Problem">
      <formula>NOT(ISERROR(SEARCH(("Problem"),(H772))))</formula>
    </cfRule>
    <cfRule type="containsText" dxfId="705" priority="574" operator="containsText" text="Problem">
      <formula>NOT(ISERROR(SEARCH(("Problem"),(H772))))</formula>
    </cfRule>
  </conditionalFormatting>
  <conditionalFormatting sqref="A772:A827">
    <cfRule type="containsText" dxfId="704" priority="700" operator="containsText" text="Problem">
      <formula>NOT(ISERROR(SEARCH(("Problem"),(A772))))</formula>
    </cfRule>
    <cfRule type="containsText" dxfId="703" priority="701" operator="containsText" text="Problem">
      <formula>NOT(ISERROR(SEARCH(("Problem"),(A772))))</formula>
    </cfRule>
    <cfRule type="containsText" dxfId="702" priority="699" operator="containsText" text="Problem">
      <formula>NOT(ISERROR(SEARCH(("Problem"),(A772))))</formula>
    </cfRule>
  </conditionalFormatting>
  <conditionalFormatting sqref="E773:E800">
    <cfRule type="containsText" dxfId="701" priority="600" operator="containsText" text="Problem">
      <formula>NOT(ISERROR(SEARCH(("Problem"),(E773))))</formula>
    </cfRule>
    <cfRule type="containsText" dxfId="700" priority="599" operator="containsText" text="Problem">
      <formula>NOT(ISERROR(SEARCH(("Problem"),(E773))))</formula>
    </cfRule>
    <cfRule type="containsText" dxfId="699" priority="598" operator="containsText" text="Problem">
      <formula>NOT(ISERROR(SEARCH(("Problem"),(E773))))</formula>
    </cfRule>
  </conditionalFormatting>
  <conditionalFormatting sqref="A300:A355">
    <cfRule type="containsText" dxfId="698" priority="677" operator="containsText" text="Problem">
      <formula>NOT(ISERROR(SEARCH(("Problem"),(A300))))</formula>
    </cfRule>
    <cfRule type="containsText" dxfId="697" priority="676" operator="containsText" text="Problem">
      <formula>NOT(ISERROR(SEARCH(("Problem"),(A300))))</formula>
    </cfRule>
    <cfRule type="containsText" dxfId="696" priority="675" operator="containsText" text="Problem">
      <formula>NOT(ISERROR(SEARCH(("Problem"),(A300))))</formula>
    </cfRule>
  </conditionalFormatting>
  <conditionalFormatting sqref="A62 J62:P62">
    <cfRule type="containsText" dxfId="695" priority="722" operator="containsText" text="Problem">
      <formula>NOT(ISERROR(SEARCH(("Problem"),(A62))))</formula>
    </cfRule>
    <cfRule type="containsText" dxfId="694" priority="721" operator="containsText" text="Problem">
      <formula>NOT(ISERROR(SEARCH(("Problem"),(A62))))</formula>
    </cfRule>
    <cfRule type="containsText" dxfId="693" priority="720" operator="containsText" text="Problem">
      <formula>NOT(ISERROR(SEARCH(("Problem"),(A62))))</formula>
    </cfRule>
  </conditionalFormatting>
  <conditionalFormatting sqref="D742:D766">
    <cfRule type="containsText" dxfId="692" priority="543" operator="containsText" text="Problem">
      <formula>NOT(ISERROR(SEARCH(("Problem"),(D742))))</formula>
    </cfRule>
    <cfRule type="containsText" dxfId="691" priority="544" operator="containsText" text="Problem">
      <formula>NOT(ISERROR(SEARCH(("Problem"),(D742))))</formula>
    </cfRule>
  </conditionalFormatting>
  <conditionalFormatting sqref="C239 E239:I239">
    <cfRule type="containsText" dxfId="690" priority="743" operator="containsText" text="Problem">
      <formula>NOT(ISERROR(SEARCH(("Problem"),(C239))))</formula>
    </cfRule>
    <cfRule type="containsText" dxfId="689" priority="741" operator="containsText" text="Problem">
      <formula>NOT(ISERROR(SEARCH(("Problem"),(C239))))</formula>
    </cfRule>
    <cfRule type="containsText" dxfId="688" priority="742" operator="containsText" text="Problem">
      <formula>NOT(ISERROR(SEARCH(("Problem"),(C239))))</formula>
    </cfRule>
  </conditionalFormatting>
  <conditionalFormatting sqref="A240:I240 A297:H297 I270:I297 J240:P297">
    <cfRule type="containsText" dxfId="687" priority="205" operator="containsText" text="Problem">
      <formula>NOT(ISERROR(SEARCH(("Problem"),(A240))))</formula>
    </cfRule>
    <cfRule type="containsText" dxfId="686" priority="207" operator="containsText" text="Problem">
      <formula>NOT(ISERROR(SEARCH(("Problem"),(A240))))</formula>
    </cfRule>
    <cfRule type="containsText" dxfId="685" priority="206" operator="containsText" text="Problem">
      <formula>NOT(ISERROR(SEARCH(("Problem"),(A240))))</formula>
    </cfRule>
  </conditionalFormatting>
  <conditionalFormatting sqref="H773:H800">
    <cfRule type="containsText" dxfId="684" priority="571" operator="containsText" text="Problem">
      <formula>NOT(ISERROR(SEARCH(("Problem"),(H773))))</formula>
    </cfRule>
    <cfRule type="containsText" dxfId="683" priority="573" operator="containsText" text="Problem">
      <formula>NOT(ISERROR(SEARCH(("Problem"),(H773))))</formula>
    </cfRule>
    <cfRule type="containsText" dxfId="682" priority="572" operator="containsText" text="Problem">
      <formula>NOT(ISERROR(SEARCH(("Problem"),(H773))))</formula>
    </cfRule>
  </conditionalFormatting>
  <conditionalFormatting sqref="F478:F505">
    <cfRule type="containsText" dxfId="681" priority="392" operator="containsText" text="Problem">
      <formula>NOT(ISERROR(SEARCH(("Problem"),(F478))))</formula>
    </cfRule>
    <cfRule type="containsText" dxfId="680" priority="394" operator="containsText" text="Problem">
      <formula>NOT(ISERROR(SEARCH(("Problem"),(F478))))</formula>
    </cfRule>
    <cfRule type="containsText" dxfId="679" priority="393" operator="containsText" text="Problem">
      <formula>NOT(ISERROR(SEARCH(("Problem"),(F478))))</formula>
    </cfRule>
  </conditionalFormatting>
  <conditionalFormatting sqref="I360:I387">
    <cfRule type="containsText" dxfId="678" priority="309" operator="containsText" text="Problem">
      <formula>NOT(ISERROR(SEARCH(("Problem"),(I360))))</formula>
    </cfRule>
    <cfRule type="containsText" dxfId="677" priority="310" operator="containsText" text="Problem">
      <formula>NOT(ISERROR(SEARCH(("Problem"),(I360))))</formula>
    </cfRule>
    <cfRule type="containsText" dxfId="676" priority="311" operator="containsText" text="Problem">
      <formula>NOT(ISERROR(SEARCH(("Problem"),(I360))))</formula>
    </cfRule>
    <cfRule type="containsText" dxfId="675" priority="312" operator="containsText" text="Problem">
      <formula>NOT(ISERROR(SEARCH(("Problem"),(I360))))</formula>
    </cfRule>
  </conditionalFormatting>
  <conditionalFormatting sqref="I301:I328">
    <cfRule type="containsText" dxfId="674" priority="269" operator="containsText" text="Problem">
      <formula>NOT(ISERROR(SEARCH(("Problem"),(I301))))</formula>
    </cfRule>
    <cfRule type="containsText" dxfId="673" priority="267" operator="containsText" text="Problem">
      <formula>NOT(ISERROR(SEARCH(("Problem"),(I301))))</formula>
    </cfRule>
    <cfRule type="containsText" dxfId="672" priority="266" operator="containsText" text="Problem">
      <formula>NOT(ISERROR(SEARCH(("Problem"),(I301))))</formula>
    </cfRule>
    <cfRule type="containsText" dxfId="671" priority="268" operator="containsText" text="Problem">
      <formula>NOT(ISERROR(SEARCH(("Problem"),(I301))))</formula>
    </cfRule>
  </conditionalFormatting>
  <conditionalFormatting sqref="A594:I594 A651:H651 I624:I651 J594:P651">
    <cfRule type="containsText" dxfId="670" priority="464" operator="containsText" text="Problem">
      <formula>NOT(ISERROR(SEARCH(("Problem"),(A594))))</formula>
    </cfRule>
    <cfRule type="containsText" dxfId="669" priority="463" operator="containsText" text="Problem">
      <formula>NOT(ISERROR(SEARCH(("Problem"),(A594))))</formula>
    </cfRule>
    <cfRule type="containsText" dxfId="668" priority="465" operator="containsText" text="Problem">
      <formula>NOT(ISERROR(SEARCH(("Problem"),(A594))))</formula>
    </cfRule>
  </conditionalFormatting>
  <conditionalFormatting sqref="G713">
    <cfRule type="containsText" dxfId="667" priority="547" operator="containsText" text="Problem">
      <formula>NOT(ISERROR(SEARCH(("Problem"),(G713))))</formula>
    </cfRule>
    <cfRule type="containsText" dxfId="666" priority="545" operator="containsText" text="Problem">
      <formula>NOT(ISERROR(SEARCH(("Problem"),(G713))))</formula>
    </cfRule>
    <cfRule type="containsText" dxfId="665" priority="546" operator="containsText" text="Problem">
      <formula>NOT(ISERROR(SEARCH(("Problem"),(G713))))</formula>
    </cfRule>
  </conditionalFormatting>
  <conditionalFormatting sqref="A829 J829:P829">
    <cfRule type="containsText" dxfId="664" priority="799" operator="containsText" text="Problem">
      <formula>NOT(ISERROR(SEARCH(("Problem"),(A829))))</formula>
    </cfRule>
    <cfRule type="containsText" dxfId="663" priority="800" operator="containsText" text="Problem">
      <formula>NOT(ISERROR(SEARCH(("Problem"),(A829))))</formula>
    </cfRule>
    <cfRule type="containsText" dxfId="662" priority="798" operator="containsText" text="Problem">
      <formula>NOT(ISERROR(SEARCH(("Problem"),(A829))))</formula>
    </cfRule>
  </conditionalFormatting>
  <conditionalFormatting sqref="G183:G210">
    <cfRule type="containsText" dxfId="661" priority="148" operator="containsText" text="Problem">
      <formula>NOT(ISERROR(SEARCH(("Problem"),(G183))))</formula>
    </cfRule>
    <cfRule type="containsText" dxfId="660" priority="149" operator="containsText" text="Problem">
      <formula>NOT(ISERROR(SEARCH(("Problem"),(G183))))</formula>
    </cfRule>
    <cfRule type="containsText" dxfId="659" priority="147" operator="containsText" text="Problem">
      <formula>NOT(ISERROR(SEARCH(("Problem"),(G183))))</formula>
    </cfRule>
  </conditionalFormatting>
  <conditionalFormatting sqref="D531:D532 E506:H532">
    <cfRule type="containsText" dxfId="658" priority="382" operator="containsText" text="Problem">
      <formula>NOT(ISERROR(SEARCH(("Problem"),(D531))))</formula>
    </cfRule>
    <cfRule type="containsText" dxfId="657" priority="381" operator="containsText" text="Problem">
      <formula>NOT(ISERROR(SEARCH(("Problem"),(D531))))</formula>
    </cfRule>
    <cfRule type="containsText" dxfId="656" priority="380" operator="containsText" text="Problem">
      <formula>NOT(ISERROR(SEARCH(("Problem"),(D531))))</formula>
    </cfRule>
  </conditionalFormatting>
  <conditionalFormatting sqref="A180 J180:P180">
    <cfRule type="containsText" dxfId="655" priority="732" operator="containsText" text="Problem">
      <formula>NOT(ISERROR(SEARCH(("Problem"),(A180))))</formula>
    </cfRule>
    <cfRule type="containsText" dxfId="654" priority="733" operator="containsText" text="Problem">
      <formula>NOT(ISERROR(SEARCH(("Problem"),(A180))))</formula>
    </cfRule>
    <cfRule type="containsText" dxfId="653" priority="734" operator="containsText" text="Problem">
      <formula>NOT(ISERROR(SEARCH(("Problem"),(A180))))</formula>
    </cfRule>
  </conditionalFormatting>
  <conditionalFormatting sqref="E477">
    <cfRule type="containsText" dxfId="652" priority="389" operator="containsText" text="Problem">
      <formula>NOT(ISERROR(SEARCH(("Problem"),(E477))))</formula>
    </cfRule>
    <cfRule type="containsText" dxfId="651" priority="391" operator="containsText" text="Problem">
      <formula>NOT(ISERROR(SEARCH(("Problem"),(E477))))</formula>
    </cfRule>
    <cfRule type="containsText" dxfId="650" priority="390" operator="containsText" text="Problem">
      <formula>NOT(ISERROR(SEARCH(("Problem"),(E477))))</formula>
    </cfRule>
  </conditionalFormatting>
  <conditionalFormatting sqref="D242:D269">
    <cfRule type="containsText" dxfId="649" priority="194" operator="containsText" text="Problem">
      <formula>NOT(ISERROR(SEARCH(("Problem"),(D242))))</formula>
    </cfRule>
    <cfRule type="containsText" dxfId="648" priority="195" operator="containsText" text="Problem">
      <formula>NOT(ISERROR(SEARCH(("Problem"),(D242))))</formula>
    </cfRule>
    <cfRule type="containsText" dxfId="647" priority="193" operator="containsText" text="Problem">
      <formula>NOT(ISERROR(SEARCH(("Problem"),(D242))))</formula>
    </cfRule>
  </conditionalFormatting>
  <conditionalFormatting sqref="D596:D623">
    <cfRule type="containsText" dxfId="646" priority="453" operator="containsText" text="Problem">
      <formula>NOT(ISERROR(SEARCH(("Problem"),(D596))))</formula>
    </cfRule>
    <cfRule type="containsText" dxfId="645" priority="452" operator="containsText" text="Problem">
      <formula>NOT(ISERROR(SEARCH(("Problem"),(D596))))</formula>
    </cfRule>
    <cfRule type="containsText" dxfId="644" priority="451" operator="containsText" text="Problem">
      <formula>NOT(ISERROR(SEARCH(("Problem"),(D596))))</formula>
    </cfRule>
  </conditionalFormatting>
  <conditionalFormatting sqref="G65:G92">
    <cfRule type="containsText" dxfId="643" priority="63" operator="containsText" text="Problem">
      <formula>NOT(ISERROR(SEARCH(("Problem"),(G65))))</formula>
    </cfRule>
    <cfRule type="containsText" dxfId="642" priority="61" operator="containsText" text="Problem">
      <formula>NOT(ISERROR(SEARCH(("Problem"),(G65))))</formula>
    </cfRule>
    <cfRule type="containsText" dxfId="641" priority="62" operator="containsText" text="Problem">
      <formula>NOT(ISERROR(SEARCH(("Problem"),(G65))))</formula>
    </cfRule>
  </conditionalFormatting>
  <conditionalFormatting sqref="D5">
    <cfRule type="containsText" dxfId="640" priority="27" operator="containsText" text="Problem">
      <formula>NOT(ISERROR(SEARCH(("Problem"),(D5))))</formula>
    </cfRule>
    <cfRule type="containsText" dxfId="639" priority="25" operator="containsText" text="Problem">
      <formula>NOT(ISERROR(SEARCH(("Problem"),(D5))))</formula>
    </cfRule>
    <cfRule type="containsText" dxfId="638" priority="26" operator="containsText" text="Problem">
      <formula>NOT(ISERROR(SEARCH(("Problem"),(D5))))</formula>
    </cfRule>
  </conditionalFormatting>
  <conditionalFormatting sqref="D60 E35:H60">
    <cfRule type="containsText" dxfId="637" priority="31" operator="containsText" text="Problem">
      <formula>NOT(ISERROR(SEARCH(("Problem"),(D60))))</formula>
    </cfRule>
    <cfRule type="containsText" dxfId="636" priority="32" operator="containsText" text="Problem">
      <formula>NOT(ISERROR(SEARCH(("Problem"),(D60))))</formula>
    </cfRule>
    <cfRule type="containsText" dxfId="635" priority="33" operator="containsText" text="Problem">
      <formula>NOT(ISERROR(SEARCH(("Problem"),(D60))))</formula>
    </cfRule>
  </conditionalFormatting>
  <conditionalFormatting sqref="E714:E741">
    <cfRule type="containsText" dxfId="634" priority="557" operator="containsText" text="Problem">
      <formula>NOT(ISERROR(SEARCH(("Problem"),(E714))))</formula>
    </cfRule>
    <cfRule type="containsText" dxfId="633" priority="556" operator="containsText" text="Problem">
      <formula>NOT(ISERROR(SEARCH(("Problem"),(E714))))</formula>
    </cfRule>
    <cfRule type="containsText" dxfId="632" priority="555" operator="containsText" text="Problem">
      <formula>NOT(ISERROR(SEARCH(("Problem"),(E714))))</formula>
    </cfRule>
  </conditionalFormatting>
  <conditionalFormatting sqref="A298 J298:P298">
    <cfRule type="containsText" dxfId="631" priority="745" operator="containsText" text="Problem">
      <formula>NOT(ISERROR(SEARCH(("Problem"),(A298))))</formula>
    </cfRule>
    <cfRule type="containsText" dxfId="630" priority="744" operator="containsText" text="Problem">
      <formula>NOT(ISERROR(SEARCH(("Problem"),(A298))))</formula>
    </cfRule>
    <cfRule type="containsText" dxfId="629" priority="746" operator="containsText" text="Problem">
      <formula>NOT(ISERROR(SEARCH(("Problem"),(A298))))</formula>
    </cfRule>
  </conditionalFormatting>
  <conditionalFormatting sqref="D354:D355 E329:H355">
    <cfRule type="containsText" dxfId="628" priority="252" operator="containsText" text="Problem">
      <formula>NOT(ISERROR(SEARCH(("Problem"),(D354))))</formula>
    </cfRule>
    <cfRule type="containsText" dxfId="627" priority="251" operator="containsText" text="Problem">
      <formula>NOT(ISERROR(SEARCH(("Problem"),(D354))))</formula>
    </cfRule>
    <cfRule type="containsText" dxfId="626" priority="253" operator="containsText" text="Problem">
      <formula>NOT(ISERROR(SEARCH(("Problem"),(D354))))</formula>
    </cfRule>
  </conditionalFormatting>
  <conditionalFormatting sqref="I124:I151">
    <cfRule type="containsText" dxfId="625" priority="139" operator="containsText" text="Problem">
      <formula>NOT(ISERROR(SEARCH(("Problem"),(I124))))</formula>
    </cfRule>
    <cfRule type="containsText" dxfId="624" priority="140" operator="containsText" text="Problem">
      <formula>NOT(ISERROR(SEARCH(("Problem"),(I124))))</formula>
    </cfRule>
    <cfRule type="containsText" dxfId="623" priority="138" operator="containsText" text="Problem">
      <formula>NOT(ISERROR(SEARCH(("Problem"),(I124))))</formula>
    </cfRule>
    <cfRule type="containsText" dxfId="622" priority="137" operator="containsText" text="Problem">
      <formula>NOT(ISERROR(SEARCH(("Problem"),(I124))))</formula>
    </cfRule>
  </conditionalFormatting>
  <conditionalFormatting sqref="H6:H34">
    <cfRule type="containsText" dxfId="621" priority="4" operator="containsText" text="Problem">
      <formula>NOT(ISERROR(SEARCH(("Problem"),(H6))))</formula>
    </cfRule>
    <cfRule type="containsText" dxfId="620" priority="5" operator="containsText" text="Problem">
      <formula>NOT(ISERROR(SEARCH(("Problem"),(H6))))</formula>
    </cfRule>
    <cfRule type="containsText" dxfId="619" priority="6" operator="containsText" text="Problem">
      <formula>NOT(ISERROR(SEARCH(("Problem"),(H6))))</formula>
    </cfRule>
  </conditionalFormatting>
  <conditionalFormatting sqref="G182">
    <cfRule type="containsText" dxfId="618" priority="159" operator="containsText" text="Problem">
      <formula>NOT(ISERROR(SEARCH(("Problem"),(G182))))</formula>
    </cfRule>
    <cfRule type="containsText" dxfId="617" priority="160" operator="containsText" text="Problem">
      <formula>NOT(ISERROR(SEARCH(("Problem"),(G182))))</formula>
    </cfRule>
    <cfRule type="containsText" dxfId="616" priority="158" operator="containsText" text="Problem">
      <formula>NOT(ISERROR(SEARCH(("Problem"),(G182))))</formula>
    </cfRule>
  </conditionalFormatting>
  <conditionalFormatting sqref="D714:D741">
    <cfRule type="containsText" dxfId="615" priority="539" operator="containsText" text="Problem">
      <formula>NOT(ISERROR(SEARCH(("Problem"),(D714))))</formula>
    </cfRule>
    <cfRule type="containsText" dxfId="614" priority="537" operator="containsText" text="Problem">
      <formula>NOT(ISERROR(SEARCH(("Problem"),(D714))))</formula>
    </cfRule>
    <cfRule type="containsText" dxfId="613" priority="538" operator="containsText" text="Problem">
      <formula>NOT(ISERROR(SEARCH(("Problem"),(D714))))</formula>
    </cfRule>
  </conditionalFormatting>
  <conditionalFormatting sqref="I773:I800">
    <cfRule type="containsText" dxfId="612" priority="610" operator="containsText" text="Problem">
      <formula>NOT(ISERROR(SEARCH(("Problem"),(I773))))</formula>
    </cfRule>
    <cfRule type="containsText" dxfId="611" priority="613" operator="containsText" text="Problem">
      <formula>NOT(ISERROR(SEARCH(("Problem"),(I773))))</formula>
    </cfRule>
    <cfRule type="containsText" dxfId="610" priority="611" operator="containsText" text="Problem">
      <formula>NOT(ISERROR(SEARCH(("Problem"),(I773))))</formula>
    </cfRule>
    <cfRule type="containsText" dxfId="609" priority="612" operator="containsText" text="Problem">
      <formula>NOT(ISERROR(SEARCH(("Problem"),(I773))))</formula>
    </cfRule>
  </conditionalFormatting>
  <conditionalFormatting sqref="E595">
    <cfRule type="containsText" dxfId="608" priority="477" operator="containsText" text="Problem">
      <formula>NOT(ISERROR(SEARCH(("Problem"),(E595))))</formula>
    </cfRule>
    <cfRule type="containsText" dxfId="607" priority="475" operator="containsText" text="Problem">
      <formula>NOT(ISERROR(SEARCH(("Problem"),(E595))))</formula>
    </cfRule>
    <cfRule type="containsText" dxfId="606" priority="476" operator="containsText" text="Problem">
      <formula>NOT(ISERROR(SEARCH(("Problem"),(E595))))</formula>
    </cfRule>
  </conditionalFormatting>
  <conditionalFormatting sqref="F596:F623">
    <cfRule type="containsText" dxfId="605" priority="480" operator="containsText" text="Problem">
      <formula>NOT(ISERROR(SEARCH(("Problem"),(F596))))</formula>
    </cfRule>
    <cfRule type="containsText" dxfId="604" priority="478" operator="containsText" text="Problem">
      <formula>NOT(ISERROR(SEARCH(("Problem"),(F596))))</formula>
    </cfRule>
    <cfRule type="containsText" dxfId="603" priority="479" operator="containsText" text="Problem">
      <formula>NOT(ISERROR(SEARCH(("Problem"),(F596))))</formula>
    </cfRule>
  </conditionalFormatting>
  <conditionalFormatting sqref="C888">
    <cfRule type="containsText" dxfId="602" priority="718" operator="containsText" text="Problem">
      <formula>NOT(ISERROR(SEARCH(("Problem"),(C888))))</formula>
    </cfRule>
    <cfRule type="containsText" dxfId="601" priority="717" operator="containsText" text="Problem">
      <formula>NOT(ISERROR(SEARCH(("Problem"),(C888))))</formula>
    </cfRule>
    <cfRule type="containsText" dxfId="600" priority="719" operator="containsText" text="Problem">
      <formula>NOT(ISERROR(SEARCH(("Problem"),(C888))))</formula>
    </cfRule>
  </conditionalFormatting>
  <conditionalFormatting sqref="D295:D296 E270:H296">
    <cfRule type="containsText" dxfId="599" priority="208" operator="containsText" text="Problem">
      <formula>NOT(ISERROR(SEARCH(("Problem"),(D295))))</formula>
    </cfRule>
    <cfRule type="containsText" dxfId="598" priority="210" operator="containsText" text="Problem">
      <formula>NOT(ISERROR(SEARCH(("Problem"),(D295))))</formula>
    </cfRule>
    <cfRule type="containsText" dxfId="597" priority="209" operator="containsText" text="Problem">
      <formula>NOT(ISERROR(SEARCH(("Problem"),(D295))))</formula>
    </cfRule>
  </conditionalFormatting>
  <conditionalFormatting sqref="E123">
    <cfRule type="containsText" dxfId="596" priority="132" operator="containsText" text="Problem">
      <formula>NOT(ISERROR(SEARCH(("Problem"),(E123))))</formula>
    </cfRule>
    <cfRule type="containsText" dxfId="595" priority="133" operator="containsText" text="Problem">
      <formula>NOT(ISERROR(SEARCH(("Problem"),(E123))))</formula>
    </cfRule>
    <cfRule type="containsText" dxfId="594" priority="131" operator="containsText" text="Problem">
      <formula>NOT(ISERROR(SEARCH(("Problem"),(E123))))</formula>
    </cfRule>
  </conditionalFormatting>
  <conditionalFormatting sqref="C416 E416:I416">
    <cfRule type="containsText" dxfId="593" priority="759" operator="containsText" text="Problem">
      <formula>NOT(ISERROR(SEARCH(("Problem"),(C416))))</formula>
    </cfRule>
    <cfRule type="containsText" dxfId="592" priority="760" operator="containsText" text="Problem">
      <formula>NOT(ISERROR(SEARCH(("Problem"),(C416))))</formula>
    </cfRule>
    <cfRule type="containsText" dxfId="591" priority="761" operator="containsText" text="Problem">
      <formula>NOT(ISERROR(SEARCH(("Problem"),(C416))))</formula>
    </cfRule>
  </conditionalFormatting>
  <conditionalFormatting sqref="A63:I63 A120:H120 I93:I120 J63:P120">
    <cfRule type="containsText" dxfId="590" priority="78" operator="containsText" text="Problem">
      <formula>NOT(ISERROR(SEARCH(("Problem"),(A63))))</formula>
    </cfRule>
    <cfRule type="containsText" dxfId="589" priority="77" operator="containsText" text="Problem">
      <formula>NOT(ISERROR(SEARCH(("Problem"),(A63))))</formula>
    </cfRule>
    <cfRule type="containsText" dxfId="588" priority="76" operator="containsText" text="Problem">
      <formula>NOT(ISERROR(SEARCH(("Problem"),(A63))))</formula>
    </cfRule>
  </conditionalFormatting>
  <conditionalFormatting sqref="A358:I358 A415:H415 I388:I415 J358:P415">
    <cfRule type="containsText" dxfId="587" priority="292" operator="containsText" text="Problem">
      <formula>NOT(ISERROR(SEARCH(("Problem"),(A358))))</formula>
    </cfRule>
    <cfRule type="containsText" dxfId="586" priority="291" operator="containsText" text="Problem">
      <formula>NOT(ISERROR(SEARCH(("Problem"),(A358))))</formula>
    </cfRule>
    <cfRule type="containsText" dxfId="585" priority="293" operator="containsText" text="Problem">
      <formula>NOT(ISERROR(SEARCH(("Problem"),(A358))))</formula>
    </cfRule>
  </conditionalFormatting>
  <conditionalFormatting sqref="E478:E505">
    <cfRule type="containsText" dxfId="584" priority="383" operator="containsText" text="Problem">
      <formula>NOT(ISERROR(SEARCH(("Problem"),(E478))))</formula>
    </cfRule>
    <cfRule type="containsText" dxfId="583" priority="385" operator="containsText" text="Problem">
      <formula>NOT(ISERROR(SEARCH(("Problem"),(E478))))</formula>
    </cfRule>
    <cfRule type="containsText" dxfId="582" priority="384" operator="containsText" text="Problem">
      <formula>NOT(ISERROR(SEARCH(("Problem"),(E478))))</formula>
    </cfRule>
  </conditionalFormatting>
  <conditionalFormatting sqref="F537:F564">
    <cfRule type="containsText" dxfId="581" priority="436" operator="containsText" text="Problem">
      <formula>NOT(ISERROR(SEARCH(("Problem"),(F537))))</formula>
    </cfRule>
    <cfRule type="containsText" dxfId="580" priority="435" operator="containsText" text="Problem">
      <formula>NOT(ISERROR(SEARCH(("Problem"),(F537))))</formula>
    </cfRule>
    <cfRule type="containsText" dxfId="579" priority="437" operator="containsText" text="Problem">
      <formula>NOT(ISERROR(SEARCH(("Problem"),(F537))))</formula>
    </cfRule>
  </conditionalFormatting>
  <conditionalFormatting sqref="G300">
    <cfRule type="containsText" dxfId="578" priority="244" operator="containsText" text="Problem">
      <formula>NOT(ISERROR(SEARCH(("Problem"),(G300))))</formula>
    </cfRule>
    <cfRule type="containsText" dxfId="577" priority="245" operator="containsText" text="Problem">
      <formula>NOT(ISERROR(SEARCH(("Problem"),(G300))))</formula>
    </cfRule>
    <cfRule type="containsText" dxfId="576" priority="246" operator="containsText" text="Problem">
      <formula>NOT(ISERROR(SEARCH(("Problem"),(G300))))</formula>
    </cfRule>
  </conditionalFormatting>
  <conditionalFormatting sqref="A299:I299 A356:H356 I329:I356 J299:P356">
    <cfRule type="containsText" dxfId="575" priority="249" operator="containsText" text="Problem">
      <formula>NOT(ISERROR(SEARCH(("Problem"),(A299))))</formula>
    </cfRule>
    <cfRule type="containsText" dxfId="574" priority="250" operator="containsText" text="Problem">
      <formula>NOT(ISERROR(SEARCH(("Problem"),(A299))))</formula>
    </cfRule>
    <cfRule type="containsText" dxfId="573" priority="248" operator="containsText" text="Problem">
      <formula>NOT(ISERROR(SEARCH(("Problem"),(A299))))</formula>
    </cfRule>
  </conditionalFormatting>
  <conditionalFormatting sqref="A476:I476 A533:H533 I506:I533 J476:P533">
    <cfRule type="containsText" dxfId="572" priority="379" operator="containsText" text="Problem">
      <formula>NOT(ISERROR(SEARCH(("Problem"),(A476))))</formula>
    </cfRule>
    <cfRule type="containsText" dxfId="571" priority="377" operator="containsText" text="Problem">
      <formula>NOT(ISERROR(SEARCH(("Problem"),(A476))))</formula>
    </cfRule>
    <cfRule type="containsText" dxfId="570" priority="378" operator="containsText" text="Problem">
      <formula>NOT(ISERROR(SEARCH(("Problem"),(A476))))</formula>
    </cfRule>
  </conditionalFormatting>
  <conditionalFormatting sqref="D537:D564">
    <cfRule type="containsText" dxfId="569" priority="410" operator="containsText" text="Problem">
      <formula>NOT(ISERROR(SEARCH(("Problem"),(D537))))</formula>
    </cfRule>
    <cfRule type="containsText" dxfId="568" priority="409" operator="containsText" text="Problem">
      <formula>NOT(ISERROR(SEARCH(("Problem"),(D537))))</formula>
    </cfRule>
    <cfRule type="containsText" dxfId="567" priority="408" operator="containsText" text="Problem">
      <formula>NOT(ISERROR(SEARCH(("Problem"),(D537))))</formula>
    </cfRule>
  </conditionalFormatting>
  <conditionalFormatting sqref="D801:D825">
    <cfRule type="containsText" dxfId="566" priority="586" operator="containsText" text="Problem">
      <formula>NOT(ISERROR(SEARCH(("Problem"),(D801))))</formula>
    </cfRule>
    <cfRule type="containsText" dxfId="565" priority="587" operator="containsText" text="Problem">
      <formula>NOT(ISERROR(SEARCH(("Problem"),(D801))))</formula>
    </cfRule>
  </conditionalFormatting>
  <conditionalFormatting sqref="G654">
    <cfRule type="containsText" dxfId="564" priority="503" operator="containsText" text="Problem">
      <formula>NOT(ISERROR(SEARCH(("Problem"),(G654))))</formula>
    </cfRule>
    <cfRule type="containsText" dxfId="563" priority="502" operator="containsText" text="Problem">
      <formula>NOT(ISERROR(SEARCH(("Problem"),(G654))))</formula>
    </cfRule>
    <cfRule type="containsText" dxfId="562" priority="504" operator="containsText" text="Problem">
      <formula>NOT(ISERROR(SEARCH(("Problem"),(G654))))</formula>
    </cfRule>
  </conditionalFormatting>
  <conditionalFormatting sqref="E359">
    <cfRule type="containsText" dxfId="561" priority="305" operator="containsText" text="Problem">
      <formula>NOT(ISERROR(SEARCH(("Problem"),(E359))))</formula>
    </cfRule>
    <cfRule type="containsText" dxfId="560" priority="304" operator="containsText" text="Problem">
      <formula>NOT(ISERROR(SEARCH(("Problem"),(E359))))</formula>
    </cfRule>
    <cfRule type="containsText" dxfId="559" priority="303" operator="containsText" text="Problem">
      <formula>NOT(ISERROR(SEARCH(("Problem"),(E359))))</formula>
    </cfRule>
  </conditionalFormatting>
  <conditionalFormatting sqref="I596:I623">
    <cfRule type="containsText" dxfId="558" priority="483" operator="containsText" text="Problem">
      <formula>NOT(ISERROR(SEARCH(("Problem"),(I596))))</formula>
    </cfRule>
    <cfRule type="containsText" dxfId="557" priority="481" operator="containsText" text="Problem">
      <formula>NOT(ISERROR(SEARCH(("Problem"),(I596))))</formula>
    </cfRule>
    <cfRule type="containsText" dxfId="556" priority="482" operator="containsText" text="Problem">
      <formula>NOT(ISERROR(SEARCH(("Problem"),(I596))))</formula>
    </cfRule>
    <cfRule type="containsText" dxfId="555" priority="484" operator="containsText" text="Problem">
      <formula>NOT(ISERROR(SEARCH(("Problem"),(I596))))</formula>
    </cfRule>
  </conditionalFormatting>
  <conditionalFormatting sqref="B750:C750 B762:B765 B767:C768 C719:C749 C759:C765">
    <cfRule type="containsText" dxfId="554" priority="837" operator="containsText" text="Problem">
      <formula>NOT(ISERROR(SEARCH(("Problem"),(B750))))</formula>
    </cfRule>
    <cfRule type="containsText" dxfId="553" priority="839" operator="containsText" text="Problem">
      <formula>NOT(ISERROR(SEARCH(("Problem"),(B750))))</formula>
    </cfRule>
    <cfRule type="containsText" dxfId="552" priority="838" operator="containsText" text="Problem">
      <formula>NOT(ISERROR(SEARCH(("Problem"),(B750))))</formula>
    </cfRule>
  </conditionalFormatting>
  <conditionalFormatting sqref="A477:A532">
    <cfRule type="containsText" dxfId="551" priority="685" operator="containsText" text="Problem">
      <formula>NOT(ISERROR(SEARCH(("Problem"),(A477))))</formula>
    </cfRule>
    <cfRule type="containsText" dxfId="550" priority="686" operator="containsText" text="Problem">
      <formula>NOT(ISERROR(SEARCH(("Problem"),(A477))))</formula>
    </cfRule>
    <cfRule type="containsText" dxfId="549" priority="684" operator="containsText" text="Problem">
      <formula>NOT(ISERROR(SEARCH(("Problem"),(A477))))</formula>
    </cfRule>
  </conditionalFormatting>
  <conditionalFormatting sqref="D419:D446">
    <cfRule type="containsText" dxfId="548" priority="322" operator="containsText" text="Problem">
      <formula>NOT(ISERROR(SEARCH(("Problem"),(D419))))</formula>
    </cfRule>
    <cfRule type="containsText" dxfId="547" priority="323" operator="containsText" text="Problem">
      <formula>NOT(ISERROR(SEARCH(("Problem"),(D419))))</formula>
    </cfRule>
    <cfRule type="containsText" dxfId="546" priority="324" operator="containsText" text="Problem">
      <formula>NOT(ISERROR(SEARCH(("Problem"),(D419))))</formula>
    </cfRule>
  </conditionalFormatting>
  <conditionalFormatting sqref="I595">
    <cfRule type="containsText" dxfId="545" priority="454" operator="containsText" text="Problem">
      <formula>NOT(ISERROR(SEARCH(("Problem"),(I595))))</formula>
    </cfRule>
    <cfRule type="containsText" dxfId="544" priority="456" operator="containsText" text="Problem">
      <formula>NOT(ISERROR(SEARCH(("Problem"),(I595))))</formula>
    </cfRule>
    <cfRule type="containsText" dxfId="543" priority="455" operator="containsText" text="Problem">
      <formula>NOT(ISERROR(SEARCH(("Problem"),(I595))))</formula>
    </cfRule>
  </conditionalFormatting>
  <conditionalFormatting sqref="H64">
    <cfRule type="containsText" dxfId="542" priority="59" operator="containsText" text="Problem">
      <formula>NOT(ISERROR(SEARCH(("Problem"),(H64))))</formula>
    </cfRule>
    <cfRule type="containsText" dxfId="541" priority="58" operator="containsText" text="Problem">
      <formula>NOT(ISERROR(SEARCH(("Problem"),(H64))))</formula>
    </cfRule>
    <cfRule type="containsText" dxfId="540" priority="60" operator="containsText" text="Problem">
      <formula>NOT(ISERROR(SEARCH(("Problem"),(H64))))</formula>
    </cfRule>
  </conditionalFormatting>
  <conditionalFormatting sqref="C711 E711:I711">
    <cfRule type="containsText" dxfId="539" priority="789" operator="containsText" text="Problem">
      <formula>NOT(ISERROR(SEARCH(("Problem"),(C711))))</formula>
    </cfRule>
    <cfRule type="containsText" dxfId="538" priority="790" operator="containsText" text="Problem">
      <formula>NOT(ISERROR(SEARCH(("Problem"),(C711))))</formula>
    </cfRule>
    <cfRule type="containsText" dxfId="537" priority="791" operator="containsText" text="Problem">
      <formula>NOT(ISERROR(SEARCH(("Problem"),(C711))))</formula>
    </cfRule>
  </conditionalFormatting>
  <conditionalFormatting sqref="A182:A237">
    <cfRule type="containsText" dxfId="536" priority="669" operator="containsText" text="Problem">
      <formula>NOT(ISERROR(SEARCH(("Problem"),(A182))))</formula>
    </cfRule>
    <cfRule type="containsText" dxfId="535" priority="671" operator="containsText" text="Problem">
      <formula>NOT(ISERROR(SEARCH(("Problem"),(A182))))</formula>
    </cfRule>
    <cfRule type="containsText" dxfId="534" priority="670" operator="containsText" text="Problem">
      <formula>NOT(ISERROR(SEARCH(("Problem"),(A182))))</formula>
    </cfRule>
  </conditionalFormatting>
  <conditionalFormatting sqref="E596:E623">
    <cfRule type="containsText" dxfId="533" priority="469" operator="containsText" text="Problem">
      <formula>NOT(ISERROR(SEARCH(("Problem"),(E596))))</formula>
    </cfRule>
    <cfRule type="containsText" dxfId="532" priority="470" operator="containsText" text="Problem">
      <formula>NOT(ISERROR(SEARCH(("Problem"),(E596))))</formula>
    </cfRule>
    <cfRule type="containsText" dxfId="531" priority="471" operator="containsText" text="Problem">
      <formula>NOT(ISERROR(SEARCH(("Problem"),(E596))))</formula>
    </cfRule>
  </conditionalFormatting>
  <conditionalFormatting sqref="B691:C691 B703:B706 B708:C709 C660:C690 C700:C706">
    <cfRule type="containsText" dxfId="530" priority="835" operator="containsText" text="Problem">
      <formula>NOT(ISERROR(SEARCH(("Problem"),(B691))))</formula>
    </cfRule>
    <cfRule type="containsText" dxfId="529" priority="834" operator="containsText" text="Problem">
      <formula>NOT(ISERROR(SEARCH(("Problem"),(B691))))</formula>
    </cfRule>
    <cfRule type="containsText" dxfId="528" priority="836" operator="containsText" text="Problem">
      <formula>NOT(ISERROR(SEARCH(("Problem"),(B691))))</formula>
    </cfRule>
  </conditionalFormatting>
  <conditionalFormatting sqref="D388:D412">
    <cfRule type="containsText" dxfId="527" priority="285" operator="containsText" text="Problem">
      <formula>NOT(ISERROR(SEARCH(("Problem"),(D388))))</formula>
    </cfRule>
    <cfRule type="containsText" dxfId="526" priority="286" operator="containsText" text="Problem">
      <formula>NOT(ISERROR(SEARCH(("Problem"),(D388))))</formula>
    </cfRule>
  </conditionalFormatting>
  <conditionalFormatting sqref="G714:G741">
    <cfRule type="containsText" dxfId="525" priority="536" operator="containsText" text="Problem">
      <formula>NOT(ISERROR(SEARCH(("Problem"),(G714))))</formula>
    </cfRule>
    <cfRule type="containsText" dxfId="524" priority="534" operator="containsText" text="Problem">
      <formula>NOT(ISERROR(SEARCH(("Problem"),(G714))))</formula>
    </cfRule>
    <cfRule type="containsText" dxfId="523" priority="535" operator="containsText" text="Problem">
      <formula>NOT(ISERROR(SEARCH(("Problem"),(G714))))</formula>
    </cfRule>
  </conditionalFormatting>
  <conditionalFormatting sqref="C593 E593:I593">
    <cfRule type="containsText" dxfId="522" priority="778" operator="containsText" text="Problem">
      <formula>NOT(ISERROR(SEARCH(("Problem"),(C593))))</formula>
    </cfRule>
    <cfRule type="containsText" dxfId="521" priority="779" operator="containsText" text="Problem">
      <formula>NOT(ISERROR(SEARCH(("Problem"),(C593))))</formula>
    </cfRule>
    <cfRule type="containsText" dxfId="520" priority="777" operator="containsText" text="Problem">
      <formula>NOT(ISERROR(SEARCH(("Problem"),(C593))))</formula>
    </cfRule>
  </conditionalFormatting>
  <conditionalFormatting sqref="G772">
    <cfRule type="containsText" dxfId="519" priority="588" operator="containsText" text="Problem">
      <formula>NOT(ISERROR(SEARCH(("Problem"),(G772))))</formula>
    </cfRule>
    <cfRule type="containsText" dxfId="518" priority="590" operator="containsText" text="Problem">
      <formula>NOT(ISERROR(SEARCH(("Problem"),(G772))))</formula>
    </cfRule>
    <cfRule type="containsText" dxfId="517" priority="589" operator="containsText" text="Problem">
      <formula>NOT(ISERROR(SEARCH(("Problem"),(G772))))</formula>
    </cfRule>
  </conditionalFormatting>
  <conditionalFormatting sqref="I65:I92">
    <cfRule type="containsText" dxfId="516" priority="97" operator="containsText" text="Problem">
      <formula>NOT(ISERROR(SEARCH(("Problem"),(I65))))</formula>
    </cfRule>
    <cfRule type="containsText" dxfId="515" priority="95" operator="containsText" text="Problem">
      <formula>NOT(ISERROR(SEARCH(("Problem"),(I65))))</formula>
    </cfRule>
    <cfRule type="containsText" dxfId="514" priority="96" operator="containsText" text="Problem">
      <formula>NOT(ISERROR(SEARCH(("Problem"),(I65))))</formula>
    </cfRule>
    <cfRule type="containsText" dxfId="513" priority="94" operator="containsText" text="Problem">
      <formula>NOT(ISERROR(SEARCH(("Problem"),(I65))))</formula>
    </cfRule>
  </conditionalFormatting>
  <conditionalFormatting sqref="A475 J475:P475">
    <cfRule type="containsText" dxfId="512" priority="762" operator="containsText" text="Problem">
      <formula>NOT(ISERROR(SEARCH(("Problem"),(A475))))</formula>
    </cfRule>
    <cfRule type="containsText" dxfId="511" priority="763" operator="containsText" text="Problem">
      <formula>NOT(ISERROR(SEARCH(("Problem"),(A475))))</formula>
    </cfRule>
    <cfRule type="containsText" dxfId="510" priority="764" operator="containsText" text="Problem">
      <formula>NOT(ISERROR(SEARCH(("Problem"),(A475))))</formula>
    </cfRule>
  </conditionalFormatting>
  <conditionalFormatting sqref="A359:A414">
    <cfRule type="containsText" dxfId="509" priority="679" operator="containsText" text="Problem">
      <formula>NOT(ISERROR(SEARCH(("Problem"),(A359))))</formula>
    </cfRule>
    <cfRule type="containsText" dxfId="508" priority="680" operator="containsText" text="Problem">
      <formula>NOT(ISERROR(SEARCH(("Problem"),(A359))))</formula>
    </cfRule>
    <cfRule type="containsText" dxfId="507" priority="678" operator="containsText" text="Problem">
      <formula>NOT(ISERROR(SEARCH(("Problem"),(A359))))</formula>
    </cfRule>
  </conditionalFormatting>
  <conditionalFormatting sqref="H713">
    <cfRule type="containsText" dxfId="506" priority="533" operator="containsText" text="Problem">
      <formula>NOT(ISERROR(SEARCH(("Problem"),(H713))))</formula>
    </cfRule>
    <cfRule type="containsText" dxfId="505" priority="531" operator="containsText" text="Problem">
      <formula>NOT(ISERROR(SEARCH(("Problem"),(H713))))</formula>
    </cfRule>
    <cfRule type="containsText" dxfId="504" priority="532" operator="containsText" text="Problem">
      <formula>NOT(ISERROR(SEARCH(("Problem"),(H713))))</formula>
    </cfRule>
  </conditionalFormatting>
  <conditionalFormatting sqref="H654">
    <cfRule type="containsText" dxfId="503" priority="489" operator="containsText" text="Problem">
      <formula>NOT(ISERROR(SEARCH(("Problem"),(H654))))</formula>
    </cfRule>
    <cfRule type="containsText" dxfId="502" priority="490" operator="containsText" text="Problem">
      <formula>NOT(ISERROR(SEARCH(("Problem"),(H654))))</formula>
    </cfRule>
    <cfRule type="containsText" dxfId="501" priority="488" operator="containsText" text="Problem">
      <formula>NOT(ISERROR(SEARCH(("Problem"),(H654))))</formula>
    </cfRule>
  </conditionalFormatting>
  <conditionalFormatting sqref="H418">
    <cfRule type="containsText" dxfId="500" priority="317" operator="containsText" text="Problem">
      <formula>NOT(ISERROR(SEARCH(("Problem"),(H418))))</formula>
    </cfRule>
    <cfRule type="containsText" dxfId="499" priority="316" operator="containsText" text="Problem">
      <formula>NOT(ISERROR(SEARCH(("Problem"),(H418))))</formula>
    </cfRule>
    <cfRule type="containsText" dxfId="498" priority="318" operator="containsText" text="Problem">
      <formula>NOT(ISERROR(SEARCH(("Problem"),(H418))))</formula>
    </cfRule>
  </conditionalFormatting>
  <conditionalFormatting sqref="F595">
    <cfRule type="containsText" dxfId="497" priority="474" operator="containsText" text="Problem">
      <formula>NOT(ISERROR(SEARCH(("Problem"),(F595))))</formula>
    </cfRule>
    <cfRule type="containsText" dxfId="496" priority="472" operator="containsText" text="Problem">
      <formula>NOT(ISERROR(SEARCH(("Problem"),(F595))))</formula>
    </cfRule>
    <cfRule type="containsText" dxfId="495" priority="473" operator="containsText" text="Problem">
      <formula>NOT(ISERROR(SEARCH(("Problem"),(F595))))</formula>
    </cfRule>
  </conditionalFormatting>
  <conditionalFormatting sqref="G831">
    <cfRule type="containsText" dxfId="494" priority="633" operator="containsText" text="Problem">
      <formula>NOT(ISERROR(SEARCH(("Problem"),(G831))))</formula>
    </cfRule>
    <cfRule type="containsText" dxfId="493" priority="631" operator="containsText" text="Problem">
      <formula>NOT(ISERROR(SEARCH(("Problem"),(G831))))</formula>
    </cfRule>
    <cfRule type="containsText" dxfId="492" priority="632" operator="containsText" text="Problem">
      <formula>NOT(ISERROR(SEARCH(("Problem"),(G831))))</formula>
    </cfRule>
  </conditionalFormatting>
  <conditionalFormatting sqref="H242:H269">
    <cfRule type="containsText" dxfId="491" priority="186" operator="containsText" text="Problem">
      <formula>NOT(ISERROR(SEARCH(("Problem"),(H242))))</formula>
    </cfRule>
    <cfRule type="containsText" dxfId="490" priority="184" operator="containsText" text="Problem">
      <formula>NOT(ISERROR(SEARCH(("Problem"),(H242))))</formula>
    </cfRule>
    <cfRule type="containsText" dxfId="489" priority="185" operator="containsText" text="Problem">
      <formula>NOT(ISERROR(SEARCH(("Problem"),(H242))))</formula>
    </cfRule>
  </conditionalFormatting>
  <conditionalFormatting sqref="E537:E564">
    <cfRule type="containsText" dxfId="488" priority="427" operator="containsText" text="Problem">
      <formula>NOT(ISERROR(SEARCH(("Problem"),(E537))))</formula>
    </cfRule>
    <cfRule type="containsText" dxfId="487" priority="426" operator="containsText" text="Problem">
      <formula>NOT(ISERROR(SEARCH(("Problem"),(E537))))</formula>
    </cfRule>
    <cfRule type="containsText" dxfId="486" priority="428" operator="containsText" text="Problem">
      <formula>NOT(ISERROR(SEARCH(("Problem"),(E537))))</formula>
    </cfRule>
  </conditionalFormatting>
  <conditionalFormatting sqref="D413:D414 E388:H414">
    <cfRule type="containsText" dxfId="485" priority="296" operator="containsText" text="Problem">
      <formula>NOT(ISERROR(SEARCH(("Problem"),(D413))))</formula>
    </cfRule>
    <cfRule type="containsText" dxfId="484" priority="295" operator="containsText" text="Problem">
      <formula>NOT(ISERROR(SEARCH(("Problem"),(D413))))</formula>
    </cfRule>
    <cfRule type="containsText" dxfId="483" priority="294" operator="containsText" text="Problem">
      <formula>NOT(ISERROR(SEARCH(("Problem"),(D413))))</formula>
    </cfRule>
  </conditionalFormatting>
  <conditionalFormatting sqref="H478:H505">
    <cfRule type="containsText" dxfId="482" priority="356" operator="containsText" text="Problem">
      <formula>NOT(ISERROR(SEARCH(("Problem"),(H478))))</formula>
    </cfRule>
    <cfRule type="containsText" dxfId="481" priority="358" operator="containsText" text="Problem">
      <formula>NOT(ISERROR(SEARCH(("Problem"),(H478))))</formula>
    </cfRule>
    <cfRule type="containsText" dxfId="480" priority="357" operator="containsText" text="Problem">
      <formula>NOT(ISERROR(SEARCH(("Problem"),(H478))))</formula>
    </cfRule>
  </conditionalFormatting>
  <conditionalFormatting sqref="D773:D800">
    <cfRule type="containsText" dxfId="479" priority="580" operator="containsText" text="Problem">
      <formula>NOT(ISERROR(SEARCH(("Problem"),(D773))))</formula>
    </cfRule>
    <cfRule type="containsText" dxfId="478" priority="581" operator="containsText" text="Problem">
      <formula>NOT(ISERROR(SEARCH(("Problem"),(D773))))</formula>
    </cfRule>
    <cfRule type="containsText" dxfId="477" priority="582" operator="containsText" text="Problem">
      <formula>NOT(ISERROR(SEARCH(("Problem"),(D773))))</formula>
    </cfRule>
  </conditionalFormatting>
  <conditionalFormatting sqref="A653:I653 A710:H710 I683:I710 J653:P710">
    <cfRule type="containsText" dxfId="476" priority="507" operator="containsText" text="Problem">
      <formula>NOT(ISERROR(SEARCH(("Problem"),(A653))))</formula>
    </cfRule>
    <cfRule type="containsText" dxfId="475" priority="508" operator="containsText" text="Problem">
      <formula>NOT(ISERROR(SEARCH(("Problem"),(A653))))</formula>
    </cfRule>
    <cfRule type="containsText" dxfId="474" priority="506" operator="containsText" text="Problem">
      <formula>NOT(ISERROR(SEARCH(("Problem"),(A653))))</formula>
    </cfRule>
  </conditionalFormatting>
  <conditionalFormatting sqref="B219:C219 B231:B234 B236:C237 C188:C218 C228:C234">
    <cfRule type="containsText" dxfId="473" priority="812" operator="containsText" text="Problem">
      <formula>NOT(ISERROR(SEARCH(("Problem"),(B219))))</formula>
    </cfRule>
    <cfRule type="containsText" dxfId="472" priority="810" operator="containsText" text="Problem">
      <formula>NOT(ISERROR(SEARCH(("Problem"),(B219))))</formula>
    </cfRule>
    <cfRule type="containsText" dxfId="471" priority="811" operator="containsText" text="Problem">
      <formula>NOT(ISERROR(SEARCH(("Problem"),(B219))))</formula>
    </cfRule>
  </conditionalFormatting>
  <conditionalFormatting sqref="H419:H446">
    <cfRule type="containsText" dxfId="470" priority="314" operator="containsText" text="Problem">
      <formula>NOT(ISERROR(SEARCH(("Problem"),(H419))))</formula>
    </cfRule>
    <cfRule type="containsText" dxfId="469" priority="315" operator="containsText" text="Problem">
      <formula>NOT(ISERROR(SEARCH(("Problem"),(H419))))</formula>
    </cfRule>
    <cfRule type="containsText" dxfId="468" priority="313" operator="containsText" text="Problem">
      <formula>NOT(ISERROR(SEARCH(("Problem"),(H419))))</formula>
    </cfRule>
  </conditionalFormatting>
  <conditionalFormatting sqref="F124:F151">
    <cfRule type="containsText" dxfId="467" priority="134" operator="containsText" text="Problem">
      <formula>NOT(ISERROR(SEARCH(("Problem"),(F124))))</formula>
    </cfRule>
    <cfRule type="containsText" dxfId="466" priority="135" operator="containsText" text="Problem">
      <formula>NOT(ISERROR(SEARCH(("Problem"),(F124))))</formula>
    </cfRule>
    <cfRule type="containsText" dxfId="465" priority="136" operator="containsText" text="Problem">
      <formula>NOT(ISERROR(SEARCH(("Problem"),(F124))))</formula>
    </cfRule>
  </conditionalFormatting>
  <conditionalFormatting sqref="E5">
    <cfRule type="containsText" dxfId="464" priority="43" operator="containsText" text="Problem">
      <formula>NOT(ISERROR(SEARCH(("Problem"),(E5))))</formula>
    </cfRule>
    <cfRule type="containsText" dxfId="463" priority="44" operator="containsText" text="Problem">
      <formula>NOT(ISERROR(SEARCH(("Problem"),(E5))))</formula>
    </cfRule>
    <cfRule type="containsText" dxfId="462" priority="45" operator="containsText" text="Problem">
      <formula>NOT(ISERROR(SEARCH(("Problem"),(E5))))</formula>
    </cfRule>
  </conditionalFormatting>
  <conditionalFormatting sqref="F654">
    <cfRule type="containsText" dxfId="461" priority="515" operator="containsText" text="Problem">
      <formula>NOT(ISERROR(SEARCH(("Problem"),(F654))))</formula>
    </cfRule>
    <cfRule type="containsText" dxfId="460" priority="517" operator="containsText" text="Problem">
      <formula>NOT(ISERROR(SEARCH(("Problem"),(F654))))</formula>
    </cfRule>
    <cfRule type="containsText" dxfId="459" priority="516" operator="containsText" text="Problem">
      <formula>NOT(ISERROR(SEARCH(("Problem"),(F654))))</formula>
    </cfRule>
  </conditionalFormatting>
  <conditionalFormatting sqref="H655:H682">
    <cfRule type="containsText" dxfId="458" priority="486" operator="containsText" text="Problem">
      <formula>NOT(ISERROR(SEARCH(("Problem"),(H655))))</formula>
    </cfRule>
    <cfRule type="containsText" dxfId="457" priority="485" operator="containsText" text="Problem">
      <formula>NOT(ISERROR(SEARCH(("Problem"),(H655))))</formula>
    </cfRule>
    <cfRule type="containsText" dxfId="456" priority="487" operator="containsText" text="Problem">
      <formula>NOT(ISERROR(SEARCH(("Problem"),(H655))))</formula>
    </cfRule>
  </conditionalFormatting>
  <conditionalFormatting sqref="D472:D473 E447:H473">
    <cfRule type="containsText" dxfId="455" priority="339" operator="containsText" text="Problem">
      <formula>NOT(ISERROR(SEARCH(("Problem"),(D472))))</formula>
    </cfRule>
    <cfRule type="containsText" dxfId="454" priority="337" operator="containsText" text="Problem">
      <formula>NOT(ISERROR(SEARCH(("Problem"),(D472))))</formula>
    </cfRule>
    <cfRule type="containsText" dxfId="453" priority="338" operator="containsText" text="Problem">
      <formula>NOT(ISERROR(SEARCH(("Problem"),(D472))))</formula>
    </cfRule>
  </conditionalFormatting>
  <conditionalFormatting sqref="I242:I269">
    <cfRule type="containsText" dxfId="452" priority="223" operator="containsText" text="Problem">
      <formula>NOT(ISERROR(SEARCH(("Problem"),(I242))))</formula>
    </cfRule>
    <cfRule type="containsText" dxfId="451" priority="225" operator="containsText" text="Problem">
      <formula>NOT(ISERROR(SEARCH(("Problem"),(I242))))</formula>
    </cfRule>
    <cfRule type="containsText" dxfId="450" priority="224" operator="containsText" text="Problem">
      <formula>NOT(ISERROR(SEARCH(("Problem"),(I242))))</formula>
    </cfRule>
    <cfRule type="containsText" dxfId="449" priority="226" operator="containsText" text="Problem">
      <formula>NOT(ISERROR(SEARCH(("Problem"),(I242))))</formula>
    </cfRule>
  </conditionalFormatting>
  <conditionalFormatting sqref="E241">
    <cfRule type="containsText" dxfId="448" priority="219" operator="containsText" text="Problem">
      <formula>NOT(ISERROR(SEARCH(("Problem"),(E241))))</formula>
    </cfRule>
    <cfRule type="containsText" dxfId="447" priority="217" operator="containsText" text="Problem">
      <formula>NOT(ISERROR(SEARCH(("Problem"),(E241))))</formula>
    </cfRule>
    <cfRule type="containsText" dxfId="446" priority="218" operator="containsText" text="Problem">
      <formula>NOT(ISERROR(SEARCH(("Problem"),(E241))))</formula>
    </cfRule>
  </conditionalFormatting>
  <conditionalFormatting sqref="B4 C3:C4 D4 D61:H61 E3:I4 K917:P918">
    <cfRule type="containsText" dxfId="445" priority="28" operator="containsText" text="Problem">
      <formula>NOT(ISERROR(SEARCH(("Problem"),(B4))))</formula>
    </cfRule>
    <cfRule type="containsText" dxfId="444" priority="29" operator="containsText" text="Problem">
      <formula>NOT(ISERROR(SEARCH(("Problem"),(B4))))</formula>
    </cfRule>
    <cfRule type="containsText" dxfId="443" priority="30" operator="containsText" text="Problem">
      <formula>NOT(ISERROR(SEARCH(("Problem"),(B4))))</formula>
    </cfRule>
  </conditionalFormatting>
  <conditionalFormatting sqref="B573:C573 B585:B588 B590:C591 C542:C572 C582:C588">
    <cfRule type="containsText" dxfId="442" priority="828" operator="containsText" text="Problem">
      <formula>NOT(ISERROR(SEARCH(("Problem"),(B573))))</formula>
    </cfRule>
    <cfRule type="containsText" dxfId="441" priority="830" operator="containsText" text="Problem">
      <formula>NOT(ISERROR(SEARCH(("Problem"),(B573))))</formula>
    </cfRule>
    <cfRule type="containsText" dxfId="440" priority="829" operator="containsText" text="Problem">
      <formula>NOT(ISERROR(SEARCH(("Problem"),(B573))))</formula>
    </cfRule>
  </conditionalFormatting>
  <conditionalFormatting sqref="I183:I210">
    <cfRule type="containsText" dxfId="439" priority="182" operator="containsText" text="Problem">
      <formula>NOT(ISERROR(SEARCH(("Problem"),(I183))))</formula>
    </cfRule>
    <cfRule type="containsText" dxfId="438" priority="181" operator="containsText" text="Problem">
      <formula>NOT(ISERROR(SEARCH(("Problem"),(I183))))</formula>
    </cfRule>
    <cfRule type="containsText" dxfId="437" priority="183" operator="containsText" text="Problem">
      <formula>NOT(ISERROR(SEARCH(("Problem"),(I183))))</formula>
    </cfRule>
    <cfRule type="containsText" dxfId="436" priority="180" operator="containsText" text="Problem">
      <formula>NOT(ISERROR(SEARCH(("Problem"),(I183))))</formula>
    </cfRule>
  </conditionalFormatting>
  <conditionalFormatting sqref="D885:D886 E860:H886">
    <cfRule type="containsText" dxfId="435" priority="640" operator="containsText" text="Problem">
      <formula>NOT(ISERROR(SEARCH(("Problem"),(D885))))</formula>
    </cfRule>
    <cfRule type="containsText" dxfId="434" priority="638" operator="containsText" text="Problem">
      <formula>NOT(ISERROR(SEARCH(("Problem"),(D885))))</formula>
    </cfRule>
    <cfRule type="containsText" dxfId="433" priority="639" operator="containsText" text="Problem">
      <formula>NOT(ISERROR(SEARCH(("Problem"),(D885))))</formula>
    </cfRule>
  </conditionalFormatting>
  <conditionalFormatting sqref="E64">
    <cfRule type="containsText" dxfId="432" priority="88" operator="containsText" text="Problem">
      <formula>NOT(ISERROR(SEARCH(("Problem"),(E64))))</formula>
    </cfRule>
    <cfRule type="containsText" dxfId="431" priority="89" operator="containsText" text="Problem">
      <formula>NOT(ISERROR(SEARCH(("Problem"),(E64))))</formula>
    </cfRule>
    <cfRule type="containsText" dxfId="430" priority="90" operator="containsText" text="Problem">
      <formula>NOT(ISERROR(SEARCH(("Problem"),(E64))))</formula>
    </cfRule>
  </conditionalFormatting>
  <conditionalFormatting sqref="C770 E770:I770">
    <cfRule type="containsText" dxfId="429" priority="795" operator="containsText" text="Problem">
      <formula>NOT(ISERROR(SEARCH(("Problem"),(C770))))</formula>
    </cfRule>
    <cfRule type="containsText" dxfId="428" priority="796" operator="containsText" text="Problem">
      <formula>NOT(ISERROR(SEARCH(("Problem"),(C770))))</formula>
    </cfRule>
    <cfRule type="containsText" dxfId="427" priority="797" operator="containsText" text="Problem">
      <formula>NOT(ISERROR(SEARCH(("Problem"),(C770))))</formula>
    </cfRule>
  </conditionalFormatting>
  <conditionalFormatting sqref="A771:I771 A828:H828 I801:I828 J771:P828">
    <cfRule type="containsText" dxfId="426" priority="593" operator="containsText" text="Problem">
      <formula>NOT(ISERROR(SEARCH(("Problem"),(A771))))</formula>
    </cfRule>
    <cfRule type="containsText" dxfId="425" priority="594" operator="containsText" text="Problem">
      <formula>NOT(ISERROR(SEARCH(("Problem"),(A771))))</formula>
    </cfRule>
    <cfRule type="containsText" dxfId="424" priority="592" operator="containsText" text="Problem">
      <formula>NOT(ISERROR(SEARCH(("Problem"),(A771))))</formula>
    </cfRule>
  </conditionalFormatting>
  <conditionalFormatting sqref="A712:I712 A769:H769 I742:I769 J712:P769">
    <cfRule type="containsText" dxfId="423" priority="550" operator="containsText" text="Problem">
      <formula>NOT(ISERROR(SEARCH(("Problem"),(A712))))</formula>
    </cfRule>
    <cfRule type="containsText" dxfId="422" priority="551" operator="containsText" text="Problem">
      <formula>NOT(ISERROR(SEARCH(("Problem"),(A712))))</formula>
    </cfRule>
    <cfRule type="containsText" dxfId="421" priority="549" operator="containsText" text="Problem">
      <formula>NOT(ISERROR(SEARCH(("Problem"),(A712))))</formula>
    </cfRule>
  </conditionalFormatting>
  <conditionalFormatting sqref="B337:C337 B349:B352 B354:C355 C306:C336 C346:C352">
    <cfRule type="containsText" dxfId="420" priority="816" operator="containsText" text="Problem">
      <formula>NOT(ISERROR(SEARCH(("Problem"),(B337))))</formula>
    </cfRule>
    <cfRule type="containsText" dxfId="419" priority="817" operator="containsText" text="Problem">
      <formula>NOT(ISERROR(SEARCH(("Problem"),(B337))))</formula>
    </cfRule>
    <cfRule type="containsText" dxfId="418" priority="818" operator="containsText" text="Problem">
      <formula>NOT(ISERROR(SEARCH(("Problem"),(B337))))</formula>
    </cfRule>
  </conditionalFormatting>
  <conditionalFormatting sqref="F242:F269">
    <cfRule type="containsText" dxfId="417" priority="220" operator="containsText" text="Problem">
      <formula>NOT(ISERROR(SEARCH(("Problem"),(F242))))</formula>
    </cfRule>
    <cfRule type="containsText" dxfId="416" priority="221" operator="containsText" text="Problem">
      <formula>NOT(ISERROR(SEARCH(("Problem"),(F242))))</formula>
    </cfRule>
    <cfRule type="containsText" dxfId="415" priority="222" operator="containsText" text="Problem">
      <formula>NOT(ISERROR(SEARCH(("Problem"),(F242))))</formula>
    </cfRule>
  </conditionalFormatting>
  <conditionalFormatting sqref="C652 E652:I652">
    <cfRule type="containsText" dxfId="414" priority="785" operator="containsText" text="Problem">
      <formula>NOT(ISERROR(SEARCH(("Problem"),(C652))))</formula>
    </cfRule>
    <cfRule type="containsText" dxfId="413" priority="783" operator="containsText" text="Problem">
      <formula>NOT(ISERROR(SEARCH(("Problem"),(C652))))</formula>
    </cfRule>
    <cfRule type="containsText" dxfId="412" priority="784" operator="containsText" text="Problem">
      <formula>NOT(ISERROR(SEARCH(("Problem"),(C652))))</formula>
    </cfRule>
  </conditionalFormatting>
  <conditionalFormatting sqref="H241">
    <cfRule type="containsText" dxfId="411" priority="188" operator="containsText" text="Problem">
      <formula>NOT(ISERROR(SEARCH(("Problem"),(H241))))</formula>
    </cfRule>
    <cfRule type="containsText" dxfId="410" priority="189" operator="containsText" text="Problem">
      <formula>NOT(ISERROR(SEARCH(("Problem"),(H241))))</formula>
    </cfRule>
    <cfRule type="containsText" dxfId="409" priority="187" operator="containsText" text="Problem">
      <formula>NOT(ISERROR(SEARCH(("Problem"),(H241))))</formula>
    </cfRule>
  </conditionalFormatting>
  <conditionalFormatting sqref="H301:H328">
    <cfRule type="containsText" dxfId="408" priority="229" operator="containsText" text="Problem">
      <formula>NOT(ISERROR(SEARCH(("Problem"),(H301))))</formula>
    </cfRule>
    <cfRule type="containsText" dxfId="407" priority="228" operator="containsText" text="Problem">
      <formula>NOT(ISERROR(SEARCH(("Problem"),(H301))))</formula>
    </cfRule>
    <cfRule type="containsText" dxfId="406" priority="227" operator="containsText" text="Problem">
      <formula>NOT(ISERROR(SEARCH(("Problem"),(H301))))</formula>
    </cfRule>
  </conditionalFormatting>
  <conditionalFormatting sqref="D649:D650 E624:H650">
    <cfRule type="containsText" dxfId="405" priority="467" operator="containsText" text="Problem">
      <formula>NOT(ISERROR(SEARCH(("Problem"),(D649))))</formula>
    </cfRule>
    <cfRule type="containsText" dxfId="404" priority="468" operator="containsText" text="Problem">
      <formula>NOT(ISERROR(SEARCH(("Problem"),(D649))))</formula>
    </cfRule>
    <cfRule type="containsText" dxfId="403" priority="466" operator="containsText" text="Problem">
      <formula>NOT(ISERROR(SEARCH(("Problem"),(D649))))</formula>
    </cfRule>
  </conditionalFormatting>
  <conditionalFormatting sqref="F772">
    <cfRule type="containsText" dxfId="402" priority="602" operator="containsText" text="Problem">
      <formula>NOT(ISERROR(SEARCH(("Problem"),(F772))))</formula>
    </cfRule>
    <cfRule type="containsText" dxfId="401" priority="601" operator="containsText" text="Problem">
      <formula>NOT(ISERROR(SEARCH(("Problem"),(F772))))</formula>
    </cfRule>
    <cfRule type="containsText" dxfId="400" priority="603" operator="containsText" text="Problem">
      <formula>NOT(ISERROR(SEARCH(("Problem"),(F772))))</formula>
    </cfRule>
  </conditionalFormatting>
  <conditionalFormatting sqref="G536">
    <cfRule type="containsText" dxfId="399" priority="416" operator="containsText" text="Problem">
      <formula>NOT(ISERROR(SEARCH(("Problem"),(G536))))</formula>
    </cfRule>
    <cfRule type="containsText" dxfId="398" priority="418" operator="containsText" text="Problem">
      <formula>NOT(ISERROR(SEARCH(("Problem"),(G536))))</formula>
    </cfRule>
    <cfRule type="containsText" dxfId="397" priority="417" operator="containsText" text="Problem">
      <formula>NOT(ISERROR(SEARCH(("Problem"),(G536))))</formula>
    </cfRule>
  </conditionalFormatting>
  <conditionalFormatting sqref="G596:G623">
    <cfRule type="containsText" dxfId="396" priority="450" operator="containsText" text="Problem">
      <formula>NOT(ISERROR(SEARCH(("Problem"),(G596))))</formula>
    </cfRule>
    <cfRule type="containsText" dxfId="395" priority="449" operator="containsText" text="Problem">
      <formula>NOT(ISERROR(SEARCH(("Problem"),(G596))))</formula>
    </cfRule>
    <cfRule type="containsText" dxfId="394" priority="448" operator="containsText" text="Problem">
      <formula>NOT(ISERROR(SEARCH(("Problem"),(G596))))</formula>
    </cfRule>
  </conditionalFormatting>
  <conditionalFormatting sqref="G5">
    <cfRule type="containsText" dxfId="393" priority="22" operator="containsText" text="Problem">
      <formula>NOT(ISERROR(SEARCH(("Problem"),(G5))))</formula>
    </cfRule>
    <cfRule type="containsText" dxfId="392" priority="24" operator="containsText" text="Problem">
      <formula>NOT(ISERROR(SEARCH(("Problem"),(G5))))</formula>
    </cfRule>
    <cfRule type="containsText" dxfId="391" priority="23" operator="containsText" text="Problem">
      <formula>NOT(ISERROR(SEARCH(("Problem"),(G5))))</formula>
    </cfRule>
  </conditionalFormatting>
  <conditionalFormatting sqref="H537:H564">
    <cfRule type="containsText" dxfId="390" priority="399" operator="containsText" text="Problem">
      <formula>NOT(ISERROR(SEARCH(("Problem"),(H537))))</formula>
    </cfRule>
    <cfRule type="containsText" dxfId="389" priority="400" operator="containsText" text="Problem">
      <formula>NOT(ISERROR(SEARCH(("Problem"),(H537))))</formula>
    </cfRule>
    <cfRule type="containsText" dxfId="388" priority="401" operator="containsText" text="Problem">
      <formula>NOT(ISERROR(SEARCH(("Problem"),(H537))))</formula>
    </cfRule>
  </conditionalFormatting>
  <conditionalFormatting sqref="A888 E888:P888">
    <cfRule type="containsText" dxfId="387" priority="657" operator="containsText" text="Problem">
      <formula>NOT(ISERROR(SEARCH(("Problem"),(A888))))</formula>
    </cfRule>
    <cfRule type="containsText" dxfId="386" priority="659" operator="containsText" text="Problem">
      <formula>NOT(ISERROR(SEARCH(("Problem"),(A888))))</formula>
    </cfRule>
    <cfRule type="containsText" dxfId="385" priority="658" operator="containsText" text="Problem">
      <formula>NOT(ISERROR(SEARCH(("Problem"),(A888))))</formula>
    </cfRule>
  </conditionalFormatting>
  <conditionalFormatting sqref="F713">
    <cfRule type="containsText" dxfId="384" priority="559" operator="containsText" text="Problem">
      <formula>NOT(ISERROR(SEARCH(("Problem"),(F713))))</formula>
    </cfRule>
    <cfRule type="containsText" dxfId="383" priority="558" operator="containsText" text="Problem">
      <formula>NOT(ISERROR(SEARCH(("Problem"),(F713))))</formula>
    </cfRule>
    <cfRule type="containsText" dxfId="382" priority="560" operator="containsText" text="Problem">
      <formula>NOT(ISERROR(SEARCH(("Problem"),(F713))))</formula>
    </cfRule>
  </conditionalFormatting>
  <conditionalFormatting sqref="D590:D591 E565:H591">
    <cfRule type="containsText" dxfId="381" priority="423" operator="containsText" text="Problem">
      <formula>NOT(ISERROR(SEARCH(("Problem"),(D590))))</formula>
    </cfRule>
    <cfRule type="containsText" dxfId="380" priority="425" operator="containsText" text="Problem">
      <formula>NOT(ISERROR(SEARCH(("Problem"),(D590))))</formula>
    </cfRule>
    <cfRule type="containsText" dxfId="379" priority="424" operator="containsText" text="Problem">
      <formula>NOT(ISERROR(SEARCH(("Problem"),(D590))))</formula>
    </cfRule>
  </conditionalFormatting>
  <conditionalFormatting sqref="H832:H859">
    <cfRule type="containsText" dxfId="378" priority="615" operator="containsText" text="Problem">
      <formula>NOT(ISERROR(SEARCH(("Problem"),(H832))))</formula>
    </cfRule>
    <cfRule type="containsText" dxfId="377" priority="614" operator="containsText" text="Problem">
      <formula>NOT(ISERROR(SEARCH(("Problem"),(H832))))</formula>
    </cfRule>
    <cfRule type="containsText" dxfId="376" priority="616" operator="containsText" text="Problem">
      <formula>NOT(ISERROR(SEARCH(("Problem"),(H832))))</formula>
    </cfRule>
  </conditionalFormatting>
  <conditionalFormatting sqref="C475 E475:I475">
    <cfRule type="containsText" dxfId="375" priority="767" operator="containsText" text="Problem">
      <formula>NOT(ISERROR(SEARCH(("Problem"),(C475))))</formula>
    </cfRule>
    <cfRule type="containsText" dxfId="374" priority="765" operator="containsText" text="Problem">
      <formula>NOT(ISERROR(SEARCH(("Problem"),(C475))))</formula>
    </cfRule>
    <cfRule type="containsText" dxfId="373" priority="766" operator="containsText" text="Problem">
      <formula>NOT(ISERROR(SEARCH(("Problem"),(C475))))</formula>
    </cfRule>
  </conditionalFormatting>
  <conditionalFormatting sqref="F360:F387">
    <cfRule type="containsText" dxfId="372" priority="307" operator="containsText" text="Problem">
      <formula>NOT(ISERROR(SEARCH(("Problem"),(F360))))</formula>
    </cfRule>
    <cfRule type="containsText" dxfId="371" priority="308" operator="containsText" text="Problem">
      <formula>NOT(ISERROR(SEARCH(("Problem"),(F360))))</formula>
    </cfRule>
    <cfRule type="containsText" dxfId="370" priority="306" operator="containsText" text="Problem">
      <formula>NOT(ISERROR(SEARCH(("Problem"),(F360))))</formula>
    </cfRule>
  </conditionalFormatting>
  <conditionalFormatting sqref="I536">
    <cfRule type="containsText" dxfId="369" priority="413" operator="containsText" text="Problem">
      <formula>NOT(ISERROR(SEARCH(("Problem"),(I536))))</formula>
    </cfRule>
    <cfRule type="containsText" dxfId="368" priority="412" operator="containsText" text="Problem">
      <formula>NOT(ISERROR(SEARCH(("Problem"),(I536))))</formula>
    </cfRule>
    <cfRule type="containsText" dxfId="367" priority="411" operator="containsText" text="Problem">
      <formula>NOT(ISERROR(SEARCH(("Problem"),(I536))))</formula>
    </cfRule>
  </conditionalFormatting>
  <conditionalFormatting sqref="F477">
    <cfRule type="containsText" dxfId="366" priority="388" operator="containsText" text="Problem">
      <formula>NOT(ISERROR(SEARCH(("Problem"),(F477))))</formula>
    </cfRule>
    <cfRule type="containsText" dxfId="365" priority="386" operator="containsText" text="Problem">
      <formula>NOT(ISERROR(SEARCH(("Problem"),(F477))))</formula>
    </cfRule>
    <cfRule type="containsText" dxfId="364" priority="387" operator="containsText" text="Problem">
      <formula>NOT(ISERROR(SEARCH(("Problem"),(F477))))</formula>
    </cfRule>
  </conditionalFormatting>
  <conditionalFormatting sqref="A181:P181 A238:H238 I211:I238 J182:M238 O182:P238">
    <cfRule type="containsText" dxfId="363" priority="164" operator="containsText" text="Problem">
      <formula>NOT(ISERROR(SEARCH(("Problem"),(A181))))</formula>
    </cfRule>
    <cfRule type="containsText" dxfId="362" priority="162" operator="containsText" text="Problem">
      <formula>NOT(ISERROR(SEARCH(("Problem"),(A181))))</formula>
    </cfRule>
    <cfRule type="containsText" dxfId="361" priority="163" operator="containsText" text="Problem">
      <formula>NOT(ISERROR(SEARCH(("Problem"),(A181))))</formula>
    </cfRule>
  </conditionalFormatting>
  <conditionalFormatting sqref="E713">
    <cfRule type="containsText" dxfId="360" priority="561" operator="containsText" text="Problem">
      <formula>NOT(ISERROR(SEARCH(("Problem"),(E713))))</formula>
    </cfRule>
    <cfRule type="containsText" dxfId="359" priority="563" operator="containsText" text="Problem">
      <formula>NOT(ISERROR(SEARCH(("Problem"),(E713))))</formula>
    </cfRule>
    <cfRule type="containsText" dxfId="358" priority="562" operator="containsText" text="Problem">
      <formula>NOT(ISERROR(SEARCH(("Problem"),(E713))))</formula>
    </cfRule>
  </conditionalFormatting>
  <conditionalFormatting sqref="E300">
    <cfRule type="containsText" dxfId="357" priority="262" operator="containsText" text="Problem">
      <formula>NOT(ISERROR(SEARCH(("Problem"),(E300))))</formula>
    </cfRule>
    <cfRule type="containsText" dxfId="356" priority="260" operator="containsText" text="Problem">
      <formula>NOT(ISERROR(SEARCH(("Problem"),(E300))))</formula>
    </cfRule>
    <cfRule type="containsText" dxfId="355" priority="261" operator="containsText" text="Problem">
      <formula>NOT(ISERROR(SEARCH(("Problem"),(E300))))</formula>
    </cfRule>
  </conditionalFormatting>
  <conditionalFormatting sqref="D270:D294">
    <cfRule type="containsText" dxfId="354" priority="199" operator="containsText" text="Problem">
      <formula>NOT(ISERROR(SEARCH(("Problem"),(D270))))</formula>
    </cfRule>
    <cfRule type="containsText" dxfId="353" priority="200" operator="containsText" text="Problem">
      <formula>NOT(ISERROR(SEARCH(("Problem"),(D270))))</formula>
    </cfRule>
  </conditionalFormatting>
  <conditionalFormatting sqref="I6:I34">
    <cfRule type="containsText" dxfId="352" priority="51" operator="containsText" text="Problem">
      <formula>NOT(ISERROR(SEARCH(("Problem"),(I6))))</formula>
    </cfRule>
    <cfRule type="containsText" dxfId="351" priority="54" operator="containsText" text="Problem">
      <formula>NOT(ISERROR(SEARCH(("Problem"),(I6))))</formula>
    </cfRule>
    <cfRule type="containsText" dxfId="350" priority="52" operator="containsText" text="Problem">
      <formula>NOT(ISERROR(SEARCH(("Problem"),(I6))))</formula>
    </cfRule>
    <cfRule type="containsText" dxfId="349" priority="50" operator="containsText" text="Problem">
      <formula>NOT(ISERROR(SEARCH(("Problem"),(I6))))</formula>
    </cfRule>
    <cfRule type="containsText" dxfId="348" priority="49" operator="containsText" text="Problem">
      <formula>NOT(ISERROR(SEARCH(("Problem"),(I6))))</formula>
    </cfRule>
    <cfRule type="containsText" dxfId="347" priority="53" operator="containsText" text="Problem">
      <formula>NOT(ISERROR(SEARCH(("Problem"),(I6))))</formula>
    </cfRule>
  </conditionalFormatting>
  <conditionalFormatting sqref="H714:H741">
    <cfRule type="containsText" dxfId="346" priority="529" operator="containsText" text="Problem">
      <formula>NOT(ISERROR(SEARCH(("Problem"),(H714))))</formula>
    </cfRule>
    <cfRule type="containsText" dxfId="345" priority="528" operator="containsText" text="Problem">
      <formula>NOT(ISERROR(SEARCH(("Problem"),(H714))))</formula>
    </cfRule>
    <cfRule type="containsText" dxfId="344" priority="530" operator="containsText" text="Problem">
      <formula>NOT(ISERROR(SEARCH(("Problem"),(H714))))</formula>
    </cfRule>
  </conditionalFormatting>
  <conditionalFormatting sqref="D447:D471">
    <cfRule type="containsText" dxfId="343" priority="329" operator="containsText" text="Problem">
      <formula>NOT(ISERROR(SEARCH(("Problem"),(D447))))</formula>
    </cfRule>
    <cfRule type="containsText" dxfId="342" priority="328" operator="containsText" text="Problem">
      <formula>NOT(ISERROR(SEARCH(("Problem"),(D447))))</formula>
    </cfRule>
  </conditionalFormatting>
  <conditionalFormatting sqref="N182:N238">
    <cfRule type="containsText" dxfId="341" priority="661" operator="containsText" text="Problem">
      <formula>NOT(ISERROR(SEARCH(("Problem"),(N182))))</formula>
    </cfRule>
    <cfRule type="containsText" dxfId="340" priority="662" operator="containsText" text="Problem">
      <formula>NOT(ISERROR(SEARCH(("Problem"),(N182))))</formula>
    </cfRule>
    <cfRule type="containsText" dxfId="339" priority="660" operator="containsText" text="Problem">
      <formula>NOT(ISERROR(SEARCH(("Problem"),(N182))))</formula>
    </cfRule>
  </conditionalFormatting>
  <conditionalFormatting sqref="D477">
    <cfRule type="containsText" dxfId="338" priority="376" operator="containsText" text="Problem">
      <formula>NOT(ISERROR(SEARCH(("Problem"),(D477))))</formula>
    </cfRule>
  </conditionalFormatting>
  <conditionalFormatting sqref="D536">
    <cfRule type="containsText" dxfId="337" priority="419" operator="containsText" text="Problem">
      <formula>NOT(ISERROR(SEARCH(("Problem"),(D536))))</formula>
    </cfRule>
  </conditionalFormatting>
  <conditionalFormatting sqref="G6:G34">
    <cfRule type="containsText" dxfId="336" priority="10" operator="containsText" text="Problem">
      <formula>NOT(ISERROR(SEARCH(("Problem"),(G6))))</formula>
    </cfRule>
    <cfRule type="containsText" dxfId="335" priority="11" operator="containsText" text="Problem">
      <formula>NOT(ISERROR(SEARCH(("Problem"),(G6))))</formula>
    </cfRule>
    <cfRule type="containsText" dxfId="334" priority="12" operator="containsText" text="Problem">
      <formula>NOT(ISERROR(SEARCH(("Problem"),(G6))))</formula>
    </cfRule>
  </conditionalFormatting>
  <conditionalFormatting sqref="A770 J770:P770">
    <cfRule type="containsText" dxfId="333" priority="793" operator="containsText" text="Problem">
      <formula>NOT(ISERROR(SEARCH(("Problem"),(A770))))</formula>
    </cfRule>
    <cfRule type="containsText" dxfId="332" priority="792" operator="containsText" text="Problem">
      <formula>NOT(ISERROR(SEARCH(("Problem"),(A770))))</formula>
    </cfRule>
    <cfRule type="containsText" dxfId="331" priority="794" operator="containsText" text="Problem">
      <formula>NOT(ISERROR(SEARCH(("Problem"),(A770))))</formula>
    </cfRule>
  </conditionalFormatting>
  <conditionalFormatting sqref="A536:A591">
    <cfRule type="containsText" dxfId="330" priority="689" operator="containsText" text="Problem">
      <formula>NOT(ISERROR(SEARCH(("Problem"),(A536))))</formula>
    </cfRule>
    <cfRule type="containsText" dxfId="329" priority="687" operator="containsText" text="Problem">
      <formula>NOT(ISERROR(SEARCH(("Problem"),(A536))))</formula>
    </cfRule>
    <cfRule type="containsText" dxfId="328" priority="688" operator="containsText" text="Problem">
      <formula>NOT(ISERROR(SEARCH(("Problem"),(A536))))</formula>
    </cfRule>
  </conditionalFormatting>
  <conditionalFormatting sqref="E654">
    <cfRule type="containsText" dxfId="327" priority="519" operator="containsText" text="Problem">
      <formula>NOT(ISERROR(SEARCH(("Problem"),(E654))))</formula>
    </cfRule>
    <cfRule type="containsText" dxfId="326" priority="518" operator="containsText" text="Problem">
      <formula>NOT(ISERROR(SEARCH(("Problem"),(E654))))</formula>
    </cfRule>
    <cfRule type="containsText" dxfId="325" priority="520" operator="containsText" text="Problem">
      <formula>NOT(ISERROR(SEARCH(("Problem"),(E654))))</formula>
    </cfRule>
  </conditionalFormatting>
  <conditionalFormatting sqref="I477">
    <cfRule type="containsText" dxfId="324" priority="370" operator="containsText" text="Problem">
      <formula>NOT(ISERROR(SEARCH(("Problem"),(I477))))</formula>
    </cfRule>
    <cfRule type="containsText" dxfId="323" priority="369" operator="containsText" text="Problem">
      <formula>NOT(ISERROR(SEARCH(("Problem"),(I477))))</formula>
    </cfRule>
    <cfRule type="containsText" dxfId="322" priority="368" operator="containsText" text="Problem">
      <formula>NOT(ISERROR(SEARCH(("Problem"),(I477))))</formula>
    </cfRule>
  </conditionalFormatting>
  <conditionalFormatting sqref="E65:E92">
    <cfRule type="containsText" dxfId="321" priority="83" operator="containsText" text="Problem">
      <formula>NOT(ISERROR(SEARCH(("Problem"),(E65))))</formula>
    </cfRule>
    <cfRule type="containsText" dxfId="320" priority="84" operator="containsText" text="Problem">
      <formula>NOT(ISERROR(SEARCH(("Problem"),(E65))))</formula>
    </cfRule>
    <cfRule type="containsText" dxfId="319" priority="82" operator="containsText" text="Problem">
      <formula>NOT(ISERROR(SEARCH(("Problem"),(E65))))</formula>
    </cfRule>
  </conditionalFormatting>
  <conditionalFormatting sqref="G123">
    <cfRule type="containsText" dxfId="318" priority="117" operator="containsText" text="Problem">
      <formula>NOT(ISERROR(SEARCH(("Problem"),(G123))))</formula>
    </cfRule>
    <cfRule type="containsText" dxfId="317" priority="115" operator="containsText" text="Problem">
      <formula>NOT(ISERROR(SEARCH(("Problem"),(G123))))</formula>
    </cfRule>
    <cfRule type="containsText" dxfId="316" priority="116" operator="containsText" text="Problem">
      <formula>NOT(ISERROR(SEARCH(("Problem"),(G123))))</formula>
    </cfRule>
  </conditionalFormatting>
  <conditionalFormatting sqref="A534 J534:P534">
    <cfRule type="containsText" dxfId="315" priority="768" operator="containsText" text="Problem">
      <formula>NOT(ISERROR(SEARCH(("Problem"),(A534))))</formula>
    </cfRule>
    <cfRule type="containsText" dxfId="314" priority="770" operator="containsText" text="Problem">
      <formula>NOT(ISERROR(SEARCH(("Problem"),(A534))))</formula>
    </cfRule>
    <cfRule type="containsText" dxfId="313" priority="769" operator="containsText" text="Problem">
      <formula>NOT(ISERROR(SEARCH(("Problem"),(A534))))</formula>
    </cfRule>
  </conditionalFormatting>
  <conditionalFormatting sqref="H182">
    <cfRule type="containsText" dxfId="312" priority="145" operator="containsText" text="Problem">
      <formula>NOT(ISERROR(SEARCH(("Problem"),(H182))))</formula>
    </cfRule>
    <cfRule type="containsText" dxfId="311" priority="146" operator="containsText" text="Problem">
      <formula>NOT(ISERROR(SEARCH(("Problem"),(H182))))</formula>
    </cfRule>
    <cfRule type="containsText" dxfId="310" priority="144" operator="containsText" text="Problem">
      <formula>NOT(ISERROR(SEARCH(("Problem"),(H182))))</formula>
    </cfRule>
  </conditionalFormatting>
  <conditionalFormatting sqref="H536">
    <cfRule type="containsText" dxfId="309" priority="404" operator="containsText" text="Problem">
      <formula>NOT(ISERROR(SEARCH(("Problem"),(H536))))</formula>
    </cfRule>
    <cfRule type="containsText" dxfId="308" priority="403" operator="containsText" text="Problem">
      <formula>NOT(ISERROR(SEARCH(("Problem"),(H536))))</formula>
    </cfRule>
    <cfRule type="containsText" dxfId="307" priority="402" operator="containsText" text="Problem">
      <formula>NOT(ISERROR(SEARCH(("Problem"),(H536))))</formula>
    </cfRule>
  </conditionalFormatting>
  <conditionalFormatting sqref="A241:A296">
    <cfRule type="containsText" dxfId="306" priority="672" operator="containsText" text="Problem">
      <formula>NOT(ISERROR(SEARCH(("Problem"),(A241))))</formula>
    </cfRule>
    <cfRule type="containsText" dxfId="305" priority="673" operator="containsText" text="Problem">
      <formula>NOT(ISERROR(SEARCH(("Problem"),(A241))))</formula>
    </cfRule>
    <cfRule type="containsText" dxfId="304" priority="674" operator="containsText" text="Problem">
      <formula>NOT(ISERROR(SEARCH(("Problem"),(A241))))</formula>
    </cfRule>
  </conditionalFormatting>
  <conditionalFormatting sqref="A418:A473">
    <cfRule type="containsText" dxfId="303" priority="682" operator="containsText" text="Problem">
      <formula>NOT(ISERROR(SEARCH(("Problem"),(A418))))</formula>
    </cfRule>
    <cfRule type="containsText" dxfId="302" priority="681" operator="containsText" text="Problem">
      <formula>NOT(ISERROR(SEARCH(("Problem"),(A418))))</formula>
    </cfRule>
    <cfRule type="containsText" dxfId="301" priority="683" operator="containsText" text="Problem">
      <formula>NOT(ISERROR(SEARCH(("Problem"),(A418))))</formula>
    </cfRule>
  </conditionalFormatting>
  <conditionalFormatting sqref="G359">
    <cfRule type="containsText" dxfId="300" priority="288" operator="containsText" text="Problem">
      <formula>NOT(ISERROR(SEARCH(("Problem"),(G359))))</formula>
    </cfRule>
    <cfRule type="containsText" dxfId="299" priority="287" operator="containsText" text="Problem">
      <formula>NOT(ISERROR(SEARCH(("Problem"),(G359))))</formula>
    </cfRule>
    <cfRule type="containsText" dxfId="298" priority="289" operator="containsText" text="Problem">
      <formula>NOT(ISERROR(SEARCH(("Problem"),(G359))))</formula>
    </cfRule>
  </conditionalFormatting>
  <conditionalFormatting sqref="D478:D505">
    <cfRule type="containsText" dxfId="297" priority="367" operator="containsText" text="Problem">
      <formula>NOT(ISERROR(SEARCH(("Problem"),(D478))))</formula>
    </cfRule>
    <cfRule type="containsText" dxfId="296" priority="366" operator="containsText" text="Problem">
      <formula>NOT(ISERROR(SEARCH(("Problem"),(D478))))</formula>
    </cfRule>
    <cfRule type="containsText" dxfId="295" priority="365" operator="containsText" text="Problem">
      <formula>NOT(ISERROR(SEARCH(("Problem"),(D478))))</formula>
    </cfRule>
  </conditionalFormatting>
  <conditionalFormatting sqref="F6:F34">
    <cfRule type="containsText" dxfId="294" priority="48" operator="containsText" text="Problem">
      <formula>NOT(ISERROR(SEARCH(("Problem"),(F6))))</formula>
    </cfRule>
    <cfRule type="containsText" dxfId="293" priority="46" operator="containsText" text="Problem">
      <formula>NOT(ISERROR(SEARCH(("Problem"),(F6))))</formula>
    </cfRule>
    <cfRule type="containsText" dxfId="292" priority="47" operator="containsText" text="Problem">
      <formula>NOT(ISERROR(SEARCH(("Problem"),(F6))))</formula>
    </cfRule>
  </conditionalFormatting>
  <conditionalFormatting sqref="G419:G446">
    <cfRule type="containsText" dxfId="291" priority="320" operator="containsText" text="Problem">
      <formula>NOT(ISERROR(SEARCH(("Problem"),(G419))))</formula>
    </cfRule>
    <cfRule type="containsText" dxfId="290" priority="319" operator="containsText" text="Problem">
      <formula>NOT(ISERROR(SEARCH(("Problem"),(G419))))</formula>
    </cfRule>
    <cfRule type="containsText" dxfId="289" priority="321" operator="containsText" text="Problem">
      <formula>NOT(ISERROR(SEARCH(("Problem"),(G419))))</formula>
    </cfRule>
  </conditionalFormatting>
  <conditionalFormatting sqref="C62 E62:I62">
    <cfRule type="containsText" dxfId="288" priority="725" operator="containsText" text="Problem">
      <formula>NOT(ISERROR(SEARCH(("Problem"),(C62))))</formula>
    </cfRule>
    <cfRule type="containsText" dxfId="287" priority="723" operator="containsText" text="Problem">
      <formula>NOT(ISERROR(SEARCH(("Problem"),(C62))))</formula>
    </cfRule>
    <cfRule type="containsText" dxfId="286" priority="724" operator="containsText" text="Problem">
      <formula>NOT(ISERROR(SEARCH(("Problem"),(C62))))</formula>
    </cfRule>
  </conditionalFormatting>
  <conditionalFormatting sqref="D183:D210">
    <cfRule type="containsText" dxfId="285" priority="150" operator="containsText" text="Problem">
      <formula>NOT(ISERROR(SEARCH(("Problem"),(D183))))</formula>
    </cfRule>
    <cfRule type="containsText" dxfId="284" priority="152" operator="containsText" text="Problem">
      <formula>NOT(ISERROR(SEARCH(("Problem"),(D183))))</formula>
    </cfRule>
    <cfRule type="containsText" dxfId="283" priority="151" operator="containsText" text="Problem">
      <formula>NOT(ISERROR(SEARCH(("Problem"),(D183))))</formula>
    </cfRule>
  </conditionalFormatting>
  <conditionalFormatting sqref="A3:A61 B42:C42 B54:B57 B59:C61 C11:C41 C51:C57 I35:I61 J3:P61">
    <cfRule type="containsText" dxfId="282" priority="3" operator="containsText" text="Problem">
      <formula>NOT(ISERROR(SEARCH(("Problem"),(A3))))</formula>
    </cfRule>
    <cfRule type="containsText" dxfId="281" priority="2" operator="containsText" text="Problem">
      <formula>NOT(ISERROR(SEARCH(("Problem"),(A3))))</formula>
    </cfRule>
    <cfRule type="containsText" dxfId="280" priority="1" operator="containsText" text="Problem">
      <formula>NOT(ISERROR(SEARCH(("Problem"),(A3))))</formula>
    </cfRule>
  </conditionalFormatting>
  <conditionalFormatting sqref="E6:E34">
    <cfRule type="containsText" dxfId="279" priority="38" operator="containsText" text="Problem">
      <formula>NOT(ISERROR(SEARCH(("Problem"),(E6))))</formula>
    </cfRule>
    <cfRule type="containsText" dxfId="278" priority="37" operator="containsText" text="Problem">
      <formula>NOT(ISERROR(SEARCH(("Problem"),(E6))))</formula>
    </cfRule>
    <cfRule type="containsText" dxfId="277" priority="39" operator="containsText" text="Problem">
      <formula>NOT(ISERROR(SEARCH(("Problem"),(E6))))</formula>
    </cfRule>
  </conditionalFormatting>
  <conditionalFormatting sqref="F831">
    <cfRule type="containsText" dxfId="276" priority="646" operator="containsText" text="Problem">
      <formula>NOT(ISERROR(SEARCH(("Problem"),(F831))))</formula>
    </cfRule>
    <cfRule type="containsText" dxfId="275" priority="645" operator="containsText" text="Problem">
      <formula>NOT(ISERROR(SEARCH(("Problem"),(F831))))</formula>
    </cfRule>
    <cfRule type="containsText" dxfId="274" priority="644" operator="containsText" text="Problem">
      <formula>NOT(ISERROR(SEARCH(("Problem"),(F831))))</formula>
    </cfRule>
  </conditionalFormatting>
  <conditionalFormatting sqref="E832:E859">
    <cfRule type="containsText" dxfId="273" priority="642" operator="containsText" text="Problem">
      <formula>NOT(ISERROR(SEARCH(("Problem"),(E832))))</formula>
    </cfRule>
    <cfRule type="containsText" dxfId="272" priority="643" operator="containsText" text="Problem">
      <formula>NOT(ISERROR(SEARCH(("Problem"),(E832))))</formula>
    </cfRule>
    <cfRule type="containsText" dxfId="271" priority="641" operator="containsText" text="Problem">
      <formula>NOT(ISERROR(SEARCH(("Problem"),(E832))))</formula>
    </cfRule>
  </conditionalFormatting>
  <conditionalFormatting sqref="F300">
    <cfRule type="containsText" dxfId="270" priority="258" operator="containsText" text="Problem">
      <formula>NOT(ISERROR(SEARCH(("Problem"),(F300))))</formula>
    </cfRule>
    <cfRule type="containsText" dxfId="269" priority="257" operator="containsText" text="Problem">
      <formula>NOT(ISERROR(SEARCH(("Problem"),(F300))))</formula>
    </cfRule>
    <cfRule type="containsText" dxfId="268" priority="259" operator="containsText" text="Problem">
      <formula>NOT(ISERROR(SEARCH(("Problem"),(F300))))</formula>
    </cfRule>
  </conditionalFormatting>
  <conditionalFormatting sqref="A416 J416:P416">
    <cfRule type="containsText" dxfId="267" priority="756" operator="containsText" text="Problem">
      <formula>NOT(ISERROR(SEARCH(("Problem"),(A416))))</formula>
    </cfRule>
    <cfRule type="containsText" dxfId="266" priority="758" operator="containsText" text="Problem">
      <formula>NOT(ISERROR(SEARCH(("Problem"),(A416))))</formula>
    </cfRule>
    <cfRule type="containsText" dxfId="265" priority="757" operator="containsText" text="Problem">
      <formula>NOT(ISERROR(SEARCH(("Problem"),(A416))))</formula>
    </cfRule>
  </conditionalFormatting>
  <conditionalFormatting sqref="A713:A768">
    <cfRule type="containsText" dxfId="264" priority="697" operator="containsText" text="Problem">
      <formula>NOT(ISERROR(SEARCH(("Problem"),(A713))))</formula>
    </cfRule>
    <cfRule type="containsText" dxfId="263" priority="698" operator="containsText" text="Problem">
      <formula>NOT(ISERROR(SEARCH(("Problem"),(A713))))</formula>
    </cfRule>
    <cfRule type="containsText" dxfId="262" priority="696" operator="containsText" text="Problem">
      <formula>NOT(ISERROR(SEARCH(("Problem"),(A713))))</formula>
    </cfRule>
  </conditionalFormatting>
  <conditionalFormatting sqref="G241">
    <cfRule type="containsText" dxfId="261" priority="202" operator="containsText" text="Problem">
      <formula>NOT(ISERROR(SEARCH(("Problem"),(G241))))</formula>
    </cfRule>
    <cfRule type="containsText" dxfId="260" priority="201" operator="containsText" text="Problem">
      <formula>NOT(ISERROR(SEARCH(("Problem"),(G241))))</formula>
    </cfRule>
    <cfRule type="containsText" dxfId="259" priority="203" operator="containsText" text="Problem">
      <formula>NOT(ISERROR(SEARCH(("Problem"),(G241))))</formula>
    </cfRule>
  </conditionalFormatting>
  <conditionalFormatting sqref="D708:D709 E683:H709">
    <cfRule type="containsText" dxfId="258" priority="511" operator="containsText" text="Problem">
      <formula>NOT(ISERROR(SEARCH(("Problem"),(D708))))</formula>
    </cfRule>
    <cfRule type="containsText" dxfId="257" priority="509" operator="containsText" text="Problem">
      <formula>NOT(ISERROR(SEARCH(("Problem"),(D708))))</formula>
    </cfRule>
    <cfRule type="containsText" dxfId="256" priority="510" operator="containsText" text="Problem">
      <formula>NOT(ISERROR(SEARCH(("Problem"),(D708))))</formula>
    </cfRule>
  </conditionalFormatting>
  <conditionalFormatting sqref="F5">
    <cfRule type="containsText" dxfId="255" priority="41" operator="containsText" text="Problem">
      <formula>NOT(ISERROR(SEARCH(("Problem"),(F5))))</formula>
    </cfRule>
    <cfRule type="containsText" dxfId="254" priority="40" operator="containsText" text="Problem">
      <formula>NOT(ISERROR(SEARCH(("Problem"),(F5))))</formula>
    </cfRule>
    <cfRule type="containsText" dxfId="253" priority="42" operator="containsText" text="Problem">
      <formula>NOT(ISERROR(SEARCH(("Problem"),(F5))))</formula>
    </cfRule>
  </conditionalFormatting>
  <conditionalFormatting sqref="A122:I122 A179:H179 I152:I179 J122:P179">
    <cfRule type="containsText" dxfId="252" priority="120" operator="containsText" text="Problem">
      <formula>NOT(ISERROR(SEARCH(("Problem"),(A122))))</formula>
    </cfRule>
    <cfRule type="containsText" dxfId="251" priority="119" operator="containsText" text="Problem">
      <formula>NOT(ISERROR(SEARCH(("Problem"),(A122))))</formula>
    </cfRule>
    <cfRule type="containsText" dxfId="250" priority="121" operator="containsText" text="Problem">
      <formula>NOT(ISERROR(SEARCH(("Problem"),(A122))))</formula>
    </cfRule>
  </conditionalFormatting>
  <conditionalFormatting sqref="D832:D859">
    <cfRule type="containsText" dxfId="249" priority="625" operator="containsText" text="Problem">
      <formula>NOT(ISERROR(SEARCH(("Problem"),(D832))))</formula>
    </cfRule>
    <cfRule type="containsText" dxfId="248" priority="624" operator="containsText" text="Problem">
      <formula>NOT(ISERROR(SEARCH(("Problem"),(D832))))</formula>
    </cfRule>
    <cfRule type="containsText" dxfId="247" priority="623" operator="containsText" text="Problem">
      <formula>NOT(ISERROR(SEARCH(("Problem"),(D832))))</formula>
    </cfRule>
  </conditionalFormatting>
  <conditionalFormatting sqref="C121 E121:I121">
    <cfRule type="containsText" dxfId="246" priority="730" operator="containsText" text="Problem">
      <formula>NOT(ISERROR(SEARCH(("Problem"),(C121))))</formula>
    </cfRule>
    <cfRule type="containsText" dxfId="245" priority="729" operator="containsText" text="Problem">
      <formula>NOT(ISERROR(SEARCH(("Problem"),(C121))))</formula>
    </cfRule>
    <cfRule type="containsText" dxfId="244" priority="731" operator="containsText" text="Problem">
      <formula>NOT(ISERROR(SEARCH(("Problem"),(C121))))</formula>
    </cfRule>
  </conditionalFormatting>
  <conditionalFormatting sqref="F123">
    <cfRule type="containsText" dxfId="243" priority="130" operator="containsText" text="Problem">
      <formula>NOT(ISERROR(SEARCH(("Problem"),(F123))))</formula>
    </cfRule>
    <cfRule type="containsText" dxfId="242" priority="129" operator="containsText" text="Problem">
      <formula>NOT(ISERROR(SEARCH(("Problem"),(F123))))</formula>
    </cfRule>
    <cfRule type="containsText" dxfId="241" priority="128" operator="containsText" text="Problem">
      <formula>NOT(ISERROR(SEARCH(("Problem"),(F123))))</formula>
    </cfRule>
  </conditionalFormatting>
  <conditionalFormatting sqref="D655:D682">
    <cfRule type="containsText" dxfId="240" priority="496" operator="containsText" text="Problem">
      <formula>NOT(ISERROR(SEARCH(("Problem"),(D655))))</formula>
    </cfRule>
    <cfRule type="containsText" dxfId="239" priority="495" operator="containsText" text="Problem">
      <formula>NOT(ISERROR(SEARCH(("Problem"),(D655))))</formula>
    </cfRule>
    <cfRule type="containsText" dxfId="238" priority="494" operator="containsText" text="Problem">
      <formula>NOT(ISERROR(SEARCH(("Problem"),(D655))))</formula>
    </cfRule>
  </conditionalFormatting>
  <conditionalFormatting sqref="E124:E151">
    <cfRule type="containsText" dxfId="237" priority="125" operator="containsText" text="Problem">
      <formula>NOT(ISERROR(SEARCH(("Problem"),(E124))))</formula>
    </cfRule>
    <cfRule type="containsText" dxfId="236" priority="126" operator="containsText" text="Problem">
      <formula>NOT(ISERROR(SEARCH(("Problem"),(E124))))</formula>
    </cfRule>
    <cfRule type="containsText" dxfId="235" priority="127" operator="containsText" text="Problem">
      <formula>NOT(ISERROR(SEARCH(("Problem"),(E124))))</formula>
    </cfRule>
  </conditionalFormatting>
  <conditionalFormatting sqref="I713">
    <cfRule type="containsText" dxfId="234" priority="542" operator="containsText" text="Problem">
      <formula>NOT(ISERROR(SEARCH(("Problem"),(I713))))</formula>
    </cfRule>
    <cfRule type="containsText" dxfId="233" priority="541" operator="containsText" text="Problem">
      <formula>NOT(ISERROR(SEARCH(("Problem"),(I713))))</formula>
    </cfRule>
    <cfRule type="containsText" dxfId="232" priority="540" operator="containsText" text="Problem">
      <formula>NOT(ISERROR(SEARCH(("Problem"),(I713))))</formula>
    </cfRule>
  </conditionalFormatting>
  <conditionalFormatting sqref="D506:D530">
    <cfRule type="containsText" dxfId="231" priority="372" operator="containsText" text="Problem">
      <formula>NOT(ISERROR(SEARCH(("Problem"),(D506))))</formula>
    </cfRule>
    <cfRule type="containsText" dxfId="230" priority="371" operator="containsText" text="Problem">
      <formula>NOT(ISERROR(SEARCH(("Problem"),(D506))))</formula>
    </cfRule>
  </conditionalFormatting>
  <conditionalFormatting sqref="B396:C396 B408:B411 B413:C414 C365:C395 C405:C411">
    <cfRule type="containsText" dxfId="229" priority="821" operator="containsText" text="Problem">
      <formula>NOT(ISERROR(SEARCH(("Problem"),(B396))))</formula>
    </cfRule>
    <cfRule type="containsText" dxfId="228" priority="820" operator="containsText" text="Problem">
      <formula>NOT(ISERROR(SEARCH(("Problem"),(B396))))</formula>
    </cfRule>
    <cfRule type="containsText" dxfId="227" priority="819" operator="containsText" text="Problem">
      <formula>NOT(ISERROR(SEARCH(("Problem"),(B396))))</formula>
    </cfRule>
  </conditionalFormatting>
  <conditionalFormatting sqref="F418">
    <cfRule type="containsText" dxfId="226" priority="345" operator="containsText" text="Problem">
      <formula>NOT(ISERROR(SEARCH(("Problem"),(F418))))</formula>
    </cfRule>
    <cfRule type="containsText" dxfId="225" priority="343" operator="containsText" text="Problem">
      <formula>NOT(ISERROR(SEARCH(("Problem"),(F418))))</formula>
    </cfRule>
    <cfRule type="containsText" dxfId="224" priority="344" operator="containsText" text="Problem">
      <formula>NOT(ISERROR(SEARCH(("Problem"),(F418))))</formula>
    </cfRule>
  </conditionalFormatting>
  <conditionalFormatting sqref="H360:H387">
    <cfRule type="containsText" dxfId="223" priority="270" operator="containsText" text="Problem">
      <formula>NOT(ISERROR(SEARCH(("Problem"),(H360))))</formula>
    </cfRule>
    <cfRule type="containsText" dxfId="222" priority="271" operator="containsText" text="Problem">
      <formula>NOT(ISERROR(SEARCH(("Problem"),(H360))))</formula>
    </cfRule>
    <cfRule type="containsText" dxfId="221" priority="272" operator="containsText" text="Problem">
      <formula>NOT(ISERROR(SEARCH(("Problem"),(H360))))</formula>
    </cfRule>
  </conditionalFormatting>
  <conditionalFormatting sqref="A889:C889 A946:P946 D889:D890 E889:I889 J889:P890 K891:P945">
    <cfRule type="containsText" dxfId="220" priority="35" operator="containsText" text="Problem">
      <formula>NOT(ISERROR(SEARCH(("Problem"),(A889))))</formula>
    </cfRule>
    <cfRule type="containsText" dxfId="219" priority="36" operator="containsText" text="Problem">
      <formula>NOT(ISERROR(SEARCH(("Problem"),(A889))))</formula>
    </cfRule>
    <cfRule type="containsText" dxfId="218" priority="34" operator="containsText" text="Problem">
      <formula>NOT(ISERROR(SEARCH(("Problem"),(A889))))</formula>
    </cfRule>
  </conditionalFormatting>
  <conditionalFormatting sqref="F359">
    <cfRule type="containsText" dxfId="217" priority="302" operator="containsText" text="Problem">
      <formula>NOT(ISERROR(SEARCH(("Problem"),(F359))))</formula>
    </cfRule>
    <cfRule type="containsText" dxfId="216" priority="301" operator="containsText" text="Problem">
      <formula>NOT(ISERROR(SEARCH(("Problem"),(F359))))</formula>
    </cfRule>
    <cfRule type="containsText" dxfId="215" priority="300" operator="containsText" text="Problem">
      <formula>NOT(ISERROR(SEARCH(("Problem"),(F359))))</formula>
    </cfRule>
  </conditionalFormatting>
  <conditionalFormatting sqref="H123">
    <cfRule type="containsText" dxfId="214" priority="102" operator="containsText" text="Problem">
      <formula>NOT(ISERROR(SEARCH(("Problem"),(H123))))</formula>
    </cfRule>
    <cfRule type="containsText" dxfId="213" priority="101" operator="containsText" text="Problem">
      <formula>NOT(ISERROR(SEARCH(("Problem"),(H123))))</formula>
    </cfRule>
    <cfRule type="containsText" dxfId="212" priority="103" operator="containsText" text="Problem">
      <formula>NOT(ISERROR(SEARCH(("Problem"),(H123))))</formula>
    </cfRule>
  </conditionalFormatting>
  <conditionalFormatting sqref="I359">
    <cfRule type="containsText" dxfId="211" priority="284" operator="containsText" text="Problem">
      <formula>NOT(ISERROR(SEARCH(("Problem"),(I359))))</formula>
    </cfRule>
    <cfRule type="containsText" dxfId="210" priority="282" operator="containsText" text="Problem">
      <formula>NOT(ISERROR(SEARCH(("Problem"),(I359))))</formula>
    </cfRule>
    <cfRule type="containsText" dxfId="209" priority="283" operator="containsText" text="Problem">
      <formula>NOT(ISERROR(SEARCH(("Problem"),(I359))))</formula>
    </cfRule>
  </conditionalFormatting>
  <conditionalFormatting sqref="B278:C278 B290:B293 B295:C296 C247:C277 C287:C293">
    <cfRule type="containsText" dxfId="208" priority="815" operator="containsText" text="Problem">
      <formula>NOT(ISERROR(SEARCH(("Problem"),(B278))))</formula>
    </cfRule>
    <cfRule type="containsText" dxfId="207" priority="814" operator="containsText" text="Problem">
      <formula>NOT(ISERROR(SEARCH(("Problem"),(B278))))</formula>
    </cfRule>
    <cfRule type="containsText" dxfId="206" priority="813" operator="containsText" text="Problem">
      <formula>NOT(ISERROR(SEARCH(("Problem"),(B278))))</formula>
    </cfRule>
  </conditionalFormatting>
  <conditionalFormatting sqref="I418">
    <cfRule type="containsText" dxfId="205" priority="325" operator="containsText" text="Problem">
      <formula>NOT(ISERROR(SEARCH(("Problem"),(I418))))</formula>
    </cfRule>
    <cfRule type="containsText" dxfId="204" priority="327" operator="containsText" text="Problem">
      <formula>NOT(ISERROR(SEARCH(("Problem"),(I418))))</formula>
    </cfRule>
    <cfRule type="containsText" dxfId="203" priority="326" operator="containsText" text="Problem">
      <formula>NOT(ISERROR(SEARCH(("Problem"),(I418))))</formula>
    </cfRule>
  </conditionalFormatting>
  <conditionalFormatting sqref="D124:D151">
    <cfRule type="containsText" dxfId="202" priority="108" operator="containsText" text="Problem">
      <formula>NOT(ISERROR(SEARCH(("Problem"),(D124))))</formula>
    </cfRule>
    <cfRule type="containsText" dxfId="201" priority="109" operator="containsText" text="Problem">
      <formula>NOT(ISERROR(SEARCH(("Problem"),(D124))))</formula>
    </cfRule>
    <cfRule type="containsText" dxfId="200" priority="107" operator="containsText" text="Problem">
      <formula>NOT(ISERROR(SEARCH(("Problem"),(D124))))</formula>
    </cfRule>
  </conditionalFormatting>
  <conditionalFormatting sqref="I478:I505">
    <cfRule type="containsText" dxfId="199" priority="398" operator="containsText" text="Problem">
      <formula>NOT(ISERROR(SEARCH(("Problem"),(I478))))</formula>
    </cfRule>
    <cfRule type="containsText" dxfId="198" priority="395" operator="containsText" text="Problem">
      <formula>NOT(ISERROR(SEARCH(("Problem"),(I478))))</formula>
    </cfRule>
    <cfRule type="containsText" dxfId="197" priority="397" operator="containsText" text="Problem">
      <formula>NOT(ISERROR(SEARCH(("Problem"),(I478))))</formula>
    </cfRule>
    <cfRule type="containsText" dxfId="196" priority="396" operator="containsText" text="Problem">
      <formula>NOT(ISERROR(SEARCH(("Problem"),(I478))))</formula>
    </cfRule>
  </conditionalFormatting>
  <conditionalFormatting sqref="D301:D328">
    <cfRule type="containsText" dxfId="195" priority="236" operator="containsText" text="Problem">
      <formula>NOT(ISERROR(SEARCH(("Problem"),(D301))))</formula>
    </cfRule>
    <cfRule type="containsText" dxfId="194" priority="237" operator="containsText" text="Problem">
      <formula>NOT(ISERROR(SEARCH(("Problem"),(D301))))</formula>
    </cfRule>
    <cfRule type="containsText" dxfId="193" priority="238" operator="containsText" text="Problem">
      <formula>NOT(ISERROR(SEARCH(("Problem"),(D301))))</formula>
    </cfRule>
  </conditionalFormatting>
  <conditionalFormatting sqref="A123:A178">
    <cfRule type="containsText" dxfId="192" priority="668" operator="containsText" text="Problem">
      <formula>NOT(ISERROR(SEARCH(("Problem"),(A123))))</formula>
    </cfRule>
    <cfRule type="containsText" dxfId="191" priority="666" operator="containsText" text="Problem">
      <formula>NOT(ISERROR(SEARCH(("Problem"),(A123))))</formula>
    </cfRule>
    <cfRule type="containsText" dxfId="190" priority="667" operator="containsText" text="Problem">
      <formula>NOT(ISERROR(SEARCH(("Problem"),(A123))))</formula>
    </cfRule>
  </conditionalFormatting>
  <conditionalFormatting sqref="D359">
    <cfRule type="containsText" dxfId="189" priority="290" operator="containsText" text="Problem">
      <formula>NOT(ISERROR(SEARCH(("Problem"),(D359))))</formula>
    </cfRule>
  </conditionalFormatting>
  <conditionalFormatting sqref="G477">
    <cfRule type="containsText" dxfId="188" priority="374" operator="containsText" text="Problem">
      <formula>NOT(ISERROR(SEARCH(("Problem"),(G477))))</formula>
    </cfRule>
    <cfRule type="containsText" dxfId="187" priority="373" operator="containsText" text="Problem">
      <formula>NOT(ISERROR(SEARCH(("Problem"),(G477))))</formula>
    </cfRule>
    <cfRule type="containsText" dxfId="186" priority="375" operator="containsText" text="Problem">
      <formula>NOT(ISERROR(SEARCH(("Problem"),(G477))))</formula>
    </cfRule>
  </conditionalFormatting>
  <conditionalFormatting sqref="I5">
    <cfRule type="containsText" dxfId="185" priority="17" operator="containsText" text="Problem">
      <formula>NOT(ISERROR(SEARCH(("Problem"),(I5))))</formula>
    </cfRule>
    <cfRule type="containsText" dxfId="184" priority="18" operator="containsText" text="Problem">
      <formula>NOT(ISERROR(SEARCH(("Problem"),(I5))))</formula>
    </cfRule>
    <cfRule type="containsText" dxfId="183" priority="16" operator="containsText" text="Problem">
      <formula>NOT(ISERROR(SEARCH(("Problem"),(I5))))</formula>
    </cfRule>
  </conditionalFormatting>
  <conditionalFormatting sqref="E536">
    <cfRule type="containsText" dxfId="182" priority="432" operator="containsText" text="Problem">
      <formula>NOT(ISERROR(SEARCH(("Problem"),(E536))))</formula>
    </cfRule>
    <cfRule type="containsText" dxfId="181" priority="433" operator="containsText" text="Problem">
      <formula>NOT(ISERROR(SEARCH(("Problem"),(E536))))</formula>
    </cfRule>
    <cfRule type="containsText" dxfId="180" priority="434" operator="containsText" text="Problem">
      <formula>NOT(ISERROR(SEARCH(("Problem"),(E536))))</formula>
    </cfRule>
  </conditionalFormatting>
  <conditionalFormatting sqref="D123">
    <cfRule type="containsText" dxfId="179" priority="118" operator="containsText" text="Problem">
      <formula>NOT(ISERROR(SEARCH(("Problem"),(D123))))</formula>
    </cfRule>
  </conditionalFormatting>
  <conditionalFormatting sqref="B632:C632 B644:B647 B649:C650 C601:C631 C641:C647">
    <cfRule type="containsText" dxfId="178" priority="833" operator="containsText" text="Problem">
      <formula>NOT(ISERROR(SEARCH(("Problem"),(B632))))</formula>
    </cfRule>
    <cfRule type="containsText" dxfId="177" priority="831" operator="containsText" text="Problem">
      <formula>NOT(ISERROR(SEARCH(("Problem"),(B632))))</formula>
    </cfRule>
    <cfRule type="containsText" dxfId="176" priority="832" operator="containsText" text="Problem">
      <formula>NOT(ISERROR(SEARCH(("Problem"),(B632))))</formula>
    </cfRule>
  </conditionalFormatting>
  <conditionalFormatting sqref="D624:D648">
    <cfRule type="containsText" dxfId="175" priority="458" operator="containsText" text="Problem">
      <formula>NOT(ISERROR(SEARCH(("Problem"),(D624))))</formula>
    </cfRule>
    <cfRule type="containsText" dxfId="174" priority="457" operator="containsText" text="Problem">
      <formula>NOT(ISERROR(SEARCH(("Problem"),(D624))))</formula>
    </cfRule>
  </conditionalFormatting>
  <conditionalFormatting sqref="B868:C868 B880:B883 B885:C886 C837:C867 C877:C883">
    <cfRule type="containsText" dxfId="173" priority="845" operator="containsText" text="Problem">
      <formula>NOT(ISERROR(SEARCH(("Problem"),(B868))))</formula>
    </cfRule>
    <cfRule type="containsText" dxfId="172" priority="844" operator="containsText" text="Problem">
      <formula>NOT(ISERROR(SEARCH(("Problem"),(B868))))</formula>
    </cfRule>
    <cfRule type="containsText" dxfId="171" priority="843" operator="containsText" text="Problem">
      <formula>NOT(ISERROR(SEARCH(("Problem"),(B868))))</formula>
    </cfRule>
  </conditionalFormatting>
  <conditionalFormatting sqref="H183:H210">
    <cfRule type="containsText" dxfId="170" priority="141" operator="containsText" text="Problem">
      <formula>NOT(ISERROR(SEARCH(("Problem"),(H183))))</formula>
    </cfRule>
    <cfRule type="containsText" dxfId="169" priority="142" operator="containsText" text="Problem">
      <formula>NOT(ISERROR(SEARCH(("Problem"),(H183))))</formula>
    </cfRule>
    <cfRule type="containsText" dxfId="168" priority="143" operator="containsText" text="Problem">
      <formula>NOT(ISERROR(SEARCH(("Problem"),(H183))))</formula>
    </cfRule>
  </conditionalFormatting>
  <conditionalFormatting sqref="D65:D92">
    <cfRule type="containsText" dxfId="167" priority="64" operator="containsText" text="Problem">
      <formula>NOT(ISERROR(SEARCH(("Problem"),(D65))))</formula>
    </cfRule>
    <cfRule type="containsText" dxfId="166" priority="65" operator="containsText" text="Problem">
      <formula>NOT(ISERROR(SEARCH(("Problem"),(D65))))</formula>
    </cfRule>
    <cfRule type="containsText" dxfId="165" priority="66" operator="containsText" text="Problem">
      <formula>NOT(ISERROR(SEARCH(("Problem"),(D65))))</formula>
    </cfRule>
  </conditionalFormatting>
  <conditionalFormatting sqref="C357 E357:I357">
    <cfRule type="containsText" dxfId="164" priority="753" operator="containsText" text="Problem">
      <formula>NOT(ISERROR(SEARCH(("Problem"),(C357))))</formula>
    </cfRule>
    <cfRule type="containsText" dxfId="163" priority="755" operator="containsText" text="Problem">
      <formula>NOT(ISERROR(SEARCH(("Problem"),(C357))))</formula>
    </cfRule>
    <cfRule type="containsText" dxfId="162" priority="754" operator="containsText" text="Problem">
      <formula>NOT(ISERROR(SEARCH(("Problem"),(C357))))</formula>
    </cfRule>
  </conditionalFormatting>
  <conditionalFormatting sqref="A654:A709">
    <cfRule type="containsText" dxfId="161" priority="694" operator="containsText" text="Problem">
      <formula>NOT(ISERROR(SEARCH(("Problem"),(A654))))</formula>
    </cfRule>
    <cfRule type="containsText" dxfId="160" priority="693" operator="containsText" text="Problem">
      <formula>NOT(ISERROR(SEARCH(("Problem"),(A654))))</formula>
    </cfRule>
    <cfRule type="containsText" dxfId="159" priority="695" operator="containsText" text="Problem">
      <formula>NOT(ISERROR(SEARCH(("Problem"),(A654))))</formula>
    </cfRule>
  </conditionalFormatting>
  <conditionalFormatting sqref="C180 E180:I180">
    <cfRule type="containsText" dxfId="158" priority="736" operator="containsText" text="Problem">
      <formula>NOT(ISERROR(SEARCH(("Problem"),(C180))))</formula>
    </cfRule>
    <cfRule type="containsText" dxfId="157" priority="737" operator="containsText" text="Problem">
      <formula>NOT(ISERROR(SEARCH(("Problem"),(C180))))</formula>
    </cfRule>
    <cfRule type="containsText" dxfId="156" priority="735" operator="containsText" text="Problem">
      <formula>NOT(ISERROR(SEARCH(("Problem"),(C180))))</formula>
    </cfRule>
  </conditionalFormatting>
  <conditionalFormatting sqref="A711 J711:P711">
    <cfRule type="containsText" dxfId="155" priority="787" operator="containsText" text="Problem">
      <formula>NOT(ISERROR(SEARCH(("Problem"),(A711))))</formula>
    </cfRule>
    <cfRule type="containsText" dxfId="154" priority="786" operator="containsText" text="Problem">
      <formula>NOT(ISERROR(SEARCH(("Problem"),(A711))))</formula>
    </cfRule>
    <cfRule type="containsText" dxfId="153" priority="788" operator="containsText" text="Problem">
      <formula>NOT(ISERROR(SEARCH(("Problem"),(A711))))</formula>
    </cfRule>
  </conditionalFormatting>
  <conditionalFormatting sqref="D64">
    <cfRule type="containsText" dxfId="152" priority="75" operator="containsText" text="Problem">
      <formula>NOT(ISERROR(SEARCH(("Problem"),(D64))))</formula>
    </cfRule>
  </conditionalFormatting>
  <conditionalFormatting sqref="G124:G151">
    <cfRule type="containsText" dxfId="151" priority="105" operator="containsText" text="Problem">
      <formula>NOT(ISERROR(SEARCH(("Problem"),(G124))))</formula>
    </cfRule>
    <cfRule type="containsText" dxfId="150" priority="106" operator="containsText" text="Problem">
      <formula>NOT(ISERROR(SEARCH(("Problem"),(G124))))</formula>
    </cfRule>
    <cfRule type="containsText" dxfId="149" priority="104" operator="containsText" text="Problem">
      <formula>NOT(ISERROR(SEARCH(("Problem"),(G124))))</formula>
    </cfRule>
  </conditionalFormatting>
  <conditionalFormatting sqref="A357 J357:P357">
    <cfRule type="containsText" dxfId="148" priority="750" operator="containsText" text="Problem">
      <formula>NOT(ISERROR(SEARCH(("Problem"),(A357))))</formula>
    </cfRule>
    <cfRule type="containsText" dxfId="147" priority="751" operator="containsText" text="Problem">
      <formula>NOT(ISERROR(SEARCH(("Problem"),(A357))))</formula>
    </cfRule>
    <cfRule type="containsText" dxfId="146" priority="752" operator="containsText" text="Problem">
      <formula>NOT(ISERROR(SEARCH(("Problem"),(A357))))</formula>
    </cfRule>
  </conditionalFormatting>
  <conditionalFormatting sqref="E890:I890">
    <cfRule type="containsText" dxfId="145" priority="710" operator="containsText" text="Problem">
      <formula>NOT(ISERROR(SEARCH(("Problem"),(E890))))</formula>
    </cfRule>
    <cfRule type="containsText" dxfId="144" priority="709" operator="containsText" text="Problem">
      <formula>NOT(ISERROR(SEARCH(("Problem"),(E890))))</formula>
    </cfRule>
    <cfRule type="containsText" dxfId="143" priority="708" operator="containsText" text="Problem">
      <formula>NOT(ISERROR(SEARCH(("Problem"),(E890))))</formula>
    </cfRule>
  </conditionalFormatting>
  <conditionalFormatting sqref="G301:G328">
    <cfRule type="containsText" dxfId="142" priority="233" operator="containsText" text="Problem">
      <formula>NOT(ISERROR(SEARCH(("Problem"),(G301))))</formula>
    </cfRule>
    <cfRule type="containsText" dxfId="141" priority="235" operator="containsText" text="Problem">
      <formula>NOT(ISERROR(SEARCH(("Problem"),(G301))))</formula>
    </cfRule>
    <cfRule type="containsText" dxfId="140" priority="234" operator="containsText" text="Problem">
      <formula>NOT(ISERROR(SEARCH(("Problem"),(G301))))</formula>
    </cfRule>
  </conditionalFormatting>
  <conditionalFormatting sqref="A593 J593:P593">
    <cfRule type="containsText" dxfId="139" priority="774" operator="containsText" text="Problem">
      <formula>NOT(ISERROR(SEARCH(("Problem"),(A593))))</formula>
    </cfRule>
    <cfRule type="containsText" dxfId="138" priority="775" operator="containsText" text="Problem">
      <formula>NOT(ISERROR(SEARCH(("Problem"),(A593))))</formula>
    </cfRule>
    <cfRule type="containsText" dxfId="137" priority="776" operator="containsText" text="Problem">
      <formula>NOT(ISERROR(SEARCH(("Problem"),(A593))))</formula>
    </cfRule>
  </conditionalFormatting>
  <conditionalFormatting sqref="C829 E829:I829">
    <cfRule type="containsText" dxfId="136" priority="803" operator="containsText" text="Problem">
      <formula>NOT(ISERROR(SEARCH(("Problem"),(C829))))</formula>
    </cfRule>
    <cfRule type="containsText" dxfId="135" priority="801" operator="containsText" text="Problem">
      <formula>NOT(ISERROR(SEARCH(("Problem"),(C829))))</formula>
    </cfRule>
    <cfRule type="containsText" dxfId="134" priority="802" operator="containsText" text="Problem">
      <formula>NOT(ISERROR(SEARCH(("Problem"),(C829))))</formula>
    </cfRule>
  </conditionalFormatting>
  <conditionalFormatting sqref="F182">
    <cfRule type="containsText" dxfId="133" priority="172" operator="containsText" text="Problem">
      <formula>NOT(ISERROR(SEARCH(("Problem"),(F182))))</formula>
    </cfRule>
    <cfRule type="containsText" dxfId="132" priority="171" operator="containsText" text="Problem">
      <formula>NOT(ISERROR(SEARCH(("Problem"),(F182))))</formula>
    </cfRule>
    <cfRule type="containsText" dxfId="131" priority="173" operator="containsText" text="Problem">
      <formula>NOT(ISERROR(SEARCH(("Problem"),(F182))))</formula>
    </cfRule>
  </conditionalFormatting>
  <conditionalFormatting sqref="I419:I446">
    <cfRule type="containsText" dxfId="130" priority="353" operator="containsText" text="Problem">
      <formula>NOT(ISERROR(SEARCH(("Problem"),(I419))))</formula>
    </cfRule>
    <cfRule type="containsText" dxfId="129" priority="352" operator="containsText" text="Problem">
      <formula>NOT(ISERROR(SEARCH(("Problem"),(I419))))</formula>
    </cfRule>
    <cfRule type="containsText" dxfId="128" priority="354" operator="containsText" text="Problem">
      <formula>NOT(ISERROR(SEARCH(("Problem"),(I419))))</formula>
    </cfRule>
    <cfRule type="containsText" dxfId="127" priority="355" operator="containsText" text="Problem">
      <formula>NOT(ISERROR(SEARCH(("Problem"),(I419))))</formula>
    </cfRule>
  </conditionalFormatting>
  <conditionalFormatting sqref="F183:F210">
    <cfRule type="containsText" dxfId="126" priority="178" operator="containsText" text="Problem">
      <formula>NOT(ISERROR(SEARCH(("Problem"),(F183))))</formula>
    </cfRule>
    <cfRule type="containsText" dxfId="125" priority="179" operator="containsText" text="Problem">
      <formula>NOT(ISERROR(SEARCH(("Problem"),(F183))))</formula>
    </cfRule>
    <cfRule type="containsText" dxfId="124" priority="177" operator="containsText" text="Problem">
      <formula>NOT(ISERROR(SEARCH(("Problem"),(F183))))</formula>
    </cfRule>
  </conditionalFormatting>
  <conditionalFormatting sqref="B927:C927 B939:B942 B944:C945 C896:C926 C936:C942">
    <cfRule type="containsText" dxfId="123" priority="848" operator="containsText" text="Problem">
      <formula>NOT(ISERROR(SEARCH(("Problem"),(B927))))</formula>
    </cfRule>
    <cfRule type="containsText" dxfId="122" priority="846" operator="containsText" text="Problem">
      <formula>NOT(ISERROR(SEARCH(("Problem"),(B927))))</formula>
    </cfRule>
    <cfRule type="containsText" dxfId="121" priority="847" operator="containsText" text="Problem">
      <formula>NOT(ISERROR(SEARCH(("Problem"),(B927))))</formula>
    </cfRule>
  </conditionalFormatting>
  <conditionalFormatting sqref="I182">
    <cfRule type="containsText" dxfId="120" priority="154" operator="containsText" text="Problem">
      <formula>NOT(ISERROR(SEARCH(("Problem"),(I182))))</formula>
    </cfRule>
    <cfRule type="containsText" dxfId="119" priority="155" operator="containsText" text="Problem">
      <formula>NOT(ISERROR(SEARCH(("Problem"),(I182))))</formula>
    </cfRule>
    <cfRule type="containsText" dxfId="118" priority="153" operator="containsText" text="Problem">
      <formula>NOT(ISERROR(SEARCH(("Problem"),(I182))))</formula>
    </cfRule>
  </conditionalFormatting>
  <conditionalFormatting sqref="D826:D827 E801:H827">
    <cfRule type="containsText" dxfId="117" priority="596" operator="containsText" text="Problem">
      <formula>NOT(ISERROR(SEARCH(("Problem"),(D826))))</formula>
    </cfRule>
    <cfRule type="containsText" dxfId="116" priority="597" operator="containsText" text="Problem">
      <formula>NOT(ISERROR(SEARCH(("Problem"),(D826))))</formula>
    </cfRule>
    <cfRule type="containsText" dxfId="115" priority="595" operator="containsText" text="Problem">
      <formula>NOT(ISERROR(SEARCH(("Problem"),(D826))))</formula>
    </cfRule>
  </conditionalFormatting>
  <conditionalFormatting sqref="C534 E534:I534">
    <cfRule type="containsText" dxfId="114" priority="772" operator="containsText" text="Problem">
      <formula>NOT(ISERROR(SEARCH(("Problem"),(C534))))</formula>
    </cfRule>
    <cfRule type="containsText" dxfId="113" priority="771" operator="containsText" text="Problem">
      <formula>NOT(ISERROR(SEARCH(("Problem"),(C534))))</formula>
    </cfRule>
    <cfRule type="containsText" dxfId="112" priority="773" operator="containsText" text="Problem">
      <formula>NOT(ISERROR(SEARCH(("Problem"),(C534))))</formula>
    </cfRule>
  </conditionalFormatting>
  <conditionalFormatting sqref="I64">
    <cfRule type="containsText" dxfId="111" priority="68" operator="containsText" text="Problem">
      <formula>NOT(ISERROR(SEARCH(("Problem"),(I64))))</formula>
    </cfRule>
    <cfRule type="containsText" dxfId="110" priority="67" operator="containsText" text="Problem">
      <formula>NOT(ISERROR(SEARCH(("Problem"),(I64))))</formula>
    </cfRule>
    <cfRule type="containsText" dxfId="109" priority="69" operator="containsText" text="Problem">
      <formula>NOT(ISERROR(SEARCH(("Problem"),(I64))))</formula>
    </cfRule>
  </conditionalFormatting>
  <conditionalFormatting sqref="D683:D707">
    <cfRule type="containsText" dxfId="108" priority="500" operator="containsText" text="Problem">
      <formula>NOT(ISERROR(SEARCH(("Problem"),(D683))))</formula>
    </cfRule>
    <cfRule type="containsText" dxfId="107" priority="501" operator="containsText" text="Problem">
      <formula>NOT(ISERROR(SEARCH(("Problem"),(D683))))</formula>
    </cfRule>
  </conditionalFormatting>
  <conditionalFormatting sqref="D93:D117">
    <cfRule type="containsText" dxfId="106" priority="70" operator="containsText" text="Problem">
      <formula>NOT(ISERROR(SEARCH(("Problem"),(D93))))</formula>
    </cfRule>
    <cfRule type="containsText" dxfId="105" priority="71" operator="containsText" text="Problem">
      <formula>NOT(ISERROR(SEARCH(("Problem"),(D93))))</formula>
    </cfRule>
  </conditionalFormatting>
  <conditionalFormatting sqref="F419:F446">
    <cfRule type="containsText" dxfId="104" priority="350" operator="containsText" text="Problem">
      <formula>NOT(ISERROR(SEARCH(("Problem"),(F419))))</formula>
    </cfRule>
    <cfRule type="containsText" dxfId="103" priority="351" operator="containsText" text="Problem">
      <formula>NOT(ISERROR(SEARCH(("Problem"),(F419))))</formula>
    </cfRule>
    <cfRule type="containsText" dxfId="102" priority="349" operator="containsText" text="Problem">
      <formula>NOT(ISERROR(SEARCH(("Problem"),(F419))))</formula>
    </cfRule>
  </conditionalFormatting>
  <conditionalFormatting sqref="A64:A119">
    <cfRule type="containsText" dxfId="101" priority="665" operator="containsText" text="Problem">
      <formula>NOT(ISERROR(SEARCH(("Problem"),(A64))))</formula>
    </cfRule>
    <cfRule type="containsText" dxfId="100" priority="663" operator="containsText" text="Problem">
      <formula>NOT(ISERROR(SEARCH(("Problem"),(A64))))</formula>
    </cfRule>
    <cfRule type="containsText" dxfId="99" priority="664" operator="containsText" text="Problem">
      <formula>NOT(ISERROR(SEARCH(("Problem"),(A64))))</formula>
    </cfRule>
  </conditionalFormatting>
  <conditionalFormatting sqref="F301:F328">
    <cfRule type="containsText" dxfId="98" priority="263" operator="containsText" text="Problem">
      <formula>NOT(ISERROR(SEARCH(("Problem"),(F301))))</formula>
    </cfRule>
    <cfRule type="containsText" dxfId="97" priority="265" operator="containsText" text="Problem">
      <formula>NOT(ISERROR(SEARCH(("Problem"),(F301))))</formula>
    </cfRule>
    <cfRule type="containsText" dxfId="96" priority="264" operator="containsText" text="Problem">
      <formula>NOT(ISERROR(SEARCH(("Problem"),(F301))))</formula>
    </cfRule>
  </conditionalFormatting>
  <conditionalFormatting sqref="H596:H623">
    <cfRule type="containsText" dxfId="95" priority="442" operator="containsText" text="Problem">
      <formula>NOT(ISERROR(SEARCH(("Problem"),(H596))))</formula>
    </cfRule>
    <cfRule type="containsText" dxfId="94" priority="443" operator="containsText" text="Problem">
      <formula>NOT(ISERROR(SEARCH(("Problem"),(H596))))</formula>
    </cfRule>
    <cfRule type="containsText" dxfId="93" priority="444" operator="containsText" text="Problem">
      <formula>NOT(ISERROR(SEARCH(("Problem"),(H596))))</formula>
    </cfRule>
  </conditionalFormatting>
  <conditionalFormatting sqref="H65:H92">
    <cfRule type="containsText" dxfId="92" priority="57" operator="containsText" text="Problem">
      <formula>NOT(ISERROR(SEARCH(("Problem"),(H65))))</formula>
    </cfRule>
    <cfRule type="containsText" dxfId="91" priority="56" operator="containsText" text="Problem">
      <formula>NOT(ISERROR(SEARCH(("Problem"),(H65))))</formula>
    </cfRule>
    <cfRule type="containsText" dxfId="90" priority="55" operator="containsText" text="Problem">
      <formula>NOT(ISERROR(SEARCH(("Problem"),(H65))))</formula>
    </cfRule>
  </conditionalFormatting>
  <conditionalFormatting sqref="D713">
    <cfRule type="containsText" dxfId="89" priority="548" operator="containsText" text="Problem">
      <formula>NOT(ISERROR(SEARCH(("Problem"),(D713))))</formula>
    </cfRule>
  </conditionalFormatting>
  <conditionalFormatting sqref="C298 E298:I298">
    <cfRule type="containsText" dxfId="88" priority="748" operator="containsText" text="Problem">
      <formula>NOT(ISERROR(SEARCH(("Problem"),(C298))))</formula>
    </cfRule>
    <cfRule type="containsText" dxfId="87" priority="749" operator="containsText" text="Problem">
      <formula>NOT(ISERROR(SEARCH(("Problem"),(C298))))</formula>
    </cfRule>
    <cfRule type="containsText" dxfId="86" priority="747" operator="containsText" text="Problem">
      <formula>NOT(ISERROR(SEARCH(("Problem"),(C298))))</formula>
    </cfRule>
  </conditionalFormatting>
  <conditionalFormatting sqref="H5">
    <cfRule type="containsText" dxfId="85" priority="9" operator="containsText" text="Problem">
      <formula>NOT(ISERROR(SEARCH(("Problem"),(H5))))</formula>
    </cfRule>
    <cfRule type="containsText" dxfId="84" priority="7" operator="containsText" text="Problem">
      <formula>NOT(ISERROR(SEARCH(("Problem"),(H5))))</formula>
    </cfRule>
    <cfRule type="containsText" dxfId="83" priority="8" operator="containsText" text="Problem">
      <formula>NOT(ISERROR(SEARCH(("Problem"),(H5))))</formula>
    </cfRule>
  </conditionalFormatting>
  <conditionalFormatting sqref="B101:C101 B113:B116 B118:C119 C70:C100 C110:C116">
    <cfRule type="containsText" dxfId="82" priority="805" operator="containsText" text="Problem">
      <formula>NOT(ISERROR(SEARCH(("Problem"),(B101))))</formula>
    </cfRule>
    <cfRule type="containsText" dxfId="81" priority="806" operator="containsText" text="Problem">
      <formula>NOT(ISERROR(SEARCH(("Problem"),(B101))))</formula>
    </cfRule>
    <cfRule type="containsText" dxfId="80" priority="804" operator="containsText" text="Problem">
      <formula>NOT(ISERROR(SEARCH(("Problem"),(B101))))</formula>
    </cfRule>
  </conditionalFormatting>
  <conditionalFormatting sqref="E301:E328">
    <cfRule type="containsText" dxfId="79" priority="255" operator="containsText" text="Problem">
      <formula>NOT(ISERROR(SEARCH(("Problem"),(E301))))</formula>
    </cfRule>
    <cfRule type="containsText" dxfId="78" priority="254" operator="containsText" text="Problem">
      <formula>NOT(ISERROR(SEARCH(("Problem"),(E301))))</formula>
    </cfRule>
    <cfRule type="containsText" dxfId="77" priority="256" operator="containsText" text="Problem">
      <formula>NOT(ISERROR(SEARCH(("Problem"),(E301))))</formula>
    </cfRule>
  </conditionalFormatting>
  <conditionalFormatting sqref="F536">
    <cfRule type="containsText" dxfId="76" priority="429" operator="containsText" text="Problem">
      <formula>NOT(ISERROR(SEARCH(("Problem"),(F536))))</formula>
    </cfRule>
    <cfRule type="containsText" dxfId="75" priority="431" operator="containsText" text="Problem">
      <formula>NOT(ISERROR(SEARCH(("Problem"),(F536))))</formula>
    </cfRule>
    <cfRule type="containsText" dxfId="74" priority="430" operator="containsText" text="Problem">
      <formula>NOT(ISERROR(SEARCH(("Problem"),(F536))))</formula>
    </cfRule>
  </conditionalFormatting>
  <conditionalFormatting sqref="H359">
    <cfRule type="containsText" dxfId="73" priority="273" operator="containsText" text="Problem">
      <formula>NOT(ISERROR(SEARCH(("Problem"),(H359))))</formula>
    </cfRule>
    <cfRule type="containsText" dxfId="72" priority="275" operator="containsText" text="Problem">
      <formula>NOT(ISERROR(SEARCH(("Problem"),(H359))))</formula>
    </cfRule>
    <cfRule type="containsText" dxfId="71" priority="274" operator="containsText" text="Problem">
      <formula>NOT(ISERROR(SEARCH(("Problem"),(H359))))</formula>
    </cfRule>
  </conditionalFormatting>
  <conditionalFormatting sqref="D241">
    <cfRule type="containsText" dxfId="70" priority="204" operator="containsText" text="Problem">
      <formula>NOT(ISERROR(SEARCH(("Problem"),(D241))))</formula>
    </cfRule>
  </conditionalFormatting>
  <conditionalFormatting sqref="B455:C455 B467:B470 B472:C473 C424:C454 C464:C470">
    <cfRule type="containsText" dxfId="69" priority="822" operator="containsText" text="Problem">
      <formula>NOT(ISERROR(SEARCH(("Problem"),(B455))))</formula>
    </cfRule>
    <cfRule type="containsText" dxfId="68" priority="823" operator="containsText" text="Problem">
      <formula>NOT(ISERROR(SEARCH(("Problem"),(B455))))</formula>
    </cfRule>
    <cfRule type="containsText" dxfId="67" priority="824" operator="containsText" text="Problem">
      <formula>NOT(ISERROR(SEARCH(("Problem"),(B455))))</formula>
    </cfRule>
  </conditionalFormatting>
  <conditionalFormatting sqref="E419:E446">
    <cfRule type="containsText" dxfId="66" priority="342" operator="containsText" text="Problem">
      <formula>NOT(ISERROR(SEARCH(("Problem"),(E419))))</formula>
    </cfRule>
    <cfRule type="containsText" dxfId="65" priority="340" operator="containsText" text="Problem">
      <formula>NOT(ISERROR(SEARCH(("Problem"),(E419))))</formula>
    </cfRule>
    <cfRule type="containsText" dxfId="64" priority="341" operator="containsText" text="Problem">
      <formula>NOT(ISERROR(SEARCH(("Problem"),(E419))))</formula>
    </cfRule>
  </conditionalFormatting>
  <conditionalFormatting sqref="D360:D387">
    <cfRule type="containsText" dxfId="63" priority="281" operator="containsText" text="Problem">
      <formula>NOT(ISERROR(SEARCH(("Problem"),(D360))))</formula>
    </cfRule>
    <cfRule type="containsText" dxfId="62" priority="280" operator="containsText" text="Problem">
      <formula>NOT(ISERROR(SEARCH(("Problem"),(D360))))</formula>
    </cfRule>
    <cfRule type="containsText" dxfId="61" priority="279" operator="containsText" text="Problem">
      <formula>NOT(ISERROR(SEARCH(("Problem"),(D360))))</formula>
    </cfRule>
  </conditionalFormatting>
  <conditionalFormatting sqref="D300">
    <cfRule type="containsText" dxfId="60" priority="247" operator="containsText" text="Problem">
      <formula>NOT(ISERROR(SEARCH(("Problem"),(D300))))</formula>
    </cfRule>
  </conditionalFormatting>
  <conditionalFormatting sqref="A652 J652:P652">
    <cfRule type="containsText" dxfId="59" priority="781" operator="containsText" text="Problem">
      <formula>NOT(ISERROR(SEARCH(("Problem"),(A652))))</formula>
    </cfRule>
    <cfRule type="containsText" dxfId="58" priority="782" operator="containsText" text="Problem">
      <formula>NOT(ISERROR(SEARCH(("Problem"),(A652))))</formula>
    </cfRule>
    <cfRule type="containsText" dxfId="57" priority="780" operator="containsText" text="Problem">
      <formula>NOT(ISERROR(SEARCH(("Problem"),(A652))))</formula>
    </cfRule>
  </conditionalFormatting>
  <conditionalFormatting sqref="E831">
    <cfRule type="containsText" dxfId="56" priority="649" operator="containsText" text="Problem">
      <formula>NOT(ISERROR(SEARCH(("Problem"),(E831))))</formula>
    </cfRule>
    <cfRule type="containsText" dxfId="55" priority="648" operator="containsText" text="Problem">
      <formula>NOT(ISERROR(SEARCH(("Problem"),(E831))))</formula>
    </cfRule>
    <cfRule type="containsText" dxfId="54" priority="647" operator="containsText" text="Problem">
      <formula>NOT(ISERROR(SEARCH(("Problem"),(E831))))</formula>
    </cfRule>
  </conditionalFormatting>
  <conditionalFormatting sqref="G537:G564">
    <cfRule type="containsText" dxfId="53" priority="405" operator="containsText" text="Problem">
      <formula>NOT(ISERROR(SEARCH(("Problem"),(G537))))</formula>
    </cfRule>
    <cfRule type="containsText" dxfId="52" priority="407" operator="containsText" text="Problem">
      <formula>NOT(ISERROR(SEARCH(("Problem"),(G537))))</formula>
    </cfRule>
    <cfRule type="containsText" dxfId="51" priority="406" operator="containsText" text="Problem">
      <formula>NOT(ISERROR(SEARCH(("Problem"),(G537))))</formula>
    </cfRule>
  </conditionalFormatting>
  <conditionalFormatting sqref="G360:G387">
    <cfRule type="containsText" dxfId="50" priority="277" operator="containsText" text="Problem">
      <formula>NOT(ISERROR(SEARCH(("Problem"),(G360))))</formula>
    </cfRule>
    <cfRule type="containsText" dxfId="49" priority="276" operator="containsText" text="Problem">
      <formula>NOT(ISERROR(SEARCH(("Problem"),(G360))))</formula>
    </cfRule>
    <cfRule type="containsText" dxfId="48" priority="278" operator="containsText" text="Problem">
      <formula>NOT(ISERROR(SEARCH(("Problem"),(G360))))</formula>
    </cfRule>
  </conditionalFormatting>
  <conditionalFormatting sqref="G773:G800">
    <cfRule type="containsText" dxfId="47" priority="578" operator="containsText" text="Problem">
      <formula>NOT(ISERROR(SEARCH(("Problem"),(G773))))</formula>
    </cfRule>
    <cfRule type="containsText" dxfId="46" priority="579" operator="containsText" text="Problem">
      <formula>NOT(ISERROR(SEARCH(("Problem"),(G773))))</formula>
    </cfRule>
    <cfRule type="containsText" dxfId="45" priority="577" operator="containsText" text="Problem">
      <formula>NOT(ISERROR(SEARCH(("Problem"),(G773))))</formula>
    </cfRule>
  </conditionalFormatting>
  <conditionalFormatting sqref="D831">
    <cfRule type="containsText" dxfId="44" priority="634" operator="containsText" text="Problem">
      <formula>NOT(ISERROR(SEARCH(("Problem"),(D831))))</formula>
    </cfRule>
  </conditionalFormatting>
  <conditionalFormatting sqref="A595:A650">
    <cfRule type="containsText" dxfId="43" priority="692" operator="containsText" text="Problem">
      <formula>NOT(ISERROR(SEARCH(("Problem"),(A595))))</formula>
    </cfRule>
    <cfRule type="containsText" dxfId="42" priority="690" operator="containsText" text="Problem">
      <formula>NOT(ISERROR(SEARCH(("Problem"),(A595))))</formula>
    </cfRule>
    <cfRule type="containsText" dxfId="41" priority="691" operator="containsText" text="Problem">
      <formula>NOT(ISERROR(SEARCH(("Problem"),(A595))))</formula>
    </cfRule>
  </conditionalFormatting>
  <conditionalFormatting sqref="G595">
    <cfRule type="containsText" dxfId="40" priority="460" operator="containsText" text="Problem">
      <formula>NOT(ISERROR(SEARCH(("Problem"),(G595))))</formula>
    </cfRule>
    <cfRule type="containsText" dxfId="39" priority="459" operator="containsText" text="Problem">
      <formula>NOT(ISERROR(SEARCH(("Problem"),(G595))))</formula>
    </cfRule>
    <cfRule type="containsText" dxfId="38" priority="461" operator="containsText" text="Problem">
      <formula>NOT(ISERROR(SEARCH(("Problem"),(G595))))</formula>
    </cfRule>
  </conditionalFormatting>
  <conditionalFormatting sqref="D767:D768 E742:H768">
    <cfRule type="containsText" dxfId="37" priority="553" operator="containsText" text="Problem">
      <formula>NOT(ISERROR(SEARCH(("Problem"),(D767))))</formula>
    </cfRule>
    <cfRule type="containsText" dxfId="36" priority="552" operator="containsText" text="Problem">
      <formula>NOT(ISERROR(SEARCH(("Problem"),(D767))))</formula>
    </cfRule>
    <cfRule type="containsText" dxfId="35" priority="554" operator="containsText" text="Problem">
      <formula>NOT(ISERROR(SEARCH(("Problem"),(D767))))</formula>
    </cfRule>
  </conditionalFormatting>
  <conditionalFormatting sqref="B514:C514 B526:B529 B531:C532 C483:C513 C523:C529">
    <cfRule type="containsText" dxfId="34" priority="825" operator="containsText" text="Problem">
      <formula>NOT(ISERROR(SEARCH(("Problem"),(B514))))</formula>
    </cfRule>
    <cfRule type="containsText" dxfId="33" priority="827" operator="containsText" text="Problem">
      <formula>NOT(ISERROR(SEARCH(("Problem"),(B514))))</formula>
    </cfRule>
    <cfRule type="containsText" dxfId="32" priority="826" operator="containsText" text="Problem">
      <formula>NOT(ISERROR(SEARCH(("Problem"),(B514))))</formula>
    </cfRule>
  </conditionalFormatting>
  <conditionalFormatting sqref="D211:D235">
    <cfRule type="containsText" dxfId="31" priority="157" operator="containsText" text="Problem">
      <formula>NOT(ISERROR(SEARCH(("Problem"),(D211))))</formula>
    </cfRule>
    <cfRule type="containsText" dxfId="30" priority="156" operator="containsText" text="Problem">
      <formula>NOT(ISERROR(SEARCH(("Problem"),(D211))))</formula>
    </cfRule>
  </conditionalFormatting>
  <conditionalFormatting sqref="E242:E269">
    <cfRule type="containsText" dxfId="29" priority="211" operator="containsText" text="Problem">
      <formula>NOT(ISERROR(SEARCH(("Problem"),(E242))))</formula>
    </cfRule>
    <cfRule type="containsText" dxfId="28" priority="213" operator="containsText" text="Problem">
      <formula>NOT(ISERROR(SEARCH(("Problem"),(E242))))</formula>
    </cfRule>
    <cfRule type="containsText" dxfId="27" priority="212" operator="containsText" text="Problem">
      <formula>NOT(ISERROR(SEARCH(("Problem"),(E242))))</formula>
    </cfRule>
  </conditionalFormatting>
  <conditionalFormatting sqref="A830:I830 A887:H887 I860:I887 J830:P887">
    <cfRule type="containsText" dxfId="26" priority="636" operator="containsText" text="Problem">
      <formula>NOT(ISERROR(SEARCH(("Problem"),(A830))))</formula>
    </cfRule>
    <cfRule type="containsText" dxfId="25" priority="635" operator="containsText" text="Problem">
      <formula>NOT(ISERROR(SEARCH(("Problem"),(A830))))</formula>
    </cfRule>
    <cfRule type="containsText" dxfId="24" priority="637" operator="containsText" text="Problem">
      <formula>NOT(ISERROR(SEARCH(("Problem"),(A830))))</formula>
    </cfRule>
  </conditionalFormatting>
  <conditionalFormatting sqref="D329:D353">
    <cfRule type="containsText" dxfId="23" priority="242" operator="containsText" text="Problem">
      <formula>NOT(ISERROR(SEARCH(("Problem"),(D329))))</formula>
    </cfRule>
    <cfRule type="containsText" dxfId="22" priority="243" operator="containsText" text="Problem">
      <formula>NOT(ISERROR(SEARCH(("Problem"),(D329))))</formula>
    </cfRule>
  </conditionalFormatting>
  <conditionalFormatting sqref="D418">
    <cfRule type="containsText" dxfId="21" priority="333" operator="containsText" text="Problem">
      <formula>NOT(ISERROR(SEARCH(("Problem"),(D418))))</formula>
    </cfRule>
  </conditionalFormatting>
  <conditionalFormatting sqref="E183:E210">
    <cfRule type="containsText" dxfId="20" priority="170" operator="containsText" text="Problem">
      <formula>NOT(ISERROR(SEARCH(("Problem"),(E183))))</formula>
    </cfRule>
    <cfRule type="containsText" dxfId="19" priority="169" operator="containsText" text="Problem">
      <formula>NOT(ISERROR(SEARCH(("Problem"),(E183))))</formula>
    </cfRule>
    <cfRule type="containsText" dxfId="18" priority="168" operator="containsText" text="Problem">
      <formula>NOT(ISERROR(SEARCH(("Problem"),(E183))))</formula>
    </cfRule>
  </conditionalFormatting>
  <conditionalFormatting sqref="E360:E387">
    <cfRule type="containsText" dxfId="17" priority="299" operator="containsText" text="Problem">
      <formula>NOT(ISERROR(SEARCH(("Problem"),(E360))))</formula>
    </cfRule>
    <cfRule type="containsText" dxfId="16" priority="297" operator="containsText" text="Problem">
      <formula>NOT(ISERROR(SEARCH(("Problem"),(E360))))</formula>
    </cfRule>
    <cfRule type="containsText" dxfId="15" priority="298" operator="containsText" text="Problem">
      <formula>NOT(ISERROR(SEARCH(("Problem"),(E360))))</formula>
    </cfRule>
  </conditionalFormatting>
  <conditionalFormatting sqref="E418">
    <cfRule type="containsText" dxfId="14" priority="347" operator="containsText" text="Problem">
      <formula>NOT(ISERROR(SEARCH(("Problem"),(E418))))</formula>
    </cfRule>
    <cfRule type="containsText" dxfId="13" priority="346" operator="containsText" text="Problem">
      <formula>NOT(ISERROR(SEARCH(("Problem"),(E418))))</formula>
    </cfRule>
    <cfRule type="containsText" dxfId="12" priority="348" operator="containsText" text="Problem">
      <formula>NOT(ISERROR(SEARCH(("Problem"),(E418))))</formula>
    </cfRule>
  </conditionalFormatting>
  <conditionalFormatting sqref="G242:G269">
    <cfRule type="containsText" dxfId="11" priority="192" operator="containsText" text="Problem">
      <formula>NOT(ISERROR(SEARCH(("Problem"),(G242))))</formula>
    </cfRule>
    <cfRule type="containsText" dxfId="10" priority="190" operator="containsText" text="Problem">
      <formula>NOT(ISERROR(SEARCH(("Problem"),(G242))))</formula>
    </cfRule>
    <cfRule type="containsText" dxfId="9" priority="191" operator="containsText" text="Problem">
      <formula>NOT(ISERROR(SEARCH(("Problem"),(G242))))</formula>
    </cfRule>
  </conditionalFormatting>
  <conditionalFormatting sqref="D182">
    <cfRule type="containsText" dxfId="8" priority="161" operator="containsText" text="Problem">
      <formula>NOT(ISERROR(SEARCH(("Problem"),(D182))))</formula>
    </cfRule>
  </conditionalFormatting>
  <conditionalFormatting sqref="A890:A945">
    <cfRule type="containsText" dxfId="7" priority="707" operator="containsText" text="Problem">
      <formula>NOT(ISERROR(SEARCH(("Problem"),(A890))))</formula>
    </cfRule>
    <cfRule type="containsText" dxfId="6" priority="705" operator="containsText" text="Problem">
      <formula>NOT(ISERROR(SEARCH(("Problem"),(A890))))</formula>
    </cfRule>
    <cfRule type="containsText" dxfId="5" priority="706" operator="containsText" text="Problem">
      <formula>NOT(ISERROR(SEARCH(("Problem"),(A890))))</formula>
    </cfRule>
  </conditionalFormatting>
  <conditionalFormatting sqref="D565:D589">
    <cfRule type="containsText" dxfId="4" priority="415" operator="containsText" text="Problem">
      <formula>NOT(ISERROR(SEARCH(("Problem"),(D565))))</formula>
    </cfRule>
    <cfRule type="containsText" dxfId="3" priority="414" operator="containsText" text="Problem">
      <formula>NOT(ISERROR(SEARCH(("Problem"),(D565))))</formula>
    </cfRule>
  </conditionalFormatting>
  <conditionalFormatting sqref="D595">
    <cfRule type="containsText" dxfId="2" priority="462" operator="containsText" text="Problem">
      <formula>NOT(ISERROR(SEARCH(("Problem"),(D595))))</formula>
    </cfRule>
  </conditionalFormatting>
  <conditionalFormatting sqref="D772">
    <cfRule type="containsText" dxfId="1" priority="591" operator="containsText" text="Problem">
      <formula>NOT(ISERROR(SEARCH(("Problem"),(D772))))</formula>
    </cfRule>
  </conditionalFormatting>
  <conditionalFormatting sqref="D654">
    <cfRule type="containsText" dxfId="0" priority="505" operator="containsText" text="Problem">
      <formula>NOT(ISERROR(SEARCH(("Problem"),(D654))))</formula>
    </cfRule>
  </conditionalFormatting>
  <dataValidations count="32">
    <dataValidation type="date" allowBlank="1" showErrorMessage="1" sqref="G3">
      <formula1>43466</formula1>
      <formula2>43920</formula2>
    </dataValidation>
    <dataValidation type="date" allowBlank="1" showErrorMessage="1" sqref="G416">
      <formula1>43466</formula1>
      <formula2>43920</formula2>
    </dataValidation>
    <dataValidation type="date" allowBlank="1" showErrorMessage="1" sqref="G298">
      <formula1>43466</formula1>
      <formula2>43920</formula2>
    </dataValidation>
    <dataValidation type="date" allowBlank="1" showErrorMessage="1" sqref="G180">
      <formula1>43466</formula1>
      <formula2>43920</formula2>
    </dataValidation>
    <dataValidation type="date" allowBlank="1" showErrorMessage="1" sqref="J3">
      <formula1>43466</formula1>
      <formula2>43921</formula2>
    </dataValidation>
    <dataValidation type="date" allowBlank="1" showErrorMessage="1" sqref="J416">
      <formula1>43466</formula1>
      <formula2>43921</formula2>
    </dataValidation>
    <dataValidation type="date" allowBlank="1" showErrorMessage="1" sqref="J298">
      <formula1>43466</formula1>
      <formula2>43921</formula2>
    </dataValidation>
    <dataValidation type="date" allowBlank="1" showErrorMessage="1" sqref="J180">
      <formula1>43466</formula1>
      <formula2>43921</formula2>
    </dataValidation>
    <dataValidation type="date" allowBlank="1" showErrorMessage="1" sqref="G62">
      <formula1>43466</formula1>
      <formula2>43920</formula2>
    </dataValidation>
    <dataValidation type="date" allowBlank="1" showErrorMessage="1" sqref="G652">
      <formula1>43466</formula1>
      <formula2>43920</formula2>
    </dataValidation>
    <dataValidation type="date" allowBlank="1" showErrorMessage="1" sqref="G534">
      <formula1>43466</formula1>
      <formula2>43920</formula2>
    </dataValidation>
    <dataValidation type="date" allowBlank="1" showErrorMessage="1" sqref="G357">
      <formula1>43466</formula1>
      <formula2>43920</formula2>
    </dataValidation>
    <dataValidation type="date" allowBlank="1" showErrorMessage="1" sqref="G711">
      <formula1>43466</formula1>
      <formula2>43920</formula2>
    </dataValidation>
    <dataValidation type="date" allowBlank="1" showErrorMessage="1" sqref="G121">
      <formula1>43466</formula1>
      <formula2>43920</formula2>
    </dataValidation>
    <dataValidation type="date" allowBlank="1" showErrorMessage="1" sqref="G593">
      <formula1>43466</formula1>
      <formula2>43920</formula2>
    </dataValidation>
    <dataValidation type="date" allowBlank="1" showErrorMessage="1" sqref="G239">
      <formula1>43466</formula1>
      <formula2>43920</formula2>
    </dataValidation>
    <dataValidation type="date" allowBlank="1" showErrorMessage="1" sqref="G475">
      <formula1>43466</formula1>
      <formula2>43920</formula2>
    </dataValidation>
    <dataValidation type="date" allowBlank="1" showErrorMessage="1" sqref="G770">
      <formula1>43466</formula1>
      <formula2>43920</formula2>
    </dataValidation>
    <dataValidation type="date" allowBlank="1" showErrorMessage="1" sqref="G829">
      <formula1>43466</formula1>
      <formula2>43920</formula2>
    </dataValidation>
    <dataValidation type="date" allowBlank="1" showErrorMessage="1" sqref="G888">
      <formula1>43466</formula1>
      <formula2>43920</formula2>
    </dataValidation>
    <dataValidation type="date" allowBlank="1" showErrorMessage="1" sqref="J62">
      <formula1>43466</formula1>
      <formula2>43921</formula2>
    </dataValidation>
    <dataValidation type="date" allowBlank="1" showErrorMessage="1" sqref="J652">
      <formula1>43466</formula1>
      <formula2>43921</formula2>
    </dataValidation>
    <dataValidation type="date" allowBlank="1" showErrorMessage="1" sqref="J534">
      <formula1>43466</formula1>
      <formula2>43921</formula2>
    </dataValidation>
    <dataValidation type="date" allowBlank="1" showErrorMessage="1" sqref="J357">
      <formula1>43466</formula1>
      <formula2>43921</formula2>
    </dataValidation>
    <dataValidation type="date" allowBlank="1" showErrorMessage="1" sqref="J711">
      <formula1>43466</formula1>
      <formula2>43921</formula2>
    </dataValidation>
    <dataValidation type="date" allowBlank="1" showErrorMessage="1" sqref="J121">
      <formula1>43466</formula1>
      <formula2>43921</formula2>
    </dataValidation>
    <dataValidation type="date" allowBlank="1" showErrorMessage="1" sqref="J593">
      <formula1>43466</formula1>
      <formula2>43921</formula2>
    </dataValidation>
    <dataValidation type="date" allowBlank="1" showErrorMessage="1" sqref="J239">
      <formula1>43466</formula1>
      <formula2>43921</formula2>
    </dataValidation>
    <dataValidation type="date" allowBlank="1" showErrorMessage="1" sqref="J475">
      <formula1>43466</formula1>
      <formula2>43921</formula2>
    </dataValidation>
    <dataValidation type="date" allowBlank="1" showErrorMessage="1" sqref="J770">
      <formula1>43466</formula1>
      <formula2>43921</formula2>
    </dataValidation>
    <dataValidation type="date" allowBlank="1" showErrorMessage="1" sqref="J829">
      <formula1>43466</formula1>
      <formula2>43921</formula2>
    </dataValidation>
    <dataValidation type="date" allowBlank="1" showErrorMessage="1" sqref="J888">
      <formula1>43466</formula1>
      <formula2>43921</formula2>
    </dataValidation>
  </dataValidations>
  <pageMargins left="0.7" right="0.7" top="0.75" bottom="0.75" header="0" footer="0"/>
  <pageSetup paperSize="9" fitToWidth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MAY'26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V2509</dc:creator>
  <cp:lastModifiedBy>acer</cp:lastModifiedBy>
  <dcterms:created xsi:type="dcterms:W3CDTF">2026-06-04T12:29:03Z</dcterms:created>
  <dcterms:modified xsi:type="dcterms:W3CDTF">2026-06-04T15:14:26Z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f0f90c4e9c11496895862a2abb698157_22</vt:lpwstr>
  </property>
</Properties>
</file>