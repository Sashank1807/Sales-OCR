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26" sheetId="1" r:id="rId4"/>
    <sheet state="visible" name="MAY26" sheetId="2" r:id="rId5"/>
    <sheet state="visible" name="JUNE26" sheetId="3" r:id="rId6"/>
    <sheet state="visible" name="JULY26" sheetId="4" r:id="rId7"/>
    <sheet state="visible" name="AUG26" sheetId="5" r:id="rId8"/>
    <sheet state="visible" name="SEP26" sheetId="6" r:id="rId9"/>
    <sheet state="visible" name="OCT26" sheetId="7" r:id="rId10"/>
  </sheets>
  <definedNames/>
  <calcPr/>
</workbook>
</file>

<file path=xl/sharedStrings.xml><?xml version="1.0" encoding="utf-8"?>
<sst xmlns="http://schemas.openxmlformats.org/spreadsheetml/2006/main" count="6765" uniqueCount="87">
  <si>
    <t xml:space="preserve"> STOCK &amp; SALES STATEMENT </t>
  </si>
  <si>
    <t>HQ- SAHARSA</t>
  </si>
  <si>
    <t>MONTH</t>
  </si>
  <si>
    <t>STOCKIST NAME</t>
  </si>
  <si>
    <r>
      <rPr>
        <rFont val="Calibri"/>
        <b/>
        <color rgb="FF000000"/>
        <sz val="11.0"/>
      </rPr>
      <t xml:space="preserve">AMARDEEP AGENCY </t>
    </r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</si>
  <si>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</si>
  <si>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</si>
  <si>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</si>
  <si>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</si>
  <si>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</si>
  <si>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</si>
  <si>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</si>
  <si>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</si>
  <si>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</si>
  <si>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</si>
  <si>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</si>
  <si>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</si>
  <si>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</si>
  <si>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</si>
  <si>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</si>
  <si>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</si>
  <si>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</si>
  <si>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</si>
  <si>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</si>
  <si>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</si>
  <si>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</si>
  <si>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</si>
  <si>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</si>
  <si>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</si>
  <si>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</si>
  <si>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</si>
  <si>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</si>
  <si>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>HEADRIX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</si>
  <si>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</si>
  <si>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</si>
  <si>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</si>
  <si>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</si>
  <si>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</si>
  <si>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</si>
  <si>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</si>
  <si>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</si>
  <si>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</si>
  <si>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</si>
  <si>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</si>
  <si>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</si>
  <si>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</si>
  <si>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</si>
  <si>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</si>
  <si>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</si>
  <si>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</si>
  <si>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</si>
  <si>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</si>
  <si>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</si>
  <si>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</si>
  <si>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</si>
  <si>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</si>
  <si>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</si>
  <si>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</si>
  <si>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</si>
  <si>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</si>
  <si>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BIXIVA</t>
  </si>
  <si>
    <t>LASMIG 100MG 4'S GENX</t>
  </si>
  <si>
    <t>LASMIG 50MG 4'S GENX</t>
  </si>
  <si>
    <t>TANZ</t>
  </si>
  <si>
    <t>TOTAL VALUE</t>
  </si>
  <si>
    <t xml:space="preserve">KOMAL MEDICAL AGENCY </t>
  </si>
  <si>
    <r>
      <rPr>
        <rFont val="Calibri"/>
        <b/>
        <color rgb="FF000000"/>
        <sz val="11.0"/>
      </rPr>
      <t>B N AGENCY</t>
    </r>
  </si>
  <si>
    <r>
      <rPr>
        <rFont val="Calibri"/>
        <b/>
        <color rgb="FF000000"/>
        <sz val="11.0"/>
      </rPr>
      <t xml:space="preserve">BINDAL AGENCY </t>
    </r>
  </si>
  <si>
    <r>
      <rPr>
        <rFont val="Calibri"/>
        <b/>
        <color rgb="FF000000"/>
        <sz val="11.0"/>
      </rPr>
      <t xml:space="preserve">NEW MEDICINE HOUSE </t>
    </r>
  </si>
  <si>
    <r>
      <rPr>
        <rFont val="Calibri"/>
        <b/>
        <color rgb="FF000000"/>
        <sz val="11.0"/>
      </rPr>
      <t>SNEHA AGENCY</t>
    </r>
  </si>
  <si>
    <r>
      <rPr>
        <rFont val="Calibri"/>
        <b/>
        <color rgb="FF000000"/>
        <sz val="11.0"/>
      </rPr>
      <t>JANTA AGENCY</t>
    </r>
  </si>
  <si>
    <r>
      <rPr>
        <rFont val="Calibri"/>
        <b/>
        <color rgb="FF000000"/>
        <sz val="11.0"/>
      </rPr>
      <t xml:space="preserve">DURGA MEDICAL AGENCY </t>
    </r>
  </si>
  <si>
    <r>
      <rPr>
        <rFont val="Calibri"/>
        <b/>
        <color rgb="FF000000"/>
        <sz val="11.0"/>
      </rPr>
      <t xml:space="preserve">PUSPAK AGENCY </t>
    </r>
  </si>
  <si>
    <r>
      <rPr>
        <rFont val="Calibri"/>
        <b/>
        <color rgb="FF000000"/>
        <sz val="11.0"/>
      </rPr>
      <t xml:space="preserve">CHANDRAKALA AGENCY </t>
    </r>
  </si>
  <si>
    <t>COMPILLED</t>
  </si>
  <si>
    <t>MAY</t>
  </si>
  <si>
    <t xml:space="preserve">AMARDEEP AGENCY </t>
  </si>
  <si>
    <r>
      <rPr>
        <rFont val="Calibri"/>
        <b/>
        <color rgb="FF000000"/>
        <sz val="11.0"/>
      </rPr>
      <t>B N AGENCY</t>
    </r>
  </si>
  <si>
    <r>
      <rPr>
        <rFont val="Calibri"/>
        <b/>
        <color rgb="FF000000"/>
        <sz val="11.0"/>
      </rPr>
      <t xml:space="preserve">BINDAL AGENCY </t>
    </r>
  </si>
  <si>
    <r>
      <rPr>
        <rFont val="Calibri"/>
        <b/>
        <color rgb="FF000000"/>
        <sz val="11.0"/>
      </rPr>
      <t xml:space="preserve">NEW MEDICINE HOUSE </t>
    </r>
  </si>
  <si>
    <r>
      <rPr>
        <rFont val="Calibri"/>
        <b/>
        <color rgb="FF000000"/>
        <sz val="11.0"/>
      </rPr>
      <t>SNEHA AGENCY</t>
    </r>
  </si>
  <si>
    <r>
      <rPr>
        <rFont val="Calibri"/>
        <b/>
        <color rgb="FF000000"/>
        <sz val="11.0"/>
      </rPr>
      <t>JANTA AGENCY</t>
    </r>
  </si>
  <si>
    <r>
      <rPr>
        <rFont val="Calibri"/>
        <b/>
        <color rgb="FF000000"/>
        <sz val="11.0"/>
      </rPr>
      <t xml:space="preserve">DURGA MEDICAL AGENCY </t>
    </r>
  </si>
  <si>
    <r>
      <rPr>
        <rFont val="Calibri"/>
        <b/>
        <color rgb="FF000000"/>
        <sz val="11.0"/>
      </rPr>
      <t xml:space="preserve">PUSPAK AGENCY </t>
    </r>
  </si>
  <si>
    <r>
      <rPr>
        <rFont val="Calibri"/>
        <b/>
        <color rgb="FF000000"/>
        <sz val="11.0"/>
      </rPr>
      <t xml:space="preserve">CHANDRAKALA AGENCY </t>
    </r>
  </si>
  <si>
    <t xml:space="preserve">SHIV SHAKTI MEDICAL AGENCY </t>
  </si>
  <si>
    <t xml:space="preserve">HQ-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</si>
</sst>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yy"/>
    <numFmt numFmtId="165" formatCode="m/d/yyyy"/>
  </numFmts>
  <fonts count="10">
    <font>
      <sz val="11.0"/>
      <color rgb="FF000000"/>
      <name val="Arial"/>
      <scheme val="minor"/>
    </font>
    <font>
      <b/>
      <sz val="11.0"/>
      <color rgb="FF000000"/>
      <name val="Calibri"/>
    </font>
    <font>
      <sz val="11.0"/>
      <name val="Arial"/>
    </font>
    <font>
      <b/>
      <u/>
      <sz val="11.0"/>
      <color rgb="FF000000"/>
      <name val="Calibri"/>
    </font>
    <font>
      <b/>
      <sz val="12.0"/>
      <color rgb="FF000000"/>
      <name val="Calibri"/>
    </font>
    <font/>
    <font>
      <b/>
      <sz val="10.0"/>
      <color rgb="FF000000"/>
      <name val="Calibri"/>
    </font>
    <font>
      <sz val="11.0"/>
      <color rgb="FF000000"/>
      <name val="Calibri"/>
    </font>
    <font>
      <sz val="11.0"/>
      <name val="Calibri"/>
    </font>
    <font>
      <b/>
      <sz val="14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ACB9CA"/>
        <bgColor rgb="FFACB9CA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/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4" fillId="0" fontId="2" numFmtId="0" xfId="0" applyAlignment="1" applyBorder="1" applyFont="1">
      <alignment vertical="bottom"/>
    </xf>
    <xf borderId="5" fillId="0" fontId="1" numFmtId="49" xfId="0" applyAlignment="1" applyBorder="1" applyFont="1" applyNumberFormat="1">
      <alignment vertical="center"/>
    </xf>
    <xf borderId="6" fillId="0" fontId="2" numFmtId="0" xfId="0" applyAlignment="1" applyBorder="1" applyFont="1">
      <alignment vertical="bottom"/>
    </xf>
    <xf borderId="5" fillId="0" fontId="1" numFmtId="0" xfId="0" applyAlignment="1" applyBorder="1" applyFont="1">
      <alignment vertical="center"/>
    </xf>
    <xf borderId="7" fillId="0" fontId="2" numFmtId="0" xfId="0" applyAlignment="1" applyBorder="1" applyFont="1">
      <alignment vertical="bottom"/>
    </xf>
    <xf borderId="8" fillId="3" fontId="4" numFmtId="0" xfId="0" applyAlignment="1" applyBorder="1" applyFill="1" applyFont="1">
      <alignment vertical="center"/>
    </xf>
    <xf borderId="1" fillId="3" fontId="1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left" vertical="bottom"/>
    </xf>
    <xf borderId="1" fillId="3" fontId="1" numFmtId="164" xfId="0" applyAlignment="1" applyBorder="1" applyFont="1" applyNumberFormat="1">
      <alignment horizontal="center" vertical="center"/>
    </xf>
    <xf borderId="9" fillId="3" fontId="1" numFmtId="165" xfId="0" applyAlignment="1" applyBorder="1" applyFont="1" applyNumberFormat="1">
      <alignment horizontal="center" vertical="center"/>
    </xf>
    <xf borderId="10" fillId="3" fontId="1" numFmtId="165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vertical="center"/>
    </xf>
    <xf borderId="8" fillId="3" fontId="1" numFmtId="165" xfId="0" applyAlignment="1" applyBorder="1" applyFont="1" applyNumberFormat="1">
      <alignment horizontal="center" vertical="center"/>
    </xf>
    <xf borderId="12" fillId="3" fontId="1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15" fillId="0" fontId="4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left" vertical="center"/>
    </xf>
    <xf borderId="2" fillId="0" fontId="7" numFmtId="2" xfId="0" applyAlignment="1" applyBorder="1" applyFont="1" applyNumberFormat="1">
      <alignment horizontal="left" vertical="center"/>
    </xf>
    <xf borderId="6" fillId="0" fontId="1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5" fontId="7" numFmtId="0" xfId="0" applyAlignment="1" applyBorder="1" applyFill="1" applyFont="1">
      <alignment horizontal="left" vertical="center"/>
    </xf>
    <xf borderId="2" fillId="0" fontId="7" numFmtId="0" xfId="0" applyAlignment="1" applyBorder="1" applyFont="1">
      <alignment vertical="center"/>
    </xf>
    <xf borderId="2" fillId="0" fontId="7" numFmtId="0" xfId="0" applyAlignment="1" applyBorder="1" applyFont="1">
      <alignment horizontal="center" vertical="center"/>
    </xf>
    <xf borderId="2" fillId="0" fontId="7" numFmtId="2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center" shrinkToFit="0" vertical="center" wrapText="1"/>
    </xf>
    <xf borderId="18" fillId="4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8" fillId="6" fontId="4" numFmtId="0" xfId="0" applyAlignment="1" applyBorder="1" applyFill="1" applyFont="1">
      <alignment vertical="center"/>
    </xf>
    <xf borderId="2" fillId="6" fontId="9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left" vertical="center"/>
    </xf>
    <xf borderId="19" fillId="6" fontId="2" numFmtId="0" xfId="0" applyAlignment="1" applyBorder="1" applyFont="1">
      <alignment horizontal="left" vertical="bottom"/>
    </xf>
    <xf borderId="1" fillId="6" fontId="1" numFmtId="0" xfId="0" applyAlignment="1" applyBorder="1" applyFont="1">
      <alignment horizontal="center" vertical="center"/>
    </xf>
    <xf borderId="9" fillId="6" fontId="1" numFmtId="165" xfId="0" applyAlignment="1" applyBorder="1" applyFont="1" applyNumberFormat="1">
      <alignment horizontal="center" vertical="center"/>
    </xf>
    <xf borderId="10" fillId="6" fontId="1" numFmtId="165" xfId="0" applyAlignment="1" applyBorder="1" applyFont="1" applyNumberFormat="1">
      <alignment horizontal="center" vertical="center"/>
    </xf>
    <xf borderId="8" fillId="6" fontId="1" numFmtId="165" xfId="0" applyAlignment="1" applyBorder="1" applyFont="1" applyNumberFormat="1">
      <alignment horizontal="center" vertical="center"/>
    </xf>
    <xf borderId="12" fillId="6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E6711A"/>
          <bgColor rgb="FFE6711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17.43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ht="15.75" customHeight="1">
      <c r="A3" s="10"/>
      <c r="B3" s="11" t="s">
        <v>3</v>
      </c>
      <c r="C3" s="12" t="s">
        <v>4</v>
      </c>
      <c r="D3" s="13"/>
      <c r="E3" s="14">
        <v>46113.0</v>
      </c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 ht="24.0" customHeight="1">
      <c r="A5" s="28">
        <v>1.0</v>
      </c>
      <c r="B5" s="29" t="s">
        <v>22</v>
      </c>
      <c r="C5" s="30">
        <v>192.17</v>
      </c>
      <c r="D5" s="3">
        <v>70.0</v>
      </c>
      <c r="E5" s="31"/>
      <c r="F5" s="3">
        <v>20.0</v>
      </c>
      <c r="G5" s="3"/>
      <c r="H5" s="3"/>
      <c r="I5" s="3">
        <v>50.0</v>
      </c>
      <c r="J5" s="3" t="str">
        <f t="shared" ref="J5:J61" si="1">D5+E5-F5-G5+H5</f>
        <v>50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 ht="22.5" customHeight="1">
      <c r="A6" s="28">
        <v>2.0</v>
      </c>
      <c r="B6" s="29" t="s">
        <v>23</v>
      </c>
      <c r="C6" s="30">
        <v>9.26</v>
      </c>
      <c r="D6" s="3">
        <v>0.0</v>
      </c>
      <c r="E6" s="31">
        <v>700.0</v>
      </c>
      <c r="F6" s="3">
        <v>500.0</v>
      </c>
      <c r="G6" s="3"/>
      <c r="H6" s="3"/>
      <c r="I6" s="3">
        <v>200.0</v>
      </c>
      <c r="J6" s="3" t="str">
        <f t="shared" si="1"/>
        <v>200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 ht="25.5" customHeight="1">
      <c r="A7" s="28">
        <v>3.0</v>
      </c>
      <c r="B7" s="29" t="s">
        <v>24</v>
      </c>
      <c r="C7" s="30">
        <v>87.79</v>
      </c>
      <c r="D7" s="3">
        <v>12.0</v>
      </c>
      <c r="E7" s="31">
        <v>40.0</v>
      </c>
      <c r="F7" s="3">
        <v>32.0</v>
      </c>
      <c r="G7" s="3"/>
      <c r="H7" s="3"/>
      <c r="I7" s="3">
        <v>20.0</v>
      </c>
      <c r="J7" s="3" t="str">
        <f t="shared" si="1"/>
        <v>20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 ht="23.25" customHeight="1">
      <c r="A8" s="28">
        <v>4.0</v>
      </c>
      <c r="B8" s="29" t="s">
        <v>25</v>
      </c>
      <c r="C8" s="30">
        <v>55.55</v>
      </c>
      <c r="D8" s="32">
        <v>43.0</v>
      </c>
      <c r="E8" s="31"/>
      <c r="F8" s="3">
        <v>13.0</v>
      </c>
      <c r="G8" s="3"/>
      <c r="H8" s="3"/>
      <c r="I8" s="3">
        <v>30.0</v>
      </c>
      <c r="J8" s="3" t="str">
        <f t="shared" si="1"/>
        <v>30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 ht="26.25" customHeight="1">
      <c r="A9" s="28">
        <v>5.0</v>
      </c>
      <c r="B9" s="29" t="s">
        <v>26</v>
      </c>
      <c r="C9" s="30">
        <v>70.01</v>
      </c>
      <c r="D9" s="3">
        <v>120.0</v>
      </c>
      <c r="E9" s="31">
        <v>260.0</v>
      </c>
      <c r="F9" s="3">
        <v>238.0</v>
      </c>
      <c r="G9" s="3"/>
      <c r="H9" s="3"/>
      <c r="I9" s="3">
        <v>142.0</v>
      </c>
      <c r="J9" s="3" t="str">
        <f t="shared" si="1"/>
        <v>142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 ht="26.25" customHeight="1">
      <c r="A10" s="28">
        <v>6.0</v>
      </c>
      <c r="B10" s="29" t="s">
        <v>27</v>
      </c>
      <c r="C10" s="30">
        <v>73.92999999999999</v>
      </c>
      <c r="D10" s="3">
        <v>30.0</v>
      </c>
      <c r="E10" s="31"/>
      <c r="F10" s="3">
        <v>20.0</v>
      </c>
      <c r="G10" s="3"/>
      <c r="H10" s="3"/>
      <c r="I10" s="3">
        <v>10.0</v>
      </c>
      <c r="J10" s="3" t="str">
        <f t="shared" si="1"/>
        <v>10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 ht="22.5" customHeight="1">
      <c r="A11" s="28">
        <v>7.0</v>
      </c>
      <c r="B11" s="29" t="s">
        <v>28</v>
      </c>
      <c r="C11" s="30">
        <v>13.91</v>
      </c>
      <c r="D11" s="3">
        <v>40.0</v>
      </c>
      <c r="E11" s="31"/>
      <c r="F11" s="3"/>
      <c r="G11" s="3"/>
      <c r="H11" s="3"/>
      <c r="I11" s="3">
        <v>40.0</v>
      </c>
      <c r="J11" s="3" t="str">
        <f t="shared" si="1"/>
        <v>40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 ht="24.75" customHeight="1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>
        <v>0.0</v>
      </c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2"/>
      <c r="E14" s="31"/>
      <c r="F14" s="3"/>
      <c r="G14" s="3"/>
      <c r="H14" s="3"/>
      <c r="I14" s="3"/>
      <c r="J14" s="3" t="str">
        <f t="shared" si="1"/>
        <v>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 ht="24.0" customHeight="1">
      <c r="A15" s="28">
        <v>11.0</v>
      </c>
      <c r="B15" s="29" t="s">
        <v>32</v>
      </c>
      <c r="C15" s="30">
        <v>102.17</v>
      </c>
      <c r="D15" s="3">
        <v>40.0</v>
      </c>
      <c r="E15" s="31"/>
      <c r="F15" s="3">
        <v>20.0</v>
      </c>
      <c r="G15" s="3"/>
      <c r="H15" s="3"/>
      <c r="I15" s="3">
        <v>20.0</v>
      </c>
      <c r="J15" s="3" t="str">
        <f t="shared" si="1"/>
        <v>20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 ht="24.0" customHeight="1">
      <c r="A16" s="28">
        <v>12.0</v>
      </c>
      <c r="B16" s="29" t="s">
        <v>33</v>
      </c>
      <c r="C16" s="30">
        <v>59.93</v>
      </c>
      <c r="D16" s="32">
        <v>44.0</v>
      </c>
      <c r="E16" s="31">
        <v>90.0</v>
      </c>
      <c r="F16" s="3">
        <v>39.0</v>
      </c>
      <c r="G16" s="3"/>
      <c r="H16" s="3"/>
      <c r="I16" s="3">
        <v>95.0</v>
      </c>
      <c r="J16" s="3" t="str">
        <f t="shared" si="1"/>
        <v>95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 ht="23.25" customHeight="1">
      <c r="A17" s="28">
        <v>13.0</v>
      </c>
      <c r="B17" s="29" t="s">
        <v>34</v>
      </c>
      <c r="C17" s="30">
        <v>118.0</v>
      </c>
      <c r="D17" s="32">
        <v>41.0</v>
      </c>
      <c r="E17" s="31">
        <v>150.0</v>
      </c>
      <c r="F17" s="3">
        <v>40.0</v>
      </c>
      <c r="G17" s="3"/>
      <c r="H17" s="3"/>
      <c r="I17" s="3">
        <v>151.0</v>
      </c>
      <c r="J17" s="3" t="str">
        <f t="shared" si="1"/>
        <v>151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 ht="25.5" customHeight="1">
      <c r="A18" s="28">
        <v>14.0</v>
      </c>
      <c r="B18" s="29" t="s">
        <v>35</v>
      </c>
      <c r="C18" s="30">
        <v>52.83</v>
      </c>
      <c r="D18" s="3">
        <v>36.0</v>
      </c>
      <c r="E18" s="31">
        <v>240.0</v>
      </c>
      <c r="F18" s="3">
        <v>156.0</v>
      </c>
      <c r="G18" s="3"/>
      <c r="H18" s="3"/>
      <c r="I18" s="3">
        <v>120.0</v>
      </c>
      <c r="J18" s="3" t="str">
        <f t="shared" si="1"/>
        <v>120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 ht="18.75" customHeight="1">
      <c r="A19" s="28">
        <v>15.0</v>
      </c>
      <c r="B19" s="29" t="s">
        <v>36</v>
      </c>
      <c r="C19" s="30">
        <v>93.2</v>
      </c>
      <c r="D19" s="3">
        <v>65.0</v>
      </c>
      <c r="E19" s="31">
        <v>540.0</v>
      </c>
      <c r="F19" s="3">
        <v>364.0</v>
      </c>
      <c r="G19" s="3"/>
      <c r="H19" s="3"/>
      <c r="I19" s="3">
        <v>241.0</v>
      </c>
      <c r="J19" s="3" t="str">
        <f t="shared" si="1"/>
        <v>241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 ht="23.25" customHeight="1">
      <c r="A20" s="28">
        <v>16.0</v>
      </c>
      <c r="B20" s="29" t="s">
        <v>37</v>
      </c>
      <c r="C20" s="30">
        <v>61.02</v>
      </c>
      <c r="D20" s="3">
        <v>81.0</v>
      </c>
      <c r="E20" s="31">
        <v>520.0</v>
      </c>
      <c r="F20" s="3">
        <v>317.0</v>
      </c>
      <c r="G20" s="3"/>
      <c r="H20" s="3"/>
      <c r="I20" s="3">
        <v>284.0</v>
      </c>
      <c r="J20" s="3" t="str">
        <f t="shared" si="1"/>
        <v>284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22.5" customHeight="1">
      <c r="A21" s="28">
        <v>17.0</v>
      </c>
      <c r="B21" s="29" t="s">
        <v>38</v>
      </c>
      <c r="C21" s="30">
        <v>36.62</v>
      </c>
      <c r="D21" s="3">
        <v>132.0</v>
      </c>
      <c r="E21" s="31"/>
      <c r="F21" s="3">
        <v>112.0</v>
      </c>
      <c r="G21" s="3"/>
      <c r="H21" s="3"/>
      <c r="I21" s="3">
        <v>20.0</v>
      </c>
      <c r="J21" s="3" t="str">
        <f t="shared" si="1"/>
        <v>20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21.0" customHeight="1">
      <c r="A22" s="28">
        <v>18.0</v>
      </c>
      <c r="B22" s="29" t="s">
        <v>39</v>
      </c>
      <c r="C22" s="30">
        <v>80.36</v>
      </c>
      <c r="D22" s="3">
        <v>32.0</v>
      </c>
      <c r="E22" s="31"/>
      <c r="F22" s="3">
        <v>23.0</v>
      </c>
      <c r="G22" s="3"/>
      <c r="H22" s="3"/>
      <c r="I22" s="3">
        <v>9.0</v>
      </c>
      <c r="J22" s="3" t="str">
        <f t="shared" si="1"/>
        <v>9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24.75" customHeight="1">
      <c r="A23" s="28">
        <v>19.0</v>
      </c>
      <c r="B23" s="29" t="s">
        <v>40</v>
      </c>
      <c r="C23" s="30">
        <v>160.56</v>
      </c>
      <c r="D23" s="3">
        <v>44.0</v>
      </c>
      <c r="E23" s="31">
        <v>70.0</v>
      </c>
      <c r="F23" s="3">
        <v>42.0</v>
      </c>
      <c r="G23" s="3"/>
      <c r="H23" s="3"/>
      <c r="I23" s="3">
        <v>72.0</v>
      </c>
      <c r="J23" s="3" t="str">
        <f t="shared" si="1"/>
        <v>72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24.75" customHeight="1">
      <c r="A24" s="28">
        <v>20.0</v>
      </c>
      <c r="B24" s="29" t="s">
        <v>41</v>
      </c>
      <c r="C24" s="30">
        <v>186.44</v>
      </c>
      <c r="D24" s="3">
        <v>63.0</v>
      </c>
      <c r="E24" s="31"/>
      <c r="F24" s="3">
        <v>46.0</v>
      </c>
      <c r="G24" s="3"/>
      <c r="H24" s="3"/>
      <c r="I24" s="3">
        <v>17.0</v>
      </c>
      <c r="J24" s="3" t="str">
        <f t="shared" si="1"/>
        <v>17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21.0" customHeight="1">
      <c r="A25" s="28">
        <v>21.0</v>
      </c>
      <c r="B25" s="29" t="s">
        <v>42</v>
      </c>
      <c r="C25" s="30">
        <v>92.59</v>
      </c>
      <c r="D25" s="3">
        <v>74.0</v>
      </c>
      <c r="E25" s="31">
        <v>65.0</v>
      </c>
      <c r="F25" s="3">
        <v>74.0</v>
      </c>
      <c r="G25" s="3"/>
      <c r="H25" s="3"/>
      <c r="I25" s="3">
        <v>65.0</v>
      </c>
      <c r="J25" s="3" t="str">
        <f t="shared" si="1"/>
        <v>65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20.25" customHeight="1">
      <c r="A26" s="28">
        <v>22.0</v>
      </c>
      <c r="B26" s="29" t="s">
        <v>43</v>
      </c>
      <c r="C26" s="30">
        <v>95.17</v>
      </c>
      <c r="D26" s="3">
        <v>35.0</v>
      </c>
      <c r="E26" s="31"/>
      <c r="F26" s="3">
        <v>5.0</v>
      </c>
      <c r="G26" s="3"/>
      <c r="H26" s="3"/>
      <c r="I26" s="3">
        <v>30.0</v>
      </c>
      <c r="J26" s="3" t="str">
        <f t="shared" si="1"/>
        <v>30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27.0" customHeight="1">
      <c r="A27" s="28">
        <v>23.0</v>
      </c>
      <c r="B27" s="29" t="s">
        <v>44</v>
      </c>
      <c r="C27" s="30">
        <v>92.94</v>
      </c>
      <c r="D27" s="3"/>
      <c r="E27" s="31">
        <v>260.0</v>
      </c>
      <c r="F27" s="3">
        <v>135.0</v>
      </c>
      <c r="G27" s="3"/>
      <c r="H27" s="3"/>
      <c r="I27" s="3">
        <v>125.0</v>
      </c>
      <c r="J27" s="3" t="str">
        <f t="shared" si="1"/>
        <v>125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27.75" customHeight="1">
      <c r="A28" s="28">
        <v>24.0</v>
      </c>
      <c r="B28" s="29" t="s">
        <v>45</v>
      </c>
      <c r="C28" s="30">
        <v>101.82</v>
      </c>
      <c r="D28" s="3">
        <v>48.0</v>
      </c>
      <c r="E28" s="31">
        <v>260.0</v>
      </c>
      <c r="F28" s="3">
        <v>12.0</v>
      </c>
      <c r="G28" s="3"/>
      <c r="H28" s="3"/>
      <c r="I28" s="3">
        <v>296.0</v>
      </c>
      <c r="J28" s="3" t="str">
        <f t="shared" si="1"/>
        <v>296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25.5" customHeight="1">
      <c r="A29" s="28">
        <v>25.0</v>
      </c>
      <c r="B29" s="29" t="s">
        <v>46</v>
      </c>
      <c r="C29" s="30">
        <v>53.49</v>
      </c>
      <c r="D29" s="3">
        <v>81.0</v>
      </c>
      <c r="E29" s="31">
        <v>130.0</v>
      </c>
      <c r="F29" s="3">
        <v>111.0</v>
      </c>
      <c r="G29" s="3"/>
      <c r="H29" s="3"/>
      <c r="I29" s="3">
        <v>100.0</v>
      </c>
      <c r="J29" s="3" t="str">
        <f t="shared" si="1"/>
        <v>100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24.0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20.25" customHeight="1">
      <c r="A31" s="28">
        <v>27.0</v>
      </c>
      <c r="B31" s="29" t="s">
        <v>48</v>
      </c>
      <c r="C31" s="30">
        <v>116.68</v>
      </c>
      <c r="D31" s="32"/>
      <c r="E31" s="31">
        <v>130.0</v>
      </c>
      <c r="F31" s="3">
        <v>72.0</v>
      </c>
      <c r="G31" s="3"/>
      <c r="H31" s="3"/>
      <c r="I31" s="3">
        <v>58.0</v>
      </c>
      <c r="J31" s="3" t="str">
        <f t="shared" si="1"/>
        <v>58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24.75" customHeight="1">
      <c r="A32" s="28">
        <v>28.0</v>
      </c>
      <c r="B32" s="29" t="s">
        <v>49</v>
      </c>
      <c r="C32" s="30">
        <v>107.96</v>
      </c>
      <c r="D32" s="32"/>
      <c r="E32" s="31">
        <v>55.0</v>
      </c>
      <c r="F32" s="3">
        <v>22.0</v>
      </c>
      <c r="G32" s="3"/>
      <c r="H32" s="3"/>
      <c r="I32" s="3">
        <v>33.0</v>
      </c>
      <c r="J32" s="3" t="str">
        <f t="shared" si="1"/>
        <v>33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24.75" customHeight="1">
      <c r="A33" s="28">
        <v>29.0</v>
      </c>
      <c r="B33" s="29" t="s">
        <v>50</v>
      </c>
      <c r="C33" s="30">
        <v>248.89</v>
      </c>
      <c r="D33" s="32">
        <v>8.0</v>
      </c>
      <c r="E33" s="31">
        <v>120.0</v>
      </c>
      <c r="F33" s="3">
        <v>64.0</v>
      </c>
      <c r="G33" s="3"/>
      <c r="H33" s="3"/>
      <c r="I33" s="3">
        <v>64.0</v>
      </c>
      <c r="J33" s="3" t="str">
        <f t="shared" si="1"/>
        <v>64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21.75" customHeight="1">
      <c r="A34" s="28">
        <v>30.0</v>
      </c>
      <c r="B34" s="29" t="s">
        <v>51</v>
      </c>
      <c r="C34" s="30">
        <v>80.36</v>
      </c>
      <c r="D34" s="3"/>
      <c r="E34" s="31">
        <v>130.0</v>
      </c>
      <c r="F34" s="3">
        <v>36.0</v>
      </c>
      <c r="G34" s="3"/>
      <c r="H34" s="3"/>
      <c r="I34" s="3">
        <v>94.0</v>
      </c>
      <c r="J34" s="3" t="str">
        <f t="shared" si="1"/>
        <v>94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23.25" customHeight="1">
      <c r="A35" s="28">
        <v>31.0</v>
      </c>
      <c r="B35" s="29" t="s">
        <v>52</v>
      </c>
      <c r="C35" s="30">
        <v>52.46</v>
      </c>
      <c r="D35" s="3">
        <v>35.0</v>
      </c>
      <c r="E35" s="31"/>
      <c r="F35" s="27"/>
      <c r="G35" s="27"/>
      <c r="H35" s="27"/>
      <c r="I35" s="3">
        <v>35.0</v>
      </c>
      <c r="J35" s="3" t="str">
        <f t="shared" si="1"/>
        <v>35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25.5" customHeight="1">
      <c r="A36" s="28">
        <v>32.0</v>
      </c>
      <c r="B36" s="29" t="s">
        <v>53</v>
      </c>
      <c r="C36" s="30">
        <v>71.21</v>
      </c>
      <c r="D36" s="3">
        <v>15.0</v>
      </c>
      <c r="E36" s="31">
        <v>75.0</v>
      </c>
      <c r="F36" s="27">
        <v>60.0</v>
      </c>
      <c r="G36" s="27"/>
      <c r="H36" s="27"/>
      <c r="I36" s="3">
        <v>30.0</v>
      </c>
      <c r="J36" s="3" t="str">
        <f t="shared" si="1"/>
        <v>30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25.5" customHeight="1">
      <c r="A37" s="28">
        <v>33.0</v>
      </c>
      <c r="B37" s="29" t="s">
        <v>54</v>
      </c>
      <c r="C37" s="30">
        <v>80.35</v>
      </c>
      <c r="D37" s="3">
        <v>55.0</v>
      </c>
      <c r="E37" s="31"/>
      <c r="F37" s="27"/>
      <c r="G37" s="27"/>
      <c r="H37" s="27"/>
      <c r="I37" s="3">
        <v>55.0</v>
      </c>
      <c r="J37" s="3" t="str">
        <f t="shared" si="1"/>
        <v>55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24.0" customHeight="1">
      <c r="A38" s="28">
        <v>34.0</v>
      </c>
      <c r="B38" s="29" t="s">
        <v>55</v>
      </c>
      <c r="C38" s="30">
        <v>64.18</v>
      </c>
      <c r="D38" s="3">
        <v>157.0</v>
      </c>
      <c r="E38" s="31">
        <v>1800.0</v>
      </c>
      <c r="F38" s="27">
        <v>1282.0</v>
      </c>
      <c r="G38" s="27"/>
      <c r="H38" s="27"/>
      <c r="I38" s="3">
        <v>675.0</v>
      </c>
      <c r="J38" s="3" t="str">
        <f t="shared" si="1"/>
        <v>675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25.5" customHeight="1">
      <c r="A39" s="28">
        <v>35.0</v>
      </c>
      <c r="B39" s="29" t="s">
        <v>56</v>
      </c>
      <c r="C39" s="30">
        <v>36.9</v>
      </c>
      <c r="D39" s="32">
        <v>459.0</v>
      </c>
      <c r="E39" s="31">
        <v>2800.0</v>
      </c>
      <c r="F39" s="27">
        <v>1850.0</v>
      </c>
      <c r="G39" s="27"/>
      <c r="H39" s="27"/>
      <c r="I39" s="3">
        <v>1409.0</v>
      </c>
      <c r="J39" s="3" t="str">
        <f t="shared" si="1"/>
        <v>1409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24.0" customHeight="1">
      <c r="A40" s="28">
        <v>36.0</v>
      </c>
      <c r="B40" s="29" t="s">
        <v>57</v>
      </c>
      <c r="C40" s="30">
        <v>101.54</v>
      </c>
      <c r="D40" s="3">
        <v>18.0</v>
      </c>
      <c r="E40" s="31">
        <v>2360.0</v>
      </c>
      <c r="F40" s="27">
        <v>333.0</v>
      </c>
      <c r="G40" s="27"/>
      <c r="H40" s="27"/>
      <c r="I40" s="3">
        <v>2045.0</v>
      </c>
      <c r="J40" s="3" t="str">
        <f t="shared" si="1"/>
        <v>2045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>
        <v>0.0</v>
      </c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25.5" customHeight="1">
      <c r="A42" s="28">
        <v>38.0</v>
      </c>
      <c r="B42" s="29" t="s">
        <v>59</v>
      </c>
      <c r="C42" s="30">
        <v>66.69</v>
      </c>
      <c r="D42" s="3">
        <v>120.0</v>
      </c>
      <c r="E42" s="31">
        <v>220.0</v>
      </c>
      <c r="F42" s="27">
        <v>170.0</v>
      </c>
      <c r="G42" s="27"/>
      <c r="H42" s="27"/>
      <c r="I42" s="3">
        <v>170.0</v>
      </c>
      <c r="J42" s="3" t="str">
        <f t="shared" si="1"/>
        <v>170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23.25" customHeight="1">
      <c r="A43" s="28">
        <v>39.0</v>
      </c>
      <c r="B43" s="29" t="s">
        <v>60</v>
      </c>
      <c r="C43" s="29">
        <v>150.85999999999999</v>
      </c>
      <c r="D43" s="3">
        <v>0.0</v>
      </c>
      <c r="E43" s="31">
        <v>100.0</v>
      </c>
      <c r="F43" s="27"/>
      <c r="G43" s="27"/>
      <c r="H43" s="27"/>
      <c r="I43" s="3">
        <v>100.0</v>
      </c>
      <c r="J43" s="3" t="str">
        <f t="shared" si="1"/>
        <v>100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24.0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21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24.0" customHeight="1">
      <c r="A46" s="28">
        <v>42.0</v>
      </c>
      <c r="B46" s="29" t="s">
        <v>63</v>
      </c>
      <c r="C46" s="29">
        <v>51.86</v>
      </c>
      <c r="D46" s="3">
        <v>104.0</v>
      </c>
      <c r="E46" s="31"/>
      <c r="F46" s="27">
        <v>68.0</v>
      </c>
      <c r="G46" s="27"/>
      <c r="H46" s="27"/>
      <c r="I46" s="3">
        <v>36.0</v>
      </c>
      <c r="J46" s="3" t="str">
        <f t="shared" si="1"/>
        <v>36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24.0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22.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2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2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2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22.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2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2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2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149704.07</v>
      </c>
      <c r="E61" s="3" t="str">
        <f t="shared" si="8"/>
        <v>775873.1</v>
      </c>
      <c r="F61" s="3" t="str">
        <f t="shared" si="8"/>
        <v>382150.18</v>
      </c>
      <c r="G61" s="3" t="str">
        <f t="shared" si="8"/>
        <v>0</v>
      </c>
      <c r="H61" s="3" t="str">
        <f t="shared" si="8"/>
        <v>0</v>
      </c>
      <c r="I61" s="3" t="str">
        <f t="shared" si="8"/>
        <v>543426.99</v>
      </c>
      <c r="J61" s="3" t="str">
        <f t="shared" si="1"/>
        <v>543426.99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Check Once Sales quantity or Value Problem</v>
      </c>
      <c r="P61" s="3" t="str">
        <f t="shared" si="7"/>
        <v>Check Once Closing quantity or Value Problem</v>
      </c>
    </row>
    <row r="62" ht="15.75" customHeight="1">
      <c r="A62" s="10"/>
      <c r="B62" s="11" t="s">
        <v>3</v>
      </c>
      <c r="C62" s="39" t="s">
        <v>65</v>
      </c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/>
      <c r="E75" s="3">
        <v>70.0</v>
      </c>
      <c r="F75" s="3"/>
      <c r="G75" s="3"/>
      <c r="H75" s="3"/>
      <c r="I75" s="3">
        <v>70.0</v>
      </c>
      <c r="J75" s="3" t="str">
        <f t="shared" si="9"/>
        <v>70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/>
      <c r="E76" s="3">
        <v>70.0</v>
      </c>
      <c r="F76" s="3"/>
      <c r="G76" s="3"/>
      <c r="H76" s="3"/>
      <c r="I76" s="3">
        <v>70.0</v>
      </c>
      <c r="J76" s="3" t="str">
        <f t="shared" si="9"/>
        <v>70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>
        <v>60.0</v>
      </c>
      <c r="E78" s="3"/>
      <c r="F78" s="3">
        <v>2.0</v>
      </c>
      <c r="G78" s="3"/>
      <c r="H78" s="3"/>
      <c r="I78" s="3">
        <v>58.0</v>
      </c>
      <c r="J78" s="3" t="str">
        <f t="shared" si="9"/>
        <v>58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/>
      <c r="E83" s="3">
        <v>40.0</v>
      </c>
      <c r="F83" s="3"/>
      <c r="G83" s="3"/>
      <c r="H83" s="3"/>
      <c r="I83" s="3">
        <v>40.0</v>
      </c>
      <c r="J83" s="3" t="str">
        <f t="shared" si="9"/>
        <v>40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>
        <v>70.0</v>
      </c>
      <c r="E99" s="3">
        <v>280.0</v>
      </c>
      <c r="F99" s="27">
        <v>53.0</v>
      </c>
      <c r="G99" s="27"/>
      <c r="H99" s="27"/>
      <c r="I99" s="3">
        <v>297.0</v>
      </c>
      <c r="J99" s="3" t="str">
        <f t="shared" si="9"/>
        <v>297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12699.8</v>
      </c>
      <c r="E120" s="3" t="str">
        <f t="shared" si="16"/>
        <v>48343.9</v>
      </c>
      <c r="F120" s="3" t="str">
        <f t="shared" si="16"/>
        <v>5568.02</v>
      </c>
      <c r="G120" s="3" t="str">
        <f t="shared" si="16"/>
        <v>0</v>
      </c>
      <c r="H120" s="3" t="str">
        <f t="shared" si="16"/>
        <v>0</v>
      </c>
      <c r="I120" s="3" t="str">
        <f t="shared" si="16"/>
        <v>55475.68</v>
      </c>
      <c r="J120" s="3" t="str">
        <f t="shared" si="9"/>
        <v>55475.68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Check Once Sales quantity or Value Problem</v>
      </c>
      <c r="P120" s="3" t="str">
        <f t="shared" si="15"/>
        <v>Check Once Closing quantity or Value Problem</v>
      </c>
    </row>
    <row r="121" ht="15.75" customHeight="1">
      <c r="A121" s="10"/>
      <c r="B121" s="11" t="s">
        <v>3</v>
      </c>
      <c r="C121" s="41" t="s">
        <v>66</v>
      </c>
      <c r="D121" s="21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>
        <v>20.0</v>
      </c>
      <c r="E125" s="3"/>
      <c r="F125" s="3"/>
      <c r="G125" s="3"/>
      <c r="H125" s="3"/>
      <c r="I125" s="3">
        <v>20.0</v>
      </c>
      <c r="J125" s="3" t="str">
        <f t="shared" si="17"/>
        <v>20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>
        <v>30.0</v>
      </c>
      <c r="E144" s="3"/>
      <c r="F144" s="3"/>
      <c r="G144" s="3"/>
      <c r="H144" s="3"/>
      <c r="I144" s="3">
        <v>30.0</v>
      </c>
      <c r="J144" s="3" t="str">
        <f t="shared" si="17"/>
        <v>30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>
        <v>25.0</v>
      </c>
      <c r="E145" s="3"/>
      <c r="F145" s="3"/>
      <c r="G145" s="3"/>
      <c r="H145" s="3"/>
      <c r="I145" s="3">
        <v>25.0</v>
      </c>
      <c r="J145" s="3" t="str">
        <f t="shared" si="17"/>
        <v>25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>
        <v>15.0</v>
      </c>
      <c r="E146" s="3"/>
      <c r="F146" s="3"/>
      <c r="G146" s="3"/>
      <c r="H146" s="3"/>
      <c r="I146" s="3">
        <v>15.0</v>
      </c>
      <c r="J146" s="3" t="str">
        <f t="shared" si="17"/>
        <v>15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>
        <v>8.0</v>
      </c>
      <c r="E149" s="3"/>
      <c r="F149" s="3"/>
      <c r="G149" s="3"/>
      <c r="H149" s="3"/>
      <c r="I149" s="3">
        <v>8.0</v>
      </c>
      <c r="J149" s="3" t="str">
        <f t="shared" si="17"/>
        <v>8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>
        <v>63.0</v>
      </c>
      <c r="E152" s="3"/>
      <c r="F152" s="27">
        <v>24.0</v>
      </c>
      <c r="G152" s="27"/>
      <c r="H152" s="27"/>
      <c r="I152" s="3">
        <v>39.0</v>
      </c>
      <c r="J152" s="3" t="str">
        <f t="shared" si="17"/>
        <v>39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>
        <v>5.0</v>
      </c>
      <c r="E153" s="3"/>
      <c r="F153" s="27"/>
      <c r="G153" s="27"/>
      <c r="H153" s="27"/>
      <c r="I153" s="3">
        <v>5.0</v>
      </c>
      <c r="J153" s="3" t="str">
        <f t="shared" si="17"/>
        <v>5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>
        <v>37.0</v>
      </c>
      <c r="E160" s="3"/>
      <c r="F160" s="27"/>
      <c r="G160" s="27"/>
      <c r="H160" s="27"/>
      <c r="I160" s="3">
        <v>37.0</v>
      </c>
      <c r="J160" s="3" t="str">
        <f t="shared" si="17"/>
        <v>37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17187.65</v>
      </c>
      <c r="E179" s="3" t="str">
        <f t="shared" si="24"/>
        <v>0</v>
      </c>
      <c r="F179" s="3" t="str">
        <f t="shared" si="24"/>
        <v>1928.64</v>
      </c>
      <c r="G179" s="3" t="str">
        <f t="shared" si="24"/>
        <v>0</v>
      </c>
      <c r="H179" s="3" t="str">
        <f t="shared" si="24"/>
        <v>0</v>
      </c>
      <c r="I179" s="3" t="str">
        <f t="shared" si="24"/>
        <v>15259.01</v>
      </c>
      <c r="J179" s="3" t="str">
        <f t="shared" si="17"/>
        <v>15259.01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Check Once Closing quantity or Value Problem</v>
      </c>
    </row>
    <row r="180" ht="15.75" customHeight="1">
      <c r="A180" s="10"/>
      <c r="B180" s="11" t="s">
        <v>3</v>
      </c>
      <c r="C180" s="41" t="s">
        <v>67</v>
      </c>
      <c r="D180" s="21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>
        <v>45.0</v>
      </c>
      <c r="E197" s="3"/>
      <c r="F197" s="3">
        <v>1.0</v>
      </c>
      <c r="G197" s="3"/>
      <c r="H197" s="3"/>
      <c r="I197" s="3">
        <v>44.0</v>
      </c>
      <c r="J197" s="3" t="str">
        <f t="shared" si="25"/>
        <v>44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>
        <v>66.0</v>
      </c>
      <c r="E200" s="3"/>
      <c r="F200" s="3">
        <v>27.0</v>
      </c>
      <c r="G200" s="3"/>
      <c r="H200" s="3"/>
      <c r="I200" s="3">
        <v>39.0</v>
      </c>
      <c r="J200" s="3" t="str">
        <f t="shared" si="25"/>
        <v>39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>
        <v>499.0</v>
      </c>
      <c r="E215" s="3"/>
      <c r="F215" s="27">
        <v>193.0</v>
      </c>
      <c r="G215" s="27"/>
      <c r="H215" s="27"/>
      <c r="I215" s="3">
        <v>306.0</v>
      </c>
      <c r="J215" s="3" t="str">
        <f t="shared" si="25"/>
        <v>306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>
        <v>582.0</v>
      </c>
      <c r="E216" s="3"/>
      <c r="F216" s="27">
        <v>47.0</v>
      </c>
      <c r="G216" s="27"/>
      <c r="H216" s="27"/>
      <c r="I216" s="3">
        <v>535.0</v>
      </c>
      <c r="J216" s="3" t="str">
        <f t="shared" si="25"/>
        <v>535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>
        <v>155.0</v>
      </c>
      <c r="E217" s="3"/>
      <c r="F217" s="27">
        <v>86.0</v>
      </c>
      <c r="G217" s="27"/>
      <c r="H217" s="27"/>
      <c r="I217" s="3">
        <v>69.0</v>
      </c>
      <c r="J217" s="3" t="str">
        <f t="shared" si="25"/>
        <v>69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>
        <v>249.0</v>
      </c>
      <c r="E219" s="3"/>
      <c r="F219" s="27">
        <v>6.0</v>
      </c>
      <c r="G219" s="27"/>
      <c r="H219" s="27"/>
      <c r="I219" s="3">
        <v>243.0</v>
      </c>
      <c r="J219" s="3" t="str">
        <f t="shared" si="25"/>
        <v>243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99188.99</v>
      </c>
      <c r="E238" s="3" t="str">
        <f t="shared" si="32"/>
        <v>0</v>
      </c>
      <c r="F238" s="3" t="str">
        <f t="shared" si="32"/>
        <v>27649.76</v>
      </c>
      <c r="G238" s="3" t="str">
        <f t="shared" si="32"/>
        <v>0</v>
      </c>
      <c r="H238" s="3" t="str">
        <f t="shared" si="32"/>
        <v>0</v>
      </c>
      <c r="I238" s="3" t="str">
        <f t="shared" si="32"/>
        <v>71539.23</v>
      </c>
      <c r="J238" s="3" t="str">
        <f t="shared" si="25"/>
        <v>71539.23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Check Once Sales quantity or Value Problem</v>
      </c>
      <c r="P238" s="3" t="str">
        <f t="shared" si="31"/>
        <v>Check Once Closing quantity or Value Problem</v>
      </c>
    </row>
    <row r="239" ht="15.75" customHeight="1">
      <c r="A239" s="10"/>
      <c r="B239" s="11" t="s">
        <v>3</v>
      </c>
      <c r="C239" s="41" t="s">
        <v>68</v>
      </c>
      <c r="D239" s="21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>
        <v>23.0</v>
      </c>
      <c r="E244" s="3"/>
      <c r="F244" s="3"/>
      <c r="G244" s="3"/>
      <c r="H244" s="3"/>
      <c r="I244" s="3">
        <v>23.0</v>
      </c>
      <c r="J244" s="3" t="str">
        <f t="shared" si="33"/>
        <v>23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>
        <v>138.0</v>
      </c>
      <c r="E245" s="3"/>
      <c r="F245" s="3">
        <v>118.0</v>
      </c>
      <c r="G245" s="3"/>
      <c r="H245" s="3"/>
      <c r="I245" s="3">
        <v>20.0</v>
      </c>
      <c r="J245" s="3" t="str">
        <f t="shared" si="33"/>
        <v>20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>
        <v>90.0</v>
      </c>
      <c r="E254" s="3">
        <v>120.0</v>
      </c>
      <c r="F254" s="3">
        <v>90.0</v>
      </c>
      <c r="G254" s="3"/>
      <c r="H254" s="3"/>
      <c r="I254" s="3">
        <v>120.0</v>
      </c>
      <c r="J254" s="3" t="str">
        <f t="shared" si="33"/>
        <v>120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>
        <v>111.0</v>
      </c>
      <c r="E255" s="3"/>
      <c r="F255" s="3">
        <v>51.0</v>
      </c>
      <c r="G255" s="3"/>
      <c r="H255" s="3"/>
      <c r="I255" s="3">
        <v>60.0</v>
      </c>
      <c r="J255" s="3" t="str">
        <f t="shared" si="33"/>
        <v>60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>
        <v>10.0</v>
      </c>
      <c r="E261" s="3"/>
      <c r="F261" s="3">
        <v>6.0</v>
      </c>
      <c r="G261" s="3"/>
      <c r="H261" s="3"/>
      <c r="I261" s="3">
        <v>4.0</v>
      </c>
      <c r="J261" s="3" t="str">
        <f t="shared" si="33"/>
        <v>4</v>
      </c>
      <c r="K261" s="27" t="str">
        <f t="shared" si="34"/>
        <v> No Issue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>
        <v>48.0</v>
      </c>
      <c r="E269" s="3">
        <v>60.0</v>
      </c>
      <c r="F269" s="3">
        <v>31.0</v>
      </c>
      <c r="G269" s="3"/>
      <c r="H269" s="3"/>
      <c r="I269" s="3">
        <v>77.0</v>
      </c>
      <c r="J269" s="3" t="str">
        <f t="shared" si="33"/>
        <v>77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>
        <v>42.0</v>
      </c>
      <c r="E272" s="3"/>
      <c r="F272" s="27">
        <v>40.0</v>
      </c>
      <c r="G272" s="27"/>
      <c r="H272" s="27"/>
      <c r="I272" s="3">
        <v>2.0</v>
      </c>
      <c r="J272" s="3" t="str">
        <f t="shared" si="33"/>
        <v>2</v>
      </c>
      <c r="K272" s="27" t="str">
        <f t="shared" si="34"/>
        <v> No Issue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>
        <v>708.0</v>
      </c>
      <c r="E274" s="3">
        <v>300.0</v>
      </c>
      <c r="F274" s="27">
        <v>662.0</v>
      </c>
      <c r="G274" s="27"/>
      <c r="H274" s="27"/>
      <c r="I274" s="3">
        <v>346.0</v>
      </c>
      <c r="J274" s="3" t="str">
        <f t="shared" si="33"/>
        <v>346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>
        <v>120.0</v>
      </c>
      <c r="E275" s="3">
        <v>250.0</v>
      </c>
      <c r="F275" s="27">
        <v>120.0</v>
      </c>
      <c r="G275" s="27"/>
      <c r="H275" s="27"/>
      <c r="I275" s="3">
        <v>250.0</v>
      </c>
      <c r="J275" s="3" t="str">
        <f t="shared" si="33"/>
        <v>250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>
        <v>150.0</v>
      </c>
      <c r="E276" s="3"/>
      <c r="F276" s="27">
        <v>50.0</v>
      </c>
      <c r="G276" s="27"/>
      <c r="H276" s="27"/>
      <c r="I276" s="3">
        <v>100.0</v>
      </c>
      <c r="J276" s="3" t="str">
        <f t="shared" si="33"/>
        <v>100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>
        <v>35.0</v>
      </c>
      <c r="E278" s="3"/>
      <c r="F278" s="27"/>
      <c r="G278" s="27"/>
      <c r="H278" s="27"/>
      <c r="I278" s="3">
        <v>35.0</v>
      </c>
      <c r="J278" s="3" t="str">
        <f t="shared" si="33"/>
        <v>35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109334.96</v>
      </c>
      <c r="E297" s="3" t="str">
        <f t="shared" si="40"/>
        <v>49752</v>
      </c>
      <c r="F297" s="3" t="str">
        <f t="shared" si="40"/>
        <v>80880.77</v>
      </c>
      <c r="G297" s="3" t="str">
        <f t="shared" si="40"/>
        <v>0</v>
      </c>
      <c r="H297" s="3" t="str">
        <f t="shared" si="40"/>
        <v>0</v>
      </c>
      <c r="I297" s="3" t="str">
        <f t="shared" si="40"/>
        <v>78206.19</v>
      </c>
      <c r="J297" s="3" t="str">
        <f t="shared" si="33"/>
        <v>78206.19</v>
      </c>
      <c r="K297" s="27" t="str">
        <f t="shared" si="34"/>
        <v> No Issue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Check Once Sales quantity or Value Problem</v>
      </c>
      <c r="P297" s="3" t="str">
        <f t="shared" si="39"/>
        <v>Check Once Closing quantity or Value Problem</v>
      </c>
    </row>
    <row r="298" ht="15.75" customHeight="1">
      <c r="A298" s="10"/>
      <c r="B298" s="11" t="s">
        <v>3</v>
      </c>
      <c r="C298" s="41" t="s">
        <v>69</v>
      </c>
      <c r="D298" s="21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>
        <v>11.0</v>
      </c>
      <c r="E312" s="3"/>
      <c r="F312" s="3"/>
      <c r="G312" s="3"/>
      <c r="H312" s="3"/>
      <c r="I312" s="3">
        <v>11.0</v>
      </c>
      <c r="J312" s="3" t="str">
        <f t="shared" si="41"/>
        <v>11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>
        <v>30.0</v>
      </c>
      <c r="E315" s="3">
        <v>260.0</v>
      </c>
      <c r="F315" s="3">
        <v>120.0</v>
      </c>
      <c r="G315" s="3"/>
      <c r="H315" s="3"/>
      <c r="I315" s="3">
        <v>170.0</v>
      </c>
      <c r="J315" s="3" t="str">
        <f t="shared" si="41"/>
        <v>170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>
        <v>90.0</v>
      </c>
      <c r="E316" s="3">
        <v>130.0</v>
      </c>
      <c r="F316" s="3">
        <v>80.0</v>
      </c>
      <c r="G316" s="3"/>
      <c r="H316" s="3"/>
      <c r="I316" s="3">
        <v>140.0</v>
      </c>
      <c r="J316" s="3" t="str">
        <f t="shared" si="41"/>
        <v>140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>
        <v>17.0</v>
      </c>
      <c r="E318" s="3"/>
      <c r="F318" s="3">
        <v>2.0</v>
      </c>
      <c r="G318" s="3"/>
      <c r="H318" s="3"/>
      <c r="I318" s="3">
        <v>15.0</v>
      </c>
      <c r="J318" s="3" t="str">
        <f t="shared" si="41"/>
        <v>15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/>
      <c r="E319" s="3">
        <v>40.0</v>
      </c>
      <c r="F319" s="3">
        <v>18.0</v>
      </c>
      <c r="G319" s="3"/>
      <c r="H319" s="3"/>
      <c r="I319" s="3">
        <v>22.0</v>
      </c>
      <c r="J319" s="3" t="str">
        <f t="shared" si="41"/>
        <v>22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>
        <v>17.0</v>
      </c>
      <c r="E320" s="3">
        <v>65.0</v>
      </c>
      <c r="F320" s="3">
        <v>41.0</v>
      </c>
      <c r="G320" s="3"/>
      <c r="H320" s="3"/>
      <c r="I320" s="3">
        <v>41.0</v>
      </c>
      <c r="J320" s="3" t="str">
        <f t="shared" si="41"/>
        <v>41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>
        <v>12.0</v>
      </c>
      <c r="E326" s="3"/>
      <c r="F326" s="3"/>
      <c r="G326" s="3"/>
      <c r="H326" s="3"/>
      <c r="I326" s="3">
        <v>12.0</v>
      </c>
      <c r="J326" s="3" t="str">
        <f t="shared" si="41"/>
        <v>12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/>
      <c r="E333" s="3">
        <v>150.0</v>
      </c>
      <c r="F333" s="27">
        <v>84.0</v>
      </c>
      <c r="G333" s="27"/>
      <c r="H333" s="27"/>
      <c r="I333" s="3">
        <v>66.0</v>
      </c>
      <c r="J333" s="3" t="str">
        <f t="shared" si="41"/>
        <v>66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>
        <v>25.0</v>
      </c>
      <c r="E334" s="3">
        <v>175.0</v>
      </c>
      <c r="F334" s="27">
        <v>130.0</v>
      </c>
      <c r="G334" s="27"/>
      <c r="H334" s="27"/>
      <c r="I334" s="3">
        <v>70.0</v>
      </c>
      <c r="J334" s="3" t="str">
        <f t="shared" si="41"/>
        <v>70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>
        <v>98.0</v>
      </c>
      <c r="E335" s="3">
        <v>280.0</v>
      </c>
      <c r="F335" s="27">
        <v>231.0</v>
      </c>
      <c r="G335" s="27"/>
      <c r="H335" s="27"/>
      <c r="I335" s="3">
        <v>147.0</v>
      </c>
      <c r="J335" s="3" t="str">
        <f t="shared" si="41"/>
        <v>147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>
        <v>14.0</v>
      </c>
      <c r="E337" s="3"/>
      <c r="F337" s="27"/>
      <c r="G337" s="27"/>
      <c r="H337" s="27"/>
      <c r="I337" s="3">
        <v>14.0</v>
      </c>
      <c r="J337" s="3" t="str">
        <f t="shared" si="41"/>
        <v>14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23935.19</v>
      </c>
      <c r="E356" s="3" t="str">
        <f t="shared" si="48"/>
        <v>78617.45</v>
      </c>
      <c r="F356" s="3" t="str">
        <f t="shared" si="48"/>
        <v>51369.09</v>
      </c>
      <c r="G356" s="3" t="str">
        <f t="shared" si="48"/>
        <v>0</v>
      </c>
      <c r="H356" s="3" t="str">
        <f t="shared" si="48"/>
        <v>0</v>
      </c>
      <c r="I356" s="3" t="str">
        <f t="shared" si="48"/>
        <v>51183.55</v>
      </c>
      <c r="J356" s="3" t="str">
        <f t="shared" si="41"/>
        <v>51183.55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Check Once Sales quantity or Value Problem</v>
      </c>
      <c r="P356" s="3" t="str">
        <f t="shared" si="47"/>
        <v>Check Once Closing quantity or Value Problem</v>
      </c>
    </row>
    <row r="357" ht="15.75" customHeight="1">
      <c r="A357" s="10"/>
      <c r="B357" s="11" t="s">
        <v>3</v>
      </c>
      <c r="C357" s="41" t="s">
        <v>70</v>
      </c>
      <c r="D357" s="21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>
        <v>60.0</v>
      </c>
      <c r="E363" s="3"/>
      <c r="F363" s="3">
        <v>60.0</v>
      </c>
      <c r="G363" s="3"/>
      <c r="H363" s="3"/>
      <c r="I363" s="3"/>
      <c r="J363" s="3" t="str">
        <f t="shared" si="49"/>
        <v>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>
        <v>140.0</v>
      </c>
      <c r="E372" s="3">
        <v>180.0</v>
      </c>
      <c r="F372" s="3">
        <v>180.0</v>
      </c>
      <c r="G372" s="3"/>
      <c r="H372" s="3"/>
      <c r="I372" s="3">
        <v>140.0</v>
      </c>
      <c r="J372" s="3" t="str">
        <f t="shared" si="49"/>
        <v>140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>
        <v>450.0</v>
      </c>
      <c r="E392" s="3">
        <v>450.0</v>
      </c>
      <c r="F392" s="27">
        <v>450.0</v>
      </c>
      <c r="G392" s="27"/>
      <c r="H392" s="27"/>
      <c r="I392" s="3">
        <v>450.0</v>
      </c>
      <c r="J392" s="3" t="str">
        <f t="shared" si="49"/>
        <v>450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/>
      <c r="F394" s="27"/>
      <c r="G394" s="27"/>
      <c r="H394" s="27"/>
      <c r="I394" s="3"/>
      <c r="J394" s="3" t="str">
        <f t="shared" si="49"/>
        <v>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40477.8</v>
      </c>
      <c r="E415" s="3" t="str">
        <f t="shared" si="56"/>
        <v>38390.4</v>
      </c>
      <c r="F415" s="3" t="str">
        <f t="shared" si="56"/>
        <v>42591</v>
      </c>
      <c r="G415" s="3" t="str">
        <f t="shared" si="56"/>
        <v>0</v>
      </c>
      <c r="H415" s="3" t="str">
        <f t="shared" si="56"/>
        <v>0</v>
      </c>
      <c r="I415" s="3" t="str">
        <f t="shared" si="56"/>
        <v>36277.2</v>
      </c>
      <c r="J415" s="3" t="str">
        <f t="shared" si="49"/>
        <v>36277.2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Check Once Sales quantity or Value Problem</v>
      </c>
      <c r="P415" s="3" t="str">
        <f t="shared" si="55"/>
        <v>Check Once Closing quantity or Value Problem</v>
      </c>
    </row>
    <row r="416" ht="15.75" customHeight="1">
      <c r="A416" s="10"/>
      <c r="B416" s="11" t="s">
        <v>3</v>
      </c>
      <c r="C416" s="41" t="s">
        <v>71</v>
      </c>
      <c r="D416" s="21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>
        <v>44.0</v>
      </c>
      <c r="E418" s="3"/>
      <c r="F418" s="3">
        <v>20.0</v>
      </c>
      <c r="G418" s="3"/>
      <c r="H418" s="3"/>
      <c r="I418" s="3">
        <v>24.0</v>
      </c>
      <c r="J418" s="3" t="str">
        <f t="shared" ref="J418:J474" si="57">D418+E418-F418-G418+H418</f>
        <v>24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>
        <v>200.0</v>
      </c>
      <c r="E419" s="3"/>
      <c r="F419" s="3">
        <v>100.0</v>
      </c>
      <c r="G419" s="3"/>
      <c r="H419" s="3"/>
      <c r="I419" s="3">
        <v>100.0</v>
      </c>
      <c r="J419" s="3" t="str">
        <f t="shared" si="57"/>
        <v>100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>
        <v>27.0</v>
      </c>
      <c r="E420" s="3"/>
      <c r="F420" s="3">
        <v>20.0</v>
      </c>
      <c r="G420" s="3"/>
      <c r="H420" s="3"/>
      <c r="I420" s="3">
        <v>7.0</v>
      </c>
      <c r="J420" s="3" t="str">
        <f t="shared" si="57"/>
        <v>7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>
        <v>34.0</v>
      </c>
      <c r="E424" s="3"/>
      <c r="F424" s="3">
        <v>34.0</v>
      </c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>
        <v>450.0</v>
      </c>
      <c r="E427" s="3"/>
      <c r="F427" s="3">
        <v>300.0</v>
      </c>
      <c r="G427" s="3"/>
      <c r="H427" s="3"/>
      <c r="I427" s="3">
        <v>150.0</v>
      </c>
      <c r="J427" s="3" t="str">
        <f t="shared" si="57"/>
        <v>150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>
        <v>30.0</v>
      </c>
      <c r="E431" s="3"/>
      <c r="F431" s="3">
        <v>30.0</v>
      </c>
      <c r="G431" s="3"/>
      <c r="H431" s="3"/>
      <c r="I431" s="3"/>
      <c r="J431" s="3" t="str">
        <f t="shared" si="57"/>
        <v>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>
        <v>164.0</v>
      </c>
      <c r="E432" s="3"/>
      <c r="F432" s="3">
        <v>100.0</v>
      </c>
      <c r="G432" s="3"/>
      <c r="H432" s="3"/>
      <c r="I432" s="3">
        <v>64.0</v>
      </c>
      <c r="J432" s="3" t="str">
        <f t="shared" si="57"/>
        <v>64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>
        <v>300.0</v>
      </c>
      <c r="E433" s="3"/>
      <c r="F433" s="3">
        <v>200.0</v>
      </c>
      <c r="G433" s="3"/>
      <c r="H433" s="3"/>
      <c r="I433" s="3">
        <v>100.0</v>
      </c>
      <c r="J433" s="3" t="str">
        <f t="shared" si="57"/>
        <v>100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>
        <v>189.0</v>
      </c>
      <c r="E434" s="3"/>
      <c r="F434" s="3">
        <v>89.0</v>
      </c>
      <c r="G434" s="3"/>
      <c r="H434" s="3"/>
      <c r="I434" s="3">
        <v>100.0</v>
      </c>
      <c r="J434" s="3" t="str">
        <f t="shared" si="57"/>
        <v>100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>
        <v>70.0</v>
      </c>
      <c r="E438" s="3"/>
      <c r="F438" s="3">
        <v>30.0</v>
      </c>
      <c r="G438" s="3"/>
      <c r="H438" s="3"/>
      <c r="I438" s="3">
        <v>40.0</v>
      </c>
      <c r="J438" s="3" t="str">
        <f t="shared" si="57"/>
        <v>40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>
        <v>36.0</v>
      </c>
      <c r="E441" s="3"/>
      <c r="F441" s="3"/>
      <c r="G441" s="3"/>
      <c r="H441" s="3"/>
      <c r="I441" s="3">
        <v>36.0</v>
      </c>
      <c r="J441" s="3" t="str">
        <f t="shared" si="57"/>
        <v>36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>
        <v>130.0</v>
      </c>
      <c r="E444" s="3"/>
      <c r="F444" s="3">
        <v>70.0</v>
      </c>
      <c r="G444" s="3"/>
      <c r="H444" s="3"/>
      <c r="I444" s="3">
        <v>60.0</v>
      </c>
      <c r="J444" s="3" t="str">
        <f t="shared" si="57"/>
        <v>60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>
        <v>18.0</v>
      </c>
      <c r="E447" s="3"/>
      <c r="F447" s="27"/>
      <c r="G447" s="27"/>
      <c r="H447" s="27"/>
      <c r="I447" s="3">
        <v>18.0</v>
      </c>
      <c r="J447" s="3" t="str">
        <f t="shared" si="57"/>
        <v>18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>
        <v>9.0</v>
      </c>
      <c r="E449" s="3"/>
      <c r="F449" s="27">
        <v>9.0</v>
      </c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>
        <v>39.0</v>
      </c>
      <c r="E451" s="3"/>
      <c r="F451" s="27">
        <v>39.0</v>
      </c>
      <c r="G451" s="27"/>
      <c r="H451" s="27"/>
      <c r="I451" s="3"/>
      <c r="J451" s="3" t="str">
        <f t="shared" si="57"/>
        <v>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>
        <v>399.0</v>
      </c>
      <c r="E452" s="3"/>
      <c r="F452" s="27">
        <v>199.0</v>
      </c>
      <c r="G452" s="27"/>
      <c r="H452" s="27"/>
      <c r="I452" s="3">
        <v>200.0</v>
      </c>
      <c r="J452" s="3" t="str">
        <f t="shared" si="57"/>
        <v>200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>
        <v>9.0</v>
      </c>
      <c r="E453" s="3"/>
      <c r="F453" s="27">
        <v>9.0</v>
      </c>
      <c r="G453" s="27"/>
      <c r="H453" s="27"/>
      <c r="I453" s="3"/>
      <c r="J453" s="3" t="str">
        <f t="shared" si="57"/>
        <v>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>
        <v>52.0</v>
      </c>
      <c r="E455" s="3"/>
      <c r="F455" s="27">
        <v>32.0</v>
      </c>
      <c r="G455" s="27"/>
      <c r="H455" s="27"/>
      <c r="I455" s="3">
        <v>20.0</v>
      </c>
      <c r="J455" s="3" t="str">
        <f t="shared" si="57"/>
        <v>20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108087.58</v>
      </c>
      <c r="E474" s="3" t="str">
        <f t="shared" si="64"/>
        <v>0</v>
      </c>
      <c r="F474" s="3" t="str">
        <f t="shared" si="64"/>
        <v>60399.47</v>
      </c>
      <c r="G474" s="3" t="str">
        <f t="shared" si="64"/>
        <v>0</v>
      </c>
      <c r="H474" s="3" t="str">
        <f t="shared" si="64"/>
        <v>0</v>
      </c>
      <c r="I474" s="3" t="str">
        <f t="shared" si="64"/>
        <v>47688.11</v>
      </c>
      <c r="J474" s="3" t="str">
        <f t="shared" si="57"/>
        <v>47688.11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Check Once Sales quantity or Value Problem</v>
      </c>
      <c r="P474" s="3" t="str">
        <f t="shared" si="63"/>
        <v>Check Once Closing quantity or Value Problem</v>
      </c>
    </row>
    <row r="475" ht="15.75" customHeight="1">
      <c r="A475" s="10"/>
      <c r="B475" s="11" t="s">
        <v>3</v>
      </c>
      <c r="C475" s="41" t="s">
        <v>72</v>
      </c>
      <c r="D475" s="21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>
        <v>300.0</v>
      </c>
      <c r="E478" s="3"/>
      <c r="F478" s="3">
        <v>150.0</v>
      </c>
      <c r="G478" s="3"/>
      <c r="H478" s="3"/>
      <c r="I478" s="3">
        <v>150.0</v>
      </c>
      <c r="J478" s="3" t="str">
        <f t="shared" si="65"/>
        <v>150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>
        <v>106.0</v>
      </c>
      <c r="E499" s="3"/>
      <c r="F499" s="3"/>
      <c r="G499" s="3"/>
      <c r="H499" s="3"/>
      <c r="I499" s="3">
        <v>106.0</v>
      </c>
      <c r="J499" s="3" t="str">
        <f t="shared" si="65"/>
        <v>106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>
        <v>74.0</v>
      </c>
      <c r="E500" s="3"/>
      <c r="F500" s="3"/>
      <c r="G500" s="3"/>
      <c r="H500" s="3"/>
      <c r="I500" s="3">
        <v>74.0</v>
      </c>
      <c r="J500" s="3" t="str">
        <f t="shared" si="65"/>
        <v>74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>
        <v>143.0</v>
      </c>
      <c r="E501" s="3"/>
      <c r="F501" s="3"/>
      <c r="G501" s="3"/>
      <c r="H501" s="3"/>
      <c r="I501" s="3">
        <v>143.0</v>
      </c>
      <c r="J501" s="3" t="str">
        <f t="shared" si="65"/>
        <v>143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>
        <v>69.0</v>
      </c>
      <c r="E503" s="3"/>
      <c r="F503" s="3">
        <v>24.0</v>
      </c>
      <c r="G503" s="3"/>
      <c r="H503" s="3"/>
      <c r="I503" s="3">
        <v>45.0</v>
      </c>
      <c r="J503" s="3" t="str">
        <f t="shared" si="65"/>
        <v>45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>
        <v>66.0</v>
      </c>
      <c r="E505" s="3"/>
      <c r="F505" s="3">
        <v>16.0</v>
      </c>
      <c r="G505" s="3"/>
      <c r="H505" s="3"/>
      <c r="I505" s="3">
        <v>50.0</v>
      </c>
      <c r="J505" s="3" t="str">
        <f t="shared" si="65"/>
        <v>50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>
        <v>147.0</v>
      </c>
      <c r="E506" s="3"/>
      <c r="F506" s="27">
        <v>30.0</v>
      </c>
      <c r="G506" s="27"/>
      <c r="H506" s="27"/>
      <c r="I506" s="3">
        <v>117.0</v>
      </c>
      <c r="J506" s="3" t="str">
        <f t="shared" si="65"/>
        <v>117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>
        <v>100.0</v>
      </c>
      <c r="E510" s="3"/>
      <c r="F510" s="27">
        <v>50.0</v>
      </c>
      <c r="G510" s="27"/>
      <c r="H510" s="27"/>
      <c r="I510" s="3">
        <v>50.0</v>
      </c>
      <c r="J510" s="3" t="str">
        <f t="shared" si="65"/>
        <v>50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>
        <v>150.0</v>
      </c>
      <c r="E511" s="3"/>
      <c r="F511" s="27">
        <v>50.0</v>
      </c>
      <c r="G511" s="27"/>
      <c r="H511" s="27"/>
      <c r="I511" s="3">
        <v>100.0</v>
      </c>
      <c r="J511" s="3" t="str">
        <f t="shared" si="65"/>
        <v>100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>
        <v>100.0</v>
      </c>
      <c r="E512" s="3"/>
      <c r="F512" s="27">
        <v>50.0</v>
      </c>
      <c r="G512" s="27"/>
      <c r="H512" s="27"/>
      <c r="I512" s="3">
        <v>50.0</v>
      </c>
      <c r="J512" s="3" t="str">
        <f t="shared" si="65"/>
        <v>50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>
        <v>10.0</v>
      </c>
      <c r="E514" s="3"/>
      <c r="F514" s="27"/>
      <c r="G514" s="27"/>
      <c r="H514" s="27"/>
      <c r="I514" s="3">
        <v>10.0</v>
      </c>
      <c r="J514" s="3" t="str">
        <f t="shared" si="65"/>
        <v>10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86877.87</v>
      </c>
      <c r="E533" s="3" t="str">
        <f t="shared" si="72"/>
        <v>0</v>
      </c>
      <c r="F533" s="3" t="str">
        <f t="shared" si="72"/>
        <v>20713.36</v>
      </c>
      <c r="G533" s="3" t="str">
        <f t="shared" si="72"/>
        <v>0</v>
      </c>
      <c r="H533" s="3" t="str">
        <f t="shared" si="72"/>
        <v>0</v>
      </c>
      <c r="I533" s="3" t="str">
        <f t="shared" si="72"/>
        <v>66164.51</v>
      </c>
      <c r="J533" s="3" t="str">
        <f t="shared" si="65"/>
        <v>66164.51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Check Once Sales quantity or Value Problem</v>
      </c>
      <c r="P533" s="3" t="str">
        <f t="shared" si="71"/>
        <v>Check Once Closing quantity or Value Problem</v>
      </c>
    </row>
    <row r="534" ht="15.75" customHeight="1">
      <c r="A534" s="10"/>
      <c r="B534" s="11" t="s">
        <v>3</v>
      </c>
      <c r="C534" s="41" t="s">
        <v>73</v>
      </c>
      <c r="D534" s="21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>
        <v>83.0</v>
      </c>
      <c r="E540" s="3"/>
      <c r="F540" s="3"/>
      <c r="G540" s="3"/>
      <c r="H540" s="3"/>
      <c r="I540" s="3">
        <v>83.0</v>
      </c>
      <c r="J540" s="3" t="str">
        <f t="shared" si="73"/>
        <v>83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>
        <v>75.0</v>
      </c>
      <c r="E547" s="3"/>
      <c r="F547" s="3">
        <v>30.0</v>
      </c>
      <c r="G547" s="3"/>
      <c r="H547" s="3"/>
      <c r="I547" s="3">
        <v>45.0</v>
      </c>
      <c r="J547" s="3" t="str">
        <f t="shared" si="73"/>
        <v>45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>
        <v>75.0</v>
      </c>
      <c r="E548" s="3"/>
      <c r="F548" s="3">
        <v>30.0</v>
      </c>
      <c r="G548" s="3"/>
      <c r="H548" s="3"/>
      <c r="I548" s="3">
        <v>45.0</v>
      </c>
      <c r="J548" s="3" t="str">
        <f t="shared" si="73"/>
        <v>45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>
        <v>62.0</v>
      </c>
      <c r="E549" s="3"/>
      <c r="F549" s="3"/>
      <c r="G549" s="3"/>
      <c r="H549" s="3"/>
      <c r="I549" s="3">
        <v>62.0</v>
      </c>
      <c r="J549" s="3" t="str">
        <f t="shared" si="73"/>
        <v>62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>
        <v>58.0</v>
      </c>
      <c r="E550" s="3"/>
      <c r="F550" s="3"/>
      <c r="G550" s="3"/>
      <c r="H550" s="3"/>
      <c r="I550" s="3">
        <v>58.0</v>
      </c>
      <c r="J550" s="3" t="str">
        <f t="shared" si="73"/>
        <v>58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>
        <v>132.0</v>
      </c>
      <c r="E551" s="3"/>
      <c r="F551" s="3"/>
      <c r="G551" s="3"/>
      <c r="H551" s="3"/>
      <c r="I551" s="3">
        <v>132.0</v>
      </c>
      <c r="J551" s="3" t="str">
        <f t="shared" si="73"/>
        <v>132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/>
      <c r="E552" s="3">
        <v>130.0</v>
      </c>
      <c r="F552" s="3"/>
      <c r="G552" s="3"/>
      <c r="H552" s="3"/>
      <c r="I552" s="3">
        <v>130.0</v>
      </c>
      <c r="J552" s="3" t="str">
        <f t="shared" si="73"/>
        <v>130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>
        <v>32.0</v>
      </c>
      <c r="E554" s="3"/>
      <c r="F554" s="3"/>
      <c r="G554" s="3"/>
      <c r="H554" s="3"/>
      <c r="I554" s="3">
        <v>32.0</v>
      </c>
      <c r="J554" s="3" t="str">
        <f t="shared" si="73"/>
        <v>32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>
        <v>4.0</v>
      </c>
      <c r="E555" s="3">
        <v>40.0</v>
      </c>
      <c r="F555" s="3">
        <v>15.0</v>
      </c>
      <c r="G555" s="3"/>
      <c r="H555" s="3"/>
      <c r="I555" s="3">
        <v>29.0</v>
      </c>
      <c r="J555" s="3" t="str">
        <f t="shared" si="73"/>
        <v>29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>
        <v>85.0</v>
      </c>
      <c r="E558" s="3"/>
      <c r="F558" s="3"/>
      <c r="G558" s="3"/>
      <c r="H558" s="3"/>
      <c r="I558" s="3">
        <v>85.0</v>
      </c>
      <c r="J558" s="3" t="str">
        <f t="shared" si="73"/>
        <v>85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>
        <v>35.0</v>
      </c>
      <c r="E560" s="3"/>
      <c r="F560" s="3"/>
      <c r="G560" s="3"/>
      <c r="H560" s="3"/>
      <c r="I560" s="3">
        <v>35.0</v>
      </c>
      <c r="J560" s="3" t="str">
        <f t="shared" si="73"/>
        <v>35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>
        <v>57.0</v>
      </c>
      <c r="E562" s="3"/>
      <c r="F562" s="3"/>
      <c r="G562" s="3"/>
      <c r="H562" s="3"/>
      <c r="I562" s="3">
        <v>57.0</v>
      </c>
      <c r="J562" s="3" t="str">
        <f t="shared" si="73"/>
        <v>57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>
        <v>24.0</v>
      </c>
      <c r="E564" s="3"/>
      <c r="F564" s="3"/>
      <c r="G564" s="3"/>
      <c r="H564" s="3"/>
      <c r="I564" s="3">
        <v>24.0</v>
      </c>
      <c r="J564" s="3" t="str">
        <f t="shared" si="73"/>
        <v>24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>
        <v>150.0</v>
      </c>
      <c r="E565" s="3"/>
      <c r="F565" s="27"/>
      <c r="G565" s="27"/>
      <c r="H565" s="27"/>
      <c r="I565" s="3">
        <v>150.0</v>
      </c>
      <c r="J565" s="3" t="str">
        <f t="shared" si="73"/>
        <v>150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>
        <v>45.0</v>
      </c>
      <c r="E566" s="3"/>
      <c r="F566" s="27"/>
      <c r="G566" s="27"/>
      <c r="H566" s="27"/>
      <c r="I566" s="3">
        <v>45.0</v>
      </c>
      <c r="J566" s="3" t="str">
        <f t="shared" si="73"/>
        <v>45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>
        <v>129.0</v>
      </c>
      <c r="E567" s="3"/>
      <c r="F567" s="27">
        <v>40.0</v>
      </c>
      <c r="G567" s="27"/>
      <c r="H567" s="27"/>
      <c r="I567" s="3">
        <v>89.0</v>
      </c>
      <c r="J567" s="3" t="str">
        <f t="shared" si="73"/>
        <v>89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/>
      <c r="E569" s="3">
        <v>600.0</v>
      </c>
      <c r="F569" s="27">
        <v>300.0</v>
      </c>
      <c r="G569" s="27"/>
      <c r="H569" s="27"/>
      <c r="I569" s="3">
        <v>300.0</v>
      </c>
      <c r="J569" s="3" t="str">
        <f t="shared" si="73"/>
        <v>300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>
        <v>230.0</v>
      </c>
      <c r="E570" s="3"/>
      <c r="F570" s="27">
        <v>130.0</v>
      </c>
      <c r="G570" s="27"/>
      <c r="H570" s="27"/>
      <c r="I570" s="3">
        <v>100.0</v>
      </c>
      <c r="J570" s="3" t="str">
        <f t="shared" si="73"/>
        <v>100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>
        <v>148.0</v>
      </c>
      <c r="E571" s="3">
        <v>280.0</v>
      </c>
      <c r="F571" s="27">
        <v>148.0</v>
      </c>
      <c r="G571" s="27"/>
      <c r="H571" s="27"/>
      <c r="I571" s="3">
        <v>280.0</v>
      </c>
      <c r="J571" s="3" t="str">
        <f t="shared" si="73"/>
        <v>280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>
        <v>77.0</v>
      </c>
      <c r="E573" s="3"/>
      <c r="F573" s="27">
        <v>27.0</v>
      </c>
      <c r="G573" s="27"/>
      <c r="H573" s="27"/>
      <c r="I573" s="3">
        <v>50.0</v>
      </c>
      <c r="J573" s="3" t="str">
        <f t="shared" si="73"/>
        <v>50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116421.97</v>
      </c>
      <c r="E592" s="3" t="str">
        <f t="shared" si="80"/>
        <v>79157.4</v>
      </c>
      <c r="F592" s="3" t="str">
        <f t="shared" si="80"/>
        <v>51862.45</v>
      </c>
      <c r="G592" s="3" t="str">
        <f t="shared" si="80"/>
        <v>0</v>
      </c>
      <c r="H592" s="3" t="str">
        <f t="shared" si="80"/>
        <v>0</v>
      </c>
      <c r="I592" s="3" t="str">
        <f t="shared" si="80"/>
        <v>143716.92</v>
      </c>
      <c r="J592" s="3" t="str">
        <f t="shared" si="73"/>
        <v>143716.92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Check Once Sales quantity or Value Problem</v>
      </c>
      <c r="P592" s="3" t="str">
        <f t="shared" si="79"/>
        <v>Check Once Closing quantity or Value Problem</v>
      </c>
    </row>
    <row r="593" ht="15.75" customHeight="1">
      <c r="A593" s="10"/>
      <c r="B593" s="11" t="s">
        <v>3</v>
      </c>
      <c r="C593" s="39"/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/>
      <c r="F599" s="3"/>
      <c r="G599" s="3"/>
      <c r="H599" s="3"/>
      <c r="I599" s="3"/>
      <c r="J599" s="3" t="str">
        <f t="shared" si="81"/>
        <v>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/>
      <c r="F626" s="27"/>
      <c r="G626" s="27"/>
      <c r="H626" s="27"/>
      <c r="I626" s="3"/>
      <c r="J626" s="3" t="str">
        <f t="shared" si="81"/>
        <v>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/>
      <c r="F632" s="27"/>
      <c r="G632" s="27"/>
      <c r="H632" s="27"/>
      <c r="I632" s="3"/>
      <c r="J632" s="3" t="str">
        <f t="shared" si="81"/>
        <v>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0</v>
      </c>
      <c r="F651" s="3" t="str">
        <f t="shared" si="88"/>
        <v>0</v>
      </c>
      <c r="G651" s="3" t="str">
        <f t="shared" si="88"/>
        <v>0</v>
      </c>
      <c r="H651" s="3" t="str">
        <f t="shared" si="88"/>
        <v>0</v>
      </c>
      <c r="I651" s="3" t="str">
        <f t="shared" si="88"/>
        <v>0</v>
      </c>
      <c r="J651" s="3" t="str">
        <f t="shared" si="81"/>
        <v>0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No Issue</v>
      </c>
      <c r="P651" s="3" t="str">
        <f t="shared" si="87"/>
        <v>NoIssue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8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114</v>
      </c>
      <c r="E890" s="3" t="str">
        <f t="shared" si="121"/>
        <v>0</v>
      </c>
      <c r="F890" s="3" t="str">
        <f t="shared" si="121"/>
        <v>40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74</v>
      </c>
      <c r="J890" s="3" t="str">
        <f t="shared" ref="J890:J946" si="123">D890+E890-F890-G890+H890</f>
        <v>74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500</v>
      </c>
      <c r="E891" s="3" t="str">
        <f t="shared" si="122"/>
        <v>700</v>
      </c>
      <c r="F891" s="3" t="str">
        <f t="shared" si="122"/>
        <v>750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450</v>
      </c>
      <c r="J891" s="3" t="str">
        <f t="shared" si="123"/>
        <v>450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59</v>
      </c>
      <c r="E892" s="3" t="str">
        <f t="shared" si="130"/>
        <v>40</v>
      </c>
      <c r="F892" s="3" t="str">
        <f t="shared" si="130"/>
        <v>52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47</v>
      </c>
      <c r="J892" s="3" t="str">
        <f t="shared" si="123"/>
        <v>47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66</v>
      </c>
      <c r="E893" s="3" t="str">
        <f t="shared" si="131"/>
        <v>0</v>
      </c>
      <c r="F893" s="3" t="str">
        <f t="shared" si="131"/>
        <v>13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53</v>
      </c>
      <c r="J893" s="3" t="str">
        <f t="shared" si="123"/>
        <v>53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401</v>
      </c>
      <c r="E894" s="3" t="str">
        <f t="shared" si="132"/>
        <v>260</v>
      </c>
      <c r="F894" s="3" t="str">
        <f t="shared" si="132"/>
        <v>416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245</v>
      </c>
      <c r="J894" s="3" t="str">
        <f t="shared" si="123"/>
        <v>245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30</v>
      </c>
      <c r="E895" s="3" t="str">
        <f t="shared" si="133"/>
        <v>0</v>
      </c>
      <c r="F895" s="3" t="str">
        <f t="shared" si="133"/>
        <v>20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10</v>
      </c>
      <c r="J895" s="3" t="str">
        <f t="shared" si="123"/>
        <v>10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74</v>
      </c>
      <c r="E896" s="3" t="str">
        <f t="shared" si="134"/>
        <v>0</v>
      </c>
      <c r="F896" s="3" t="str">
        <f t="shared" si="134"/>
        <v>34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40</v>
      </c>
      <c r="J896" s="3" t="str">
        <f t="shared" si="123"/>
        <v>40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450</v>
      </c>
      <c r="E899" s="3" t="str">
        <f t="shared" si="137"/>
        <v>0</v>
      </c>
      <c r="F899" s="3" t="str">
        <f t="shared" si="137"/>
        <v>300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150</v>
      </c>
      <c r="J899" s="3" t="str">
        <f t="shared" si="123"/>
        <v>150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40</v>
      </c>
      <c r="E900" s="3" t="str">
        <f t="shared" si="138"/>
        <v>0</v>
      </c>
      <c r="F900" s="3" t="str">
        <f t="shared" si="138"/>
        <v>20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20</v>
      </c>
      <c r="J900" s="3" t="str">
        <f t="shared" si="123"/>
        <v>20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119</v>
      </c>
      <c r="E901" s="3" t="str">
        <f t="shared" si="139"/>
        <v>160</v>
      </c>
      <c r="F901" s="3" t="str">
        <f t="shared" si="139"/>
        <v>69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210</v>
      </c>
      <c r="J901" s="3" t="str">
        <f t="shared" si="123"/>
        <v>210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127</v>
      </c>
      <c r="E902" s="3" t="str">
        <f t="shared" si="140"/>
        <v>220</v>
      </c>
      <c r="F902" s="3" t="str">
        <f t="shared" si="140"/>
        <v>70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277</v>
      </c>
      <c r="J902" s="3" t="str">
        <f t="shared" si="123"/>
        <v>277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358</v>
      </c>
      <c r="E903" s="3" t="str">
        <f t="shared" si="141"/>
        <v>540</v>
      </c>
      <c r="F903" s="3" t="str">
        <f t="shared" si="141"/>
        <v>456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442</v>
      </c>
      <c r="J903" s="3" t="str">
        <f t="shared" si="123"/>
        <v>442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458</v>
      </c>
      <c r="E904" s="3" t="str">
        <f t="shared" si="142"/>
        <v>540</v>
      </c>
      <c r="F904" s="3" t="str">
        <f t="shared" si="142"/>
        <v>517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481</v>
      </c>
      <c r="J904" s="3" t="str">
        <f t="shared" si="123"/>
        <v>481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588</v>
      </c>
      <c r="E905" s="3" t="str">
        <f t="shared" si="143"/>
        <v>780</v>
      </c>
      <c r="F905" s="3" t="str">
        <f t="shared" si="143"/>
        <v>638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730</v>
      </c>
      <c r="J905" s="3" t="str">
        <f t="shared" si="123"/>
        <v>730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411</v>
      </c>
      <c r="E906" s="3" t="str">
        <f t="shared" si="144"/>
        <v>260</v>
      </c>
      <c r="F906" s="3" t="str">
        <f t="shared" si="144"/>
        <v>281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390</v>
      </c>
      <c r="J906" s="3" t="str">
        <f t="shared" si="123"/>
        <v>390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32</v>
      </c>
      <c r="E907" s="3" t="str">
        <f t="shared" si="145"/>
        <v>0</v>
      </c>
      <c r="F907" s="3" t="str">
        <f t="shared" si="145"/>
        <v>23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9</v>
      </c>
      <c r="J907" s="3" t="str">
        <f t="shared" si="123"/>
        <v>9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159</v>
      </c>
      <c r="E908" s="3" t="str">
        <f t="shared" si="146"/>
        <v>70</v>
      </c>
      <c r="F908" s="3" t="str">
        <f t="shared" si="146"/>
        <v>71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158</v>
      </c>
      <c r="J908" s="3" t="str">
        <f t="shared" si="123"/>
        <v>158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67</v>
      </c>
      <c r="E909" s="3" t="str">
        <f t="shared" si="147"/>
        <v>120</v>
      </c>
      <c r="F909" s="3" t="str">
        <f t="shared" si="147"/>
        <v>79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108</v>
      </c>
      <c r="J909" s="3" t="str">
        <f t="shared" si="123"/>
        <v>108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171</v>
      </c>
      <c r="E910" s="3" t="str">
        <f t="shared" si="148"/>
        <v>130</v>
      </c>
      <c r="F910" s="3" t="str">
        <f t="shared" si="148"/>
        <v>151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150</v>
      </c>
      <c r="J910" s="3" t="str">
        <f t="shared" si="123"/>
        <v>150</v>
      </c>
      <c r="K910" s="27" t="str">
        <f t="shared" si="124"/>
        <v> No Issue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65</v>
      </c>
      <c r="E911" s="3" t="str">
        <f t="shared" si="149"/>
        <v>0</v>
      </c>
      <c r="F911" s="3" t="str">
        <f t="shared" si="149"/>
        <v>5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60</v>
      </c>
      <c r="J911" s="3" t="str">
        <f t="shared" si="123"/>
        <v>60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216</v>
      </c>
      <c r="E912" s="3" t="str">
        <f t="shared" si="150"/>
        <v>260</v>
      </c>
      <c r="F912" s="3" t="str">
        <f t="shared" si="150"/>
        <v>135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341</v>
      </c>
      <c r="J912" s="3" t="str">
        <f t="shared" si="123"/>
        <v>341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173</v>
      </c>
      <c r="E913" s="3" t="str">
        <f t="shared" si="151"/>
        <v>260</v>
      </c>
      <c r="F913" s="3" t="str">
        <f t="shared" si="151"/>
        <v>12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421</v>
      </c>
      <c r="J913" s="3" t="str">
        <f t="shared" si="123"/>
        <v>421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259</v>
      </c>
      <c r="E914" s="3" t="str">
        <f t="shared" si="152"/>
        <v>130</v>
      </c>
      <c r="F914" s="3" t="str">
        <f t="shared" si="152"/>
        <v>111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278</v>
      </c>
      <c r="J914" s="3" t="str">
        <f t="shared" si="123"/>
        <v>278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276</v>
      </c>
      <c r="E916" s="3" t="str">
        <f t="shared" si="154"/>
        <v>130</v>
      </c>
      <c r="F916" s="3" t="str">
        <f t="shared" si="154"/>
        <v>166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240</v>
      </c>
      <c r="J916" s="3" t="str">
        <f t="shared" si="123"/>
        <v>240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0</v>
      </c>
      <c r="E917" s="3" t="str">
        <f t="shared" si="155"/>
        <v>55</v>
      </c>
      <c r="F917" s="3" t="str">
        <f t="shared" si="155"/>
        <v>22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33</v>
      </c>
      <c r="J917" s="3" t="str">
        <f t="shared" si="123"/>
        <v>33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146</v>
      </c>
      <c r="E918" s="3" t="str">
        <f t="shared" si="156"/>
        <v>180</v>
      </c>
      <c r="F918" s="3" t="str">
        <f t="shared" si="156"/>
        <v>111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215</v>
      </c>
      <c r="J918" s="3" t="str">
        <f t="shared" si="123"/>
        <v>215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378</v>
      </c>
      <c r="E919" s="3" t="str">
        <f t="shared" si="157"/>
        <v>130</v>
      </c>
      <c r="F919" s="3" t="str">
        <f t="shared" si="157"/>
        <v>90</v>
      </c>
      <c r="G919" s="3" t="str">
        <f t="shared" si="157"/>
        <v>0</v>
      </c>
      <c r="H919" s="3" t="str">
        <f t="shared" si="157"/>
        <v>0</v>
      </c>
      <c r="I919" s="3" t="str">
        <f t="shared" si="157"/>
        <v>418</v>
      </c>
      <c r="J919" s="3" t="str">
        <f t="shared" si="123"/>
        <v>418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85</v>
      </c>
      <c r="E920" s="3" t="str">
        <f t="shared" si="158"/>
        <v>0</v>
      </c>
      <c r="F920" s="3" t="str">
        <f t="shared" si="158"/>
        <v>0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85</v>
      </c>
      <c r="J920" s="3" t="str">
        <f t="shared" si="123"/>
        <v>85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195</v>
      </c>
      <c r="E921" s="3" t="str">
        <f t="shared" si="159"/>
        <v>75</v>
      </c>
      <c r="F921" s="3" t="str">
        <f t="shared" si="159"/>
        <v>149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121</v>
      </c>
      <c r="J921" s="3" t="str">
        <f t="shared" si="123"/>
        <v>121</v>
      </c>
      <c r="K921" s="27" t="str">
        <f t="shared" si="124"/>
        <v> No Issue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55</v>
      </c>
      <c r="E922" s="3" t="str">
        <f t="shared" si="160"/>
        <v>0</v>
      </c>
      <c r="F922" s="3" t="str">
        <f t="shared" si="160"/>
        <v>0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55</v>
      </c>
      <c r="J922" s="3" t="str">
        <f t="shared" si="123"/>
        <v>55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1953</v>
      </c>
      <c r="E923" s="3" t="str">
        <f t="shared" si="161"/>
        <v>3300</v>
      </c>
      <c r="F923" s="3" t="str">
        <f t="shared" si="161"/>
        <v>3060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2193</v>
      </c>
      <c r="J923" s="3" t="str">
        <f t="shared" si="123"/>
        <v>2193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1965</v>
      </c>
      <c r="E924" s="3" t="str">
        <f t="shared" si="162"/>
        <v>3225</v>
      </c>
      <c r="F924" s="3" t="str">
        <f t="shared" si="162"/>
        <v>2526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2664</v>
      </c>
      <c r="J924" s="3" t="str">
        <f t="shared" si="123"/>
        <v>2664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748</v>
      </c>
      <c r="E925" s="3" t="str">
        <f t="shared" si="163"/>
        <v>3200</v>
      </c>
      <c r="F925" s="3" t="str">
        <f t="shared" si="163"/>
        <v>960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2988</v>
      </c>
      <c r="J925" s="3" t="str">
        <f t="shared" si="123"/>
        <v>2988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594</v>
      </c>
      <c r="E927" s="3" t="str">
        <f t="shared" si="165"/>
        <v>220</v>
      </c>
      <c r="F927" s="3" t="str">
        <f t="shared" si="165"/>
        <v>235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579</v>
      </c>
      <c r="J927" s="3" t="str">
        <f t="shared" si="123"/>
        <v>579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0</v>
      </c>
      <c r="E928" s="3" t="str">
        <f t="shared" si="166"/>
        <v>100</v>
      </c>
      <c r="F928" s="3" t="str">
        <f t="shared" si="166"/>
        <v>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100</v>
      </c>
      <c r="J928" s="3" t="str">
        <f t="shared" si="123"/>
        <v>100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104</v>
      </c>
      <c r="E931" s="3" t="str">
        <f t="shared" si="169"/>
        <v>0</v>
      </c>
      <c r="F931" s="3" t="str">
        <f t="shared" si="169"/>
        <v>68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36</v>
      </c>
      <c r="J931" s="3" t="str">
        <f t="shared" si="123"/>
        <v>36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758522.44</v>
      </c>
      <c r="E946" s="3" t="str">
        <f t="shared" si="184"/>
        <v>1070134.25</v>
      </c>
      <c r="F946" s="3" t="str">
        <f t="shared" si="184"/>
        <v>721586.26</v>
      </c>
      <c r="G946" s="3" t="str">
        <f t="shared" si="184"/>
        <v>0</v>
      </c>
      <c r="H946" s="3" t="str">
        <f t="shared" si="184"/>
        <v>0</v>
      </c>
      <c r="I946" s="3" t="str">
        <f t="shared" si="184"/>
        <v>1107070.43</v>
      </c>
      <c r="J946" s="3" t="str">
        <f t="shared" si="123"/>
        <v>1107070.43</v>
      </c>
      <c r="K946" s="27" t="str">
        <f t="shared" si="124"/>
        <v> No Issue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Check Once Sales quantity or Value Problem</v>
      </c>
      <c r="P946" s="3" t="str">
        <f t="shared" si="129"/>
        <v>Check Once Closing quantity or Value Problem</v>
      </c>
    </row>
  </sheetData>
  <mergeCells count="40">
    <mergeCell ref="C298:D298"/>
    <mergeCell ref="C357:D357"/>
    <mergeCell ref="K239:P239"/>
    <mergeCell ref="K298:P298"/>
    <mergeCell ref="G180:H180"/>
    <mergeCell ref="K180:P180"/>
    <mergeCell ref="C180:D180"/>
    <mergeCell ref="C239:D239"/>
    <mergeCell ref="G239:H239"/>
    <mergeCell ref="G534:H534"/>
    <mergeCell ref="G298:H298"/>
    <mergeCell ref="G652:H652"/>
    <mergeCell ref="K121:P121"/>
    <mergeCell ref="G593:H593"/>
    <mergeCell ref="K652:P652"/>
    <mergeCell ref="K475:P475"/>
    <mergeCell ref="K593:P593"/>
    <mergeCell ref="K416:P416"/>
    <mergeCell ref="G357:H357"/>
    <mergeCell ref="K357:P357"/>
    <mergeCell ref="K534:P534"/>
    <mergeCell ref="C534:D534"/>
    <mergeCell ref="G3:H3"/>
    <mergeCell ref="K3:P3"/>
    <mergeCell ref="G62:H62"/>
    <mergeCell ref="K62:P62"/>
    <mergeCell ref="K888:P888"/>
    <mergeCell ref="K829:P829"/>
    <mergeCell ref="K770:P770"/>
    <mergeCell ref="G888:H888"/>
    <mergeCell ref="G711:H711"/>
    <mergeCell ref="G829:H829"/>
    <mergeCell ref="G770:H770"/>
    <mergeCell ref="K711:P711"/>
    <mergeCell ref="C416:D416"/>
    <mergeCell ref="G416:H416"/>
    <mergeCell ref="C475:D475"/>
    <mergeCell ref="G475:H475"/>
    <mergeCell ref="C121:D121"/>
    <mergeCell ref="G121:H121"/>
  </mergeCells>
  <conditionalFormatting sqref="E773:E800">
    <cfRule type="containsText" dxfId="0" priority="1" operator="containsText" text="Problem">
      <formula>NOT(ISERROR(SEARCH(("Problem"),(E773))))</formula>
    </cfRule>
  </conditionalFormatting>
  <conditionalFormatting sqref="E773:E800">
    <cfRule type="containsText" dxfId="0" priority="2" operator="containsText" text="Problem">
      <formula>NOT(ISERROR(SEARCH(("Problem"),(E773))))</formula>
    </cfRule>
  </conditionalFormatting>
  <conditionalFormatting sqref="E773:E800">
    <cfRule type="containsText" dxfId="0" priority="3" operator="containsText" text="Problem">
      <formula>NOT(ISERROR(SEARCH(("Problem"),(E773))))</formula>
    </cfRule>
  </conditionalFormatting>
  <conditionalFormatting sqref="E241">
    <cfRule type="containsText" dxfId="0" priority="4" operator="containsText" text="Problem">
      <formula>NOT(ISERROR(SEARCH(("Problem"),(E241))))</formula>
    </cfRule>
  </conditionalFormatting>
  <conditionalFormatting sqref="E241">
    <cfRule type="containsText" dxfId="0" priority="5" operator="containsText" text="Problem">
      <formula>NOT(ISERROR(SEARCH(("Problem"),(E241))))</formula>
    </cfRule>
  </conditionalFormatting>
  <conditionalFormatting sqref="E241">
    <cfRule type="containsText" dxfId="0" priority="6" operator="containsText" text="Problem">
      <formula>NOT(ISERROR(SEARCH(("Problem"),(E241))))</formula>
    </cfRule>
  </conditionalFormatting>
  <conditionalFormatting sqref="E655:E682">
    <cfRule type="containsText" dxfId="0" priority="7" operator="containsText" text="Problem">
      <formula>NOT(ISERROR(SEARCH(("Problem"),(E655))))</formula>
    </cfRule>
  </conditionalFormatting>
  <conditionalFormatting sqref="E655:E682">
    <cfRule type="containsText" dxfId="0" priority="8" operator="containsText" text="Problem">
      <formula>NOT(ISERROR(SEARCH(("Problem"),(E655))))</formula>
    </cfRule>
  </conditionalFormatting>
  <conditionalFormatting sqref="E655:E682">
    <cfRule type="containsText" dxfId="0" priority="9" operator="containsText" text="Problem">
      <formula>NOT(ISERROR(SEARCH(("Problem"),(E655))))</formula>
    </cfRule>
  </conditionalFormatting>
  <conditionalFormatting sqref="F123">
    <cfRule type="containsText" dxfId="0" priority="10" operator="containsText" text="Problem">
      <formula>NOT(ISERROR(SEARCH(("Problem"),(F123))))</formula>
    </cfRule>
  </conditionalFormatting>
  <conditionalFormatting sqref="F123">
    <cfRule type="containsText" dxfId="0" priority="11" operator="containsText" text="Problem">
      <formula>NOT(ISERROR(SEARCH(("Problem"),(F123))))</formula>
    </cfRule>
  </conditionalFormatting>
  <conditionalFormatting sqref="F123">
    <cfRule type="containsText" dxfId="0" priority="12" operator="containsText" text="Problem">
      <formula>NOT(ISERROR(SEARCH(("Problem"),(F123))))</formula>
    </cfRule>
  </conditionalFormatting>
  <conditionalFormatting sqref="B101:C101 B113:B116 B118:C119 C70:C100 C110:C116">
    <cfRule type="containsText" dxfId="0" priority="13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14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15" operator="containsText" text="Problem">
      <formula>NOT(ISERROR(SEARCH(("Problem"),(B101))))</formula>
    </cfRule>
  </conditionalFormatting>
  <conditionalFormatting sqref="G418">
    <cfRule type="containsText" dxfId="0" priority="16" operator="containsText" text="Problem">
      <formula>NOT(ISERROR(SEARCH(("Problem"),(G418))))</formula>
    </cfRule>
  </conditionalFormatting>
  <conditionalFormatting sqref="G418">
    <cfRule type="containsText" dxfId="0" priority="17" operator="containsText" text="Problem">
      <formula>NOT(ISERROR(SEARCH(("Problem"),(G418))))</formula>
    </cfRule>
  </conditionalFormatting>
  <conditionalFormatting sqref="G418">
    <cfRule type="containsText" dxfId="0" priority="18" operator="containsText" text="Problem">
      <formula>NOT(ISERROR(SEARCH(("Problem"),(G418))))</formula>
    </cfRule>
  </conditionalFormatting>
  <conditionalFormatting sqref="I360:I387">
    <cfRule type="containsText" dxfId="0" priority="19" operator="containsText" text="Problem">
      <formula>NOT(ISERROR(SEARCH(("Problem"),(I360))))</formula>
    </cfRule>
  </conditionalFormatting>
  <conditionalFormatting sqref="I360:I387">
    <cfRule type="containsText" dxfId="0" priority="20" operator="containsText" text="Problem">
      <formula>NOT(ISERROR(SEARCH(("Problem"),(I360))))</formula>
    </cfRule>
  </conditionalFormatting>
  <conditionalFormatting sqref="I360:I387">
    <cfRule type="containsText" dxfId="0" priority="21" operator="containsText" text="Problem">
      <formula>NOT(ISERROR(SEARCH(("Problem"),(I360))))</formula>
    </cfRule>
  </conditionalFormatting>
  <conditionalFormatting sqref="I360:I387">
    <cfRule type="containsText" dxfId="0" priority="22" operator="containsText" text="Problem">
      <formula>NOT(ISERROR(SEARCH(("Problem"),(I360))))</formula>
    </cfRule>
  </conditionalFormatting>
  <conditionalFormatting sqref="N182:N238">
    <cfRule type="containsText" dxfId="0" priority="23" operator="containsText" text="Problem">
      <formula>NOT(ISERROR(SEARCH(("Problem"),(N182))))</formula>
    </cfRule>
  </conditionalFormatting>
  <conditionalFormatting sqref="N182:N238">
    <cfRule type="containsText" dxfId="0" priority="24" operator="containsText" text="Problem">
      <formula>NOT(ISERROR(SEARCH(("Problem"),(N182))))</formula>
    </cfRule>
  </conditionalFormatting>
  <conditionalFormatting sqref="N182:N238">
    <cfRule type="containsText" dxfId="0" priority="25" operator="containsText" text="Problem">
      <formula>NOT(ISERROR(SEARCH(("Problem"),(N182))))</formula>
    </cfRule>
  </conditionalFormatting>
  <conditionalFormatting sqref="I5">
    <cfRule type="containsText" dxfId="0" priority="26" operator="containsText" text="Problem">
      <formula>NOT(ISERROR(SEARCH(("Problem"),(I5))))</formula>
    </cfRule>
  </conditionalFormatting>
  <conditionalFormatting sqref="I5">
    <cfRule type="containsText" dxfId="0" priority="27" operator="containsText" text="Problem">
      <formula>NOT(ISERROR(SEARCH(("Problem"),(I5))))</formula>
    </cfRule>
  </conditionalFormatting>
  <conditionalFormatting sqref="I5">
    <cfRule type="containsText" dxfId="0" priority="28" operator="containsText" text="Problem">
      <formula>NOT(ISERROR(SEARCH(("Problem"),(I5))))</formula>
    </cfRule>
  </conditionalFormatting>
  <conditionalFormatting sqref="D885:D886 E860:H886">
    <cfRule type="containsText" dxfId="0" priority="29" operator="containsText" text="Problem">
      <formula>NOT(ISERROR(SEARCH(("Problem"),(D885))))</formula>
    </cfRule>
  </conditionalFormatting>
  <conditionalFormatting sqref="D885:D886 E860:H886">
    <cfRule type="containsText" dxfId="0" priority="30" operator="containsText" text="Problem">
      <formula>NOT(ISERROR(SEARCH(("Problem"),(D885))))</formula>
    </cfRule>
  </conditionalFormatting>
  <conditionalFormatting sqref="D885:D886 E860:H886">
    <cfRule type="containsText" dxfId="0" priority="31" operator="containsText" text="Problem">
      <formula>NOT(ISERROR(SEARCH(("Problem"),(D885))))</formula>
    </cfRule>
  </conditionalFormatting>
  <conditionalFormatting sqref="A536:A591">
    <cfRule type="containsText" dxfId="0" priority="32" operator="containsText" text="Problem">
      <formula>NOT(ISERROR(SEARCH(("Problem"),(A536))))</formula>
    </cfRule>
  </conditionalFormatting>
  <conditionalFormatting sqref="A536:A591">
    <cfRule type="containsText" dxfId="0" priority="33" operator="containsText" text="Problem">
      <formula>NOT(ISERROR(SEARCH(("Problem"),(A536))))</formula>
    </cfRule>
  </conditionalFormatting>
  <conditionalFormatting sqref="A536:A591">
    <cfRule type="containsText" dxfId="0" priority="34" operator="containsText" text="Problem">
      <formula>NOT(ISERROR(SEARCH(("Problem"),(A536))))</formula>
    </cfRule>
  </conditionalFormatting>
  <conditionalFormatting sqref="H301:H328">
    <cfRule type="containsText" dxfId="0" priority="35" operator="containsText" text="Problem">
      <formula>NOT(ISERROR(SEARCH(("Problem"),(H301))))</formula>
    </cfRule>
  </conditionalFormatting>
  <conditionalFormatting sqref="H301:H328">
    <cfRule type="containsText" dxfId="0" priority="36" operator="containsText" text="Problem">
      <formula>NOT(ISERROR(SEARCH(("Problem"),(H301))))</formula>
    </cfRule>
  </conditionalFormatting>
  <conditionalFormatting sqref="H301:H328">
    <cfRule type="containsText" dxfId="0" priority="37" operator="containsText" text="Problem">
      <formula>NOT(ISERROR(SEARCH(("Problem"),(H301))))</formula>
    </cfRule>
  </conditionalFormatting>
  <conditionalFormatting sqref="H596:H623">
    <cfRule type="containsText" dxfId="0" priority="38" operator="containsText" text="Problem">
      <formula>NOT(ISERROR(SEARCH(("Problem"),(H596))))</formula>
    </cfRule>
  </conditionalFormatting>
  <conditionalFormatting sqref="H596:H623">
    <cfRule type="containsText" dxfId="0" priority="39" operator="containsText" text="Problem">
      <formula>NOT(ISERROR(SEARCH(("Problem"),(H596))))</formula>
    </cfRule>
  </conditionalFormatting>
  <conditionalFormatting sqref="H596:H623">
    <cfRule type="containsText" dxfId="0" priority="40" operator="containsText" text="Problem">
      <formula>NOT(ISERROR(SEARCH(("Problem"),(H596))))</formula>
    </cfRule>
  </conditionalFormatting>
  <conditionalFormatting sqref="G714:G741">
    <cfRule type="containsText" dxfId="0" priority="41" operator="containsText" text="Problem">
      <formula>NOT(ISERROR(SEARCH(("Problem"),(G714))))</formula>
    </cfRule>
  </conditionalFormatting>
  <conditionalFormatting sqref="G714:G741">
    <cfRule type="containsText" dxfId="0" priority="42" operator="containsText" text="Problem">
      <formula>NOT(ISERROR(SEARCH(("Problem"),(G714))))</formula>
    </cfRule>
  </conditionalFormatting>
  <conditionalFormatting sqref="G714:G741">
    <cfRule type="containsText" dxfId="0" priority="43" operator="containsText" text="Problem">
      <formula>NOT(ISERROR(SEARCH(("Problem"),(G714))))</formula>
    </cfRule>
  </conditionalFormatting>
  <conditionalFormatting sqref="E478:E505">
    <cfRule type="containsText" dxfId="0" priority="44" operator="containsText" text="Problem">
      <formula>NOT(ISERROR(SEARCH(("Problem"),(E478))))</formula>
    </cfRule>
  </conditionalFormatting>
  <conditionalFormatting sqref="E478:E505">
    <cfRule type="containsText" dxfId="0" priority="45" operator="containsText" text="Problem">
      <formula>NOT(ISERROR(SEARCH(("Problem"),(E478))))</formula>
    </cfRule>
  </conditionalFormatting>
  <conditionalFormatting sqref="E478:E505">
    <cfRule type="containsText" dxfId="0" priority="46" operator="containsText" text="Problem">
      <formula>NOT(ISERROR(SEARCH(("Problem"),(E478))))</formula>
    </cfRule>
  </conditionalFormatting>
  <conditionalFormatting sqref="G64">
    <cfRule type="containsText" dxfId="0" priority="47" operator="containsText" text="Problem">
      <formula>NOT(ISERROR(SEARCH(("Problem"),(G64))))</formula>
    </cfRule>
  </conditionalFormatting>
  <conditionalFormatting sqref="G64">
    <cfRule type="containsText" dxfId="0" priority="48" operator="containsText" text="Problem">
      <formula>NOT(ISERROR(SEARCH(("Problem"),(G64))))</formula>
    </cfRule>
  </conditionalFormatting>
  <conditionalFormatting sqref="G64">
    <cfRule type="containsText" dxfId="0" priority="49" operator="containsText" text="Problem">
      <formula>NOT(ISERROR(SEARCH(("Problem"),(G64))))</formula>
    </cfRule>
  </conditionalFormatting>
  <conditionalFormatting sqref="G124:G151">
    <cfRule type="containsText" dxfId="0" priority="50" operator="containsText" text="Problem">
      <formula>NOT(ISERROR(SEARCH(("Problem"),(G124))))</formula>
    </cfRule>
  </conditionalFormatting>
  <conditionalFormatting sqref="G124:G151">
    <cfRule type="containsText" dxfId="0" priority="51" operator="containsText" text="Problem">
      <formula>NOT(ISERROR(SEARCH(("Problem"),(G124))))</formula>
    </cfRule>
  </conditionalFormatting>
  <conditionalFormatting sqref="G124:G151">
    <cfRule type="containsText" dxfId="0" priority="52" operator="containsText" text="Problem">
      <formula>NOT(ISERROR(SEARCH(("Problem"),(G124))))</formula>
    </cfRule>
  </conditionalFormatting>
  <conditionalFormatting sqref="E242:E269">
    <cfRule type="containsText" dxfId="0" priority="53" operator="containsText" text="Problem">
      <formula>NOT(ISERROR(SEARCH(("Problem"),(E242))))</formula>
    </cfRule>
  </conditionalFormatting>
  <conditionalFormatting sqref="E242:E269">
    <cfRule type="containsText" dxfId="0" priority="54" operator="containsText" text="Problem">
      <formula>NOT(ISERROR(SEARCH(("Problem"),(E242))))</formula>
    </cfRule>
  </conditionalFormatting>
  <conditionalFormatting sqref="E242:E269">
    <cfRule type="containsText" dxfId="0" priority="55" operator="containsText" text="Problem">
      <formula>NOT(ISERROR(SEARCH(("Problem"),(E242))))</formula>
    </cfRule>
  </conditionalFormatting>
  <conditionalFormatting sqref="E654">
    <cfRule type="containsText" dxfId="0" priority="56" operator="containsText" text="Problem">
      <formula>NOT(ISERROR(SEARCH(("Problem"),(E654))))</formula>
    </cfRule>
  </conditionalFormatting>
  <conditionalFormatting sqref="E654">
    <cfRule type="containsText" dxfId="0" priority="57" operator="containsText" text="Problem">
      <formula>NOT(ISERROR(SEARCH(("Problem"),(E654))))</formula>
    </cfRule>
  </conditionalFormatting>
  <conditionalFormatting sqref="E654">
    <cfRule type="containsText" dxfId="0" priority="58" operator="containsText" text="Problem">
      <formula>NOT(ISERROR(SEARCH(("Problem"),(E654))))</formula>
    </cfRule>
  </conditionalFormatting>
  <conditionalFormatting sqref="D826:D827 E801:H827">
    <cfRule type="containsText" dxfId="0" priority="59" operator="containsText" text="Problem">
      <formula>NOT(ISERROR(SEARCH(("Problem"),(D826))))</formula>
    </cfRule>
  </conditionalFormatting>
  <conditionalFormatting sqref="D826:D827 E801:H827">
    <cfRule type="containsText" dxfId="0" priority="60" operator="containsText" text="Problem">
      <formula>NOT(ISERROR(SEARCH(("Problem"),(D826))))</formula>
    </cfRule>
  </conditionalFormatting>
  <conditionalFormatting sqref="D826:D827 E801:H827">
    <cfRule type="containsText" dxfId="0" priority="61" operator="containsText" text="Problem">
      <formula>NOT(ISERROR(SEARCH(("Problem"),(D826))))</formula>
    </cfRule>
  </conditionalFormatting>
  <conditionalFormatting sqref="F714:F741">
    <cfRule type="containsText" dxfId="0" priority="62" operator="containsText" text="Problem">
      <formula>NOT(ISERROR(SEARCH(("Problem"),(F714))))</formula>
    </cfRule>
  </conditionalFormatting>
  <conditionalFormatting sqref="F714:F741">
    <cfRule type="containsText" dxfId="0" priority="63" operator="containsText" text="Problem">
      <formula>NOT(ISERROR(SEARCH(("Problem"),(F714))))</formula>
    </cfRule>
  </conditionalFormatting>
  <conditionalFormatting sqref="F714:F741">
    <cfRule type="containsText" dxfId="0" priority="64" operator="containsText" text="Problem">
      <formula>NOT(ISERROR(SEARCH(("Problem"),(F714))))</formula>
    </cfRule>
  </conditionalFormatting>
  <conditionalFormatting sqref="I596:I623">
    <cfRule type="containsText" dxfId="0" priority="65" operator="containsText" text="Problem">
      <formula>NOT(ISERROR(SEARCH(("Problem"),(I596))))</formula>
    </cfRule>
  </conditionalFormatting>
  <conditionalFormatting sqref="I596:I623">
    <cfRule type="containsText" dxfId="0" priority="66" operator="containsText" text="Problem">
      <formula>NOT(ISERROR(SEARCH(("Problem"),(I596))))</formula>
    </cfRule>
  </conditionalFormatting>
  <conditionalFormatting sqref="I596:I623">
    <cfRule type="containsText" dxfId="0" priority="67" operator="containsText" text="Problem">
      <formula>NOT(ISERROR(SEARCH(("Problem"),(I596))))</formula>
    </cfRule>
  </conditionalFormatting>
  <conditionalFormatting sqref="I596:I623">
    <cfRule type="containsText" dxfId="0" priority="68" operator="containsText" text="Problem">
      <formula>NOT(ISERROR(SEARCH(("Problem"),(I596))))</formula>
    </cfRule>
  </conditionalFormatting>
  <conditionalFormatting sqref="E301:E328">
    <cfRule type="containsText" dxfId="0" priority="69" operator="containsText" text="Problem">
      <formula>NOT(ISERROR(SEARCH(("Problem"),(E301))))</formula>
    </cfRule>
  </conditionalFormatting>
  <conditionalFormatting sqref="E301:E328">
    <cfRule type="containsText" dxfId="0" priority="70" operator="containsText" text="Problem">
      <formula>NOT(ISERROR(SEARCH(("Problem"),(E301))))</formula>
    </cfRule>
  </conditionalFormatting>
  <conditionalFormatting sqref="E301:E328">
    <cfRule type="containsText" dxfId="0" priority="71" operator="containsText" text="Problem">
      <formula>NOT(ISERROR(SEARCH(("Problem"),(E301))))</formula>
    </cfRule>
  </conditionalFormatting>
  <conditionalFormatting sqref="E890:I890">
    <cfRule type="containsText" dxfId="0" priority="72" operator="containsText" text="Problem">
      <formula>NOT(ISERROR(SEARCH(("Problem"),(E890))))</formula>
    </cfRule>
  </conditionalFormatting>
  <conditionalFormatting sqref="E890:I890">
    <cfRule type="containsText" dxfId="0" priority="73" operator="containsText" text="Problem">
      <formula>NOT(ISERROR(SEARCH(("Problem"),(E890))))</formula>
    </cfRule>
  </conditionalFormatting>
  <conditionalFormatting sqref="E890:I890">
    <cfRule type="containsText" dxfId="0" priority="74" operator="containsText" text="Problem">
      <formula>NOT(ISERROR(SEARCH(("Problem"),(E890))))</formula>
    </cfRule>
  </conditionalFormatting>
  <conditionalFormatting sqref="H182">
    <cfRule type="containsText" dxfId="0" priority="75" operator="containsText" text="Problem">
      <formula>NOT(ISERROR(SEARCH(("Problem"),(H182))))</formula>
    </cfRule>
  </conditionalFormatting>
  <conditionalFormatting sqref="H182">
    <cfRule type="containsText" dxfId="0" priority="76" operator="containsText" text="Problem">
      <formula>NOT(ISERROR(SEARCH(("Problem"),(H182))))</formula>
    </cfRule>
  </conditionalFormatting>
  <conditionalFormatting sqref="H182">
    <cfRule type="containsText" dxfId="0" priority="77" operator="containsText" text="Problem">
      <formula>NOT(ISERROR(SEARCH(("Problem"),(H182))))</formula>
    </cfRule>
  </conditionalFormatting>
  <conditionalFormatting sqref="A889:C889 A946:P946 D889:D890 E889:I889 J889:P890 K891:P945">
    <cfRule type="containsText" dxfId="0" priority="78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79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80" operator="containsText" text="Problem">
      <formula>NOT(ISERROR(SEARCH(("Problem"),(A889))))</formula>
    </cfRule>
  </conditionalFormatting>
  <conditionalFormatting sqref="A595:A650">
    <cfRule type="containsText" dxfId="0" priority="81" operator="containsText" text="Problem">
      <formula>NOT(ISERROR(SEARCH(("Problem"),(A595))))</formula>
    </cfRule>
  </conditionalFormatting>
  <conditionalFormatting sqref="A595:A650">
    <cfRule type="containsText" dxfId="0" priority="82" operator="containsText" text="Problem">
      <formula>NOT(ISERROR(SEARCH(("Problem"),(A595))))</formula>
    </cfRule>
  </conditionalFormatting>
  <conditionalFormatting sqref="A595:A650">
    <cfRule type="containsText" dxfId="0" priority="83" operator="containsText" text="Problem">
      <formula>NOT(ISERROR(SEARCH(("Problem"),(A595))))</formula>
    </cfRule>
  </conditionalFormatting>
  <conditionalFormatting sqref="H64">
    <cfRule type="containsText" dxfId="0" priority="84" operator="containsText" text="Problem">
      <formula>NOT(ISERROR(SEARCH(("Problem"),(H64))))</formula>
    </cfRule>
  </conditionalFormatting>
  <conditionalFormatting sqref="H64">
    <cfRule type="containsText" dxfId="0" priority="85" operator="containsText" text="Problem">
      <formula>NOT(ISERROR(SEARCH(("Problem"),(H64))))</formula>
    </cfRule>
  </conditionalFormatting>
  <conditionalFormatting sqref="H64">
    <cfRule type="containsText" dxfId="0" priority="86" operator="containsText" text="Problem">
      <formula>NOT(ISERROR(SEARCH(("Problem"),(H64))))</formula>
    </cfRule>
  </conditionalFormatting>
  <conditionalFormatting sqref="A535:I535 A592:H592 I565:I592 J535:P592">
    <cfRule type="containsText" dxfId="0" priority="87" operator="containsText" text="Problem">
      <formula>NOT(ISERROR(SEARCH(("Problem"),(A535))))</formula>
    </cfRule>
  </conditionalFormatting>
  <conditionalFormatting sqref="A535:I535 A592:H592 I565:I592 J535:P592">
    <cfRule type="containsText" dxfId="0" priority="88" operator="containsText" text="Problem">
      <formula>NOT(ISERROR(SEARCH(("Problem"),(A535))))</formula>
    </cfRule>
  </conditionalFormatting>
  <conditionalFormatting sqref="A535:I535 A592:H592 I565:I592 J535:P592">
    <cfRule type="containsText" dxfId="0" priority="89" operator="containsText" text="Problem">
      <formula>NOT(ISERROR(SEARCH(("Problem"),(A535))))</formula>
    </cfRule>
  </conditionalFormatting>
  <conditionalFormatting sqref="E65:E92">
    <cfRule type="containsText" dxfId="0" priority="90" operator="containsText" text="Problem">
      <formula>NOT(ISERROR(SEARCH(("Problem"),(E65))))</formula>
    </cfRule>
  </conditionalFormatting>
  <conditionalFormatting sqref="E65:E92">
    <cfRule type="containsText" dxfId="0" priority="91" operator="containsText" text="Problem">
      <formula>NOT(ISERROR(SEARCH(("Problem"),(E65))))</formula>
    </cfRule>
  </conditionalFormatting>
  <conditionalFormatting sqref="E65:E92">
    <cfRule type="containsText" dxfId="0" priority="92" operator="containsText" text="Problem">
      <formula>NOT(ISERROR(SEARCH(("Problem"),(E65))))</formula>
    </cfRule>
  </conditionalFormatting>
  <conditionalFormatting sqref="G301:G328">
    <cfRule type="containsText" dxfId="0" priority="93" operator="containsText" text="Problem">
      <formula>NOT(ISERROR(SEARCH(("Problem"),(G301))))</formula>
    </cfRule>
  </conditionalFormatting>
  <conditionalFormatting sqref="G301:G328">
    <cfRule type="containsText" dxfId="0" priority="94" operator="containsText" text="Problem">
      <formula>NOT(ISERROR(SEARCH(("Problem"),(G301))))</formula>
    </cfRule>
  </conditionalFormatting>
  <conditionalFormatting sqref="G301:G328">
    <cfRule type="containsText" dxfId="0" priority="95" operator="containsText" text="Problem">
      <formula>NOT(ISERROR(SEARCH(("Problem"),(G301))))</formula>
    </cfRule>
  </conditionalFormatting>
  <conditionalFormatting sqref="D478:D505">
    <cfRule type="containsText" dxfId="0" priority="96" operator="containsText" text="Problem">
      <formula>NOT(ISERROR(SEARCH(("Problem"),(D478))))</formula>
    </cfRule>
  </conditionalFormatting>
  <conditionalFormatting sqref="D478:D505">
    <cfRule type="containsText" dxfId="0" priority="97" operator="containsText" text="Problem">
      <formula>NOT(ISERROR(SEARCH(("Problem"),(D478))))</formula>
    </cfRule>
  </conditionalFormatting>
  <conditionalFormatting sqref="D478:D505">
    <cfRule type="containsText" dxfId="0" priority="98" operator="containsText" text="Problem">
      <formula>NOT(ISERROR(SEARCH(("Problem"),(D478))))</formula>
    </cfRule>
  </conditionalFormatting>
  <conditionalFormatting sqref="E596:E623">
    <cfRule type="containsText" dxfId="0" priority="99" operator="containsText" text="Problem">
      <formula>NOT(ISERROR(SEARCH(("Problem"),(E596))))</formula>
    </cfRule>
  </conditionalFormatting>
  <conditionalFormatting sqref="E596:E623">
    <cfRule type="containsText" dxfId="0" priority="100" operator="containsText" text="Problem">
      <formula>NOT(ISERROR(SEARCH(("Problem"),(E596))))</formula>
    </cfRule>
  </conditionalFormatting>
  <conditionalFormatting sqref="E596:E623">
    <cfRule type="containsText" dxfId="0" priority="101" operator="containsText" text="Problem">
      <formula>NOT(ISERROR(SEARCH(("Problem"),(E596))))</formula>
    </cfRule>
  </conditionalFormatting>
  <conditionalFormatting sqref="E416:I416">
    <cfRule type="containsText" dxfId="0" priority="102" operator="containsText" text="Problem">
      <formula>NOT(ISERROR(SEARCH(("Problem"),(E416))))</formula>
    </cfRule>
  </conditionalFormatting>
  <conditionalFormatting sqref="E416:I416">
    <cfRule type="containsText" dxfId="0" priority="103" operator="containsText" text="Problem">
      <formula>NOT(ISERROR(SEARCH(("Problem"),(E416))))</formula>
    </cfRule>
  </conditionalFormatting>
  <conditionalFormatting sqref="E416:I416">
    <cfRule type="containsText" dxfId="0" priority="104" operator="containsText" text="Problem">
      <formula>NOT(ISERROR(SEARCH(("Problem"),(E416))))</formula>
    </cfRule>
  </conditionalFormatting>
  <conditionalFormatting sqref="A418:A473">
    <cfRule type="containsText" dxfId="0" priority="105" operator="containsText" text="Problem">
      <formula>NOT(ISERROR(SEARCH(("Problem"),(A418))))</formula>
    </cfRule>
  </conditionalFormatting>
  <conditionalFormatting sqref="A418:A473">
    <cfRule type="containsText" dxfId="0" priority="106" operator="containsText" text="Problem">
      <formula>NOT(ISERROR(SEARCH(("Problem"),(A418))))</formula>
    </cfRule>
  </conditionalFormatting>
  <conditionalFormatting sqref="A418:A473">
    <cfRule type="containsText" dxfId="0" priority="107" operator="containsText" text="Problem">
      <formula>NOT(ISERROR(SEARCH(("Problem"),(A418))))</formula>
    </cfRule>
  </conditionalFormatting>
  <conditionalFormatting sqref="A63:I63 A120:H120 I93:I120 J63:P120">
    <cfRule type="containsText" dxfId="0" priority="108" operator="containsText" text="Problem">
      <formula>NOT(ISERROR(SEARCH(("Problem"),(A63))))</formula>
    </cfRule>
  </conditionalFormatting>
  <conditionalFormatting sqref="A63:I63 A120:H120 I93:I120 J63:P120">
    <cfRule type="containsText" dxfId="0" priority="109" operator="containsText" text="Problem">
      <formula>NOT(ISERROR(SEARCH(("Problem"),(A63))))</formula>
    </cfRule>
  </conditionalFormatting>
  <conditionalFormatting sqref="A63:I63 A120:H120 I93:I120 J63:P120">
    <cfRule type="containsText" dxfId="0" priority="110" operator="containsText" text="Problem">
      <formula>NOT(ISERROR(SEARCH(("Problem"),(A63))))</formula>
    </cfRule>
  </conditionalFormatting>
  <conditionalFormatting sqref="F595">
    <cfRule type="containsText" dxfId="0" priority="111" operator="containsText" text="Problem">
      <formula>NOT(ISERROR(SEARCH(("Problem"),(F595))))</formula>
    </cfRule>
  </conditionalFormatting>
  <conditionalFormatting sqref="F595">
    <cfRule type="containsText" dxfId="0" priority="112" operator="containsText" text="Problem">
      <formula>NOT(ISERROR(SEARCH(("Problem"),(F595))))</formula>
    </cfRule>
  </conditionalFormatting>
  <conditionalFormatting sqref="F595">
    <cfRule type="containsText" dxfId="0" priority="113" operator="containsText" text="Problem">
      <formula>NOT(ISERROR(SEARCH(("Problem"),(F595))))</formula>
    </cfRule>
  </conditionalFormatting>
  <conditionalFormatting sqref="H536">
    <cfRule type="containsText" dxfId="0" priority="114" operator="containsText" text="Problem">
      <formula>NOT(ISERROR(SEARCH(("Problem"),(H536))))</formula>
    </cfRule>
  </conditionalFormatting>
  <conditionalFormatting sqref="H536">
    <cfRule type="containsText" dxfId="0" priority="115" operator="containsText" text="Problem">
      <formula>NOT(ISERROR(SEARCH(("Problem"),(H536))))</formula>
    </cfRule>
  </conditionalFormatting>
  <conditionalFormatting sqref="H536">
    <cfRule type="containsText" dxfId="0" priority="116" operator="containsText" text="Problem">
      <formula>NOT(ISERROR(SEARCH(("Problem"),(H536))))</formula>
    </cfRule>
  </conditionalFormatting>
  <conditionalFormatting sqref="D655:D682">
    <cfRule type="containsText" dxfId="0" priority="117" operator="containsText" text="Problem">
      <formula>NOT(ISERROR(SEARCH(("Problem"),(D655))))</formula>
    </cfRule>
  </conditionalFormatting>
  <conditionalFormatting sqref="D655:D682">
    <cfRule type="containsText" dxfId="0" priority="118" operator="containsText" text="Problem">
      <formula>NOT(ISERROR(SEARCH(("Problem"),(D655))))</formula>
    </cfRule>
  </conditionalFormatting>
  <conditionalFormatting sqref="D655:D682">
    <cfRule type="containsText" dxfId="0" priority="119" operator="containsText" text="Problem">
      <formula>NOT(ISERROR(SEARCH(("Problem"),(D655))))</formula>
    </cfRule>
  </conditionalFormatting>
  <conditionalFormatting sqref="F5">
    <cfRule type="containsText" dxfId="0" priority="120" operator="containsText" text="Problem">
      <formula>NOT(ISERROR(SEARCH(("Problem"),(F5))))</formula>
    </cfRule>
  </conditionalFormatting>
  <conditionalFormatting sqref="F5">
    <cfRule type="containsText" dxfId="0" priority="121" operator="containsText" text="Problem">
      <formula>NOT(ISERROR(SEARCH(("Problem"),(F5))))</formula>
    </cfRule>
  </conditionalFormatting>
  <conditionalFormatting sqref="F5">
    <cfRule type="containsText" dxfId="0" priority="122" operator="containsText" text="Problem">
      <formula>NOT(ISERROR(SEARCH(("Problem"),(F5))))</formula>
    </cfRule>
  </conditionalFormatting>
  <conditionalFormatting sqref="B868:C868 B880:B883 B885:C886 C837:C867 C877:C883">
    <cfRule type="containsText" dxfId="0" priority="123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124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125" operator="containsText" text="Problem">
      <formula>NOT(ISERROR(SEARCH(("Problem"),(B868))))</formula>
    </cfRule>
  </conditionalFormatting>
  <conditionalFormatting sqref="G300">
    <cfRule type="containsText" dxfId="0" priority="126" operator="containsText" text="Problem">
      <formula>NOT(ISERROR(SEARCH(("Problem"),(G300))))</formula>
    </cfRule>
  </conditionalFormatting>
  <conditionalFormatting sqref="G300">
    <cfRule type="containsText" dxfId="0" priority="127" operator="containsText" text="Problem">
      <formula>NOT(ISERROR(SEARCH(("Problem"),(G300))))</formula>
    </cfRule>
  </conditionalFormatting>
  <conditionalFormatting sqref="G300">
    <cfRule type="containsText" dxfId="0" priority="128" operator="containsText" text="Problem">
      <formula>NOT(ISERROR(SEARCH(("Problem"),(G300))))</formula>
    </cfRule>
  </conditionalFormatting>
  <conditionalFormatting sqref="H183:H210">
    <cfRule type="containsText" dxfId="0" priority="129" operator="containsText" text="Problem">
      <formula>NOT(ISERROR(SEARCH(("Problem"),(H183))))</formula>
    </cfRule>
  </conditionalFormatting>
  <conditionalFormatting sqref="H183:H210">
    <cfRule type="containsText" dxfId="0" priority="130" operator="containsText" text="Problem">
      <formula>NOT(ISERROR(SEARCH(("Problem"),(H183))))</formula>
    </cfRule>
  </conditionalFormatting>
  <conditionalFormatting sqref="H183:H210">
    <cfRule type="containsText" dxfId="0" priority="131" operator="containsText" text="Problem">
      <formula>NOT(ISERROR(SEARCH(("Problem"),(H183))))</formula>
    </cfRule>
  </conditionalFormatting>
  <conditionalFormatting sqref="E714:E741">
    <cfRule type="containsText" dxfId="0" priority="132" operator="containsText" text="Problem">
      <formula>NOT(ISERROR(SEARCH(("Problem"),(E714))))</formula>
    </cfRule>
  </conditionalFormatting>
  <conditionalFormatting sqref="E714:E741">
    <cfRule type="containsText" dxfId="0" priority="133" operator="containsText" text="Problem">
      <formula>NOT(ISERROR(SEARCH(("Problem"),(E714))))</formula>
    </cfRule>
  </conditionalFormatting>
  <conditionalFormatting sqref="E714:E741">
    <cfRule type="containsText" dxfId="0" priority="134" operator="containsText" text="Problem">
      <formula>NOT(ISERROR(SEARCH(("Problem"),(E714))))</formula>
    </cfRule>
  </conditionalFormatting>
  <conditionalFormatting sqref="A3:A61 B42:C42 B54:B57 B59:C61 C11:C41 C51:C57 I35:I61 J3:P61">
    <cfRule type="containsText" dxfId="0" priority="135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136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137" operator="containsText" text="Problem">
      <formula>NOT(ISERROR(SEARCH(("Problem"),(A3))))</formula>
    </cfRule>
  </conditionalFormatting>
  <conditionalFormatting sqref="D65:D92">
    <cfRule type="containsText" dxfId="0" priority="138" operator="containsText" text="Problem">
      <formula>NOT(ISERROR(SEARCH(("Problem"),(D65))))</formula>
    </cfRule>
  </conditionalFormatting>
  <conditionalFormatting sqref="D65:D92">
    <cfRule type="containsText" dxfId="0" priority="139" operator="containsText" text="Problem">
      <formula>NOT(ISERROR(SEARCH(("Problem"),(D65))))</formula>
    </cfRule>
  </conditionalFormatting>
  <conditionalFormatting sqref="D65:D92">
    <cfRule type="containsText" dxfId="0" priority="140" operator="containsText" text="Problem">
      <formula>NOT(ISERROR(SEARCH(("Problem"),(D65))))</formula>
    </cfRule>
  </conditionalFormatting>
  <conditionalFormatting sqref="I714:I741">
    <cfRule type="containsText" dxfId="0" priority="141" operator="containsText" text="Problem">
      <formula>NOT(ISERROR(SEARCH(("Problem"),(I714))))</formula>
    </cfRule>
  </conditionalFormatting>
  <conditionalFormatting sqref="I714:I741">
    <cfRule type="containsText" dxfId="0" priority="142" operator="containsText" text="Problem">
      <formula>NOT(ISERROR(SEARCH(("Problem"),(I714))))</formula>
    </cfRule>
  </conditionalFormatting>
  <conditionalFormatting sqref="I714:I741">
    <cfRule type="containsText" dxfId="0" priority="143" operator="containsText" text="Problem">
      <formula>NOT(ISERROR(SEARCH(("Problem"),(I714))))</formula>
    </cfRule>
  </conditionalFormatting>
  <conditionalFormatting sqref="I714:I741">
    <cfRule type="containsText" dxfId="0" priority="144" operator="containsText" text="Problem">
      <formula>NOT(ISERROR(SEARCH(("Problem"),(I714))))</formula>
    </cfRule>
  </conditionalFormatting>
  <conditionalFormatting sqref="F773:F800">
    <cfRule type="containsText" dxfId="0" priority="145" operator="containsText" text="Problem">
      <formula>NOT(ISERROR(SEARCH(("Problem"),(F773))))</formula>
    </cfRule>
  </conditionalFormatting>
  <conditionalFormatting sqref="F773:F800">
    <cfRule type="containsText" dxfId="0" priority="146" operator="containsText" text="Problem">
      <formula>NOT(ISERROR(SEARCH(("Problem"),(F773))))</formula>
    </cfRule>
  </conditionalFormatting>
  <conditionalFormatting sqref="F773:F800">
    <cfRule type="containsText" dxfId="0" priority="147" operator="containsText" text="Problem">
      <formula>NOT(ISERROR(SEARCH(("Problem"),(F773))))</formula>
    </cfRule>
  </conditionalFormatting>
  <conditionalFormatting sqref="G359">
    <cfRule type="containsText" dxfId="0" priority="148" operator="containsText" text="Problem">
      <formula>NOT(ISERROR(SEARCH(("Problem"),(G359))))</formula>
    </cfRule>
  </conditionalFormatting>
  <conditionalFormatting sqref="G359">
    <cfRule type="containsText" dxfId="0" priority="149" operator="containsText" text="Problem">
      <formula>NOT(ISERROR(SEARCH(("Problem"),(G359))))</formula>
    </cfRule>
  </conditionalFormatting>
  <conditionalFormatting sqref="G359">
    <cfRule type="containsText" dxfId="0" priority="150" operator="containsText" text="Problem">
      <formula>NOT(ISERROR(SEARCH(("Problem"),(G359))))</formula>
    </cfRule>
  </conditionalFormatting>
  <conditionalFormatting sqref="F64">
    <cfRule type="containsText" dxfId="0" priority="151" operator="containsText" text="Problem">
      <formula>NOT(ISERROR(SEARCH(("Problem"),(F64))))</formula>
    </cfRule>
  </conditionalFormatting>
  <conditionalFormatting sqref="F64">
    <cfRule type="containsText" dxfId="0" priority="152" operator="containsText" text="Problem">
      <formula>NOT(ISERROR(SEARCH(("Problem"),(F64))))</formula>
    </cfRule>
  </conditionalFormatting>
  <conditionalFormatting sqref="F64">
    <cfRule type="containsText" dxfId="0" priority="153" operator="containsText" text="Problem">
      <formula>NOT(ISERROR(SEARCH(("Problem"),(F64))))</formula>
    </cfRule>
  </conditionalFormatting>
  <conditionalFormatting sqref="D536">
    <cfRule type="containsText" dxfId="0" priority="154" operator="containsText" text="Problem">
      <formula>NOT(ISERROR(SEARCH(("Problem"),(D536))))</formula>
    </cfRule>
  </conditionalFormatting>
  <conditionalFormatting sqref="G360:G387">
    <cfRule type="containsText" dxfId="0" priority="155" operator="containsText" text="Problem">
      <formula>NOT(ISERROR(SEARCH(("Problem"),(G360))))</formula>
    </cfRule>
  </conditionalFormatting>
  <conditionalFormatting sqref="G360:G387">
    <cfRule type="containsText" dxfId="0" priority="156" operator="containsText" text="Problem">
      <formula>NOT(ISERROR(SEARCH(("Problem"),(G360))))</formula>
    </cfRule>
  </conditionalFormatting>
  <conditionalFormatting sqref="G360:G387">
    <cfRule type="containsText" dxfId="0" priority="157" operator="containsText" text="Problem">
      <formula>NOT(ISERROR(SEARCH(("Problem"),(G360))))</formula>
    </cfRule>
  </conditionalFormatting>
  <conditionalFormatting sqref="H714:H741">
    <cfRule type="containsText" dxfId="0" priority="158" operator="containsText" text="Problem">
      <formula>NOT(ISERROR(SEARCH(("Problem"),(H714))))</formula>
    </cfRule>
  </conditionalFormatting>
  <conditionalFormatting sqref="H714:H741">
    <cfRule type="containsText" dxfId="0" priority="159" operator="containsText" text="Problem">
      <formula>NOT(ISERROR(SEARCH(("Problem"),(H714))))</formula>
    </cfRule>
  </conditionalFormatting>
  <conditionalFormatting sqref="H714:H741">
    <cfRule type="containsText" dxfId="0" priority="160" operator="containsText" text="Problem">
      <formula>NOT(ISERROR(SEARCH(("Problem"),(H714))))</formula>
    </cfRule>
  </conditionalFormatting>
  <conditionalFormatting sqref="A711 J711:P711">
    <cfRule type="containsText" dxfId="0" priority="161" operator="containsText" text="Problem">
      <formula>NOT(ISERROR(SEARCH(("Problem"),(A711))))</formula>
    </cfRule>
  </conditionalFormatting>
  <conditionalFormatting sqref="A711 J711:P711">
    <cfRule type="containsText" dxfId="0" priority="162" operator="containsText" text="Problem">
      <formula>NOT(ISERROR(SEARCH(("Problem"),(A711))))</formula>
    </cfRule>
  </conditionalFormatting>
  <conditionalFormatting sqref="A711 J711:P711">
    <cfRule type="containsText" dxfId="0" priority="163" operator="containsText" text="Problem">
      <formula>NOT(ISERROR(SEARCH(("Problem"),(A711))))</formula>
    </cfRule>
  </conditionalFormatting>
  <conditionalFormatting sqref="A358:I358 A415:H415 I388:I415 J358:P415">
    <cfRule type="containsText" dxfId="0" priority="164" operator="containsText" text="Problem">
      <formula>NOT(ISERROR(SEARCH(("Problem"),(A358))))</formula>
    </cfRule>
  </conditionalFormatting>
  <conditionalFormatting sqref="A358:I358 A415:H415 I388:I415 J358:P415">
    <cfRule type="containsText" dxfId="0" priority="165" operator="containsText" text="Problem">
      <formula>NOT(ISERROR(SEARCH(("Problem"),(A358))))</formula>
    </cfRule>
  </conditionalFormatting>
  <conditionalFormatting sqref="A358:I358 A415:H415 I388:I415 J358:P415">
    <cfRule type="containsText" dxfId="0" priority="166" operator="containsText" text="Problem">
      <formula>NOT(ISERROR(SEARCH(("Problem"),(A358))))</formula>
    </cfRule>
  </conditionalFormatting>
  <conditionalFormatting sqref="A357 J357:P357">
    <cfRule type="containsText" dxfId="0" priority="167" operator="containsText" text="Problem">
      <formula>NOT(ISERROR(SEARCH(("Problem"),(A357))))</formula>
    </cfRule>
  </conditionalFormatting>
  <conditionalFormatting sqref="A357 J357:P357">
    <cfRule type="containsText" dxfId="0" priority="168" operator="containsText" text="Problem">
      <formula>NOT(ISERROR(SEARCH(("Problem"),(A357))))</formula>
    </cfRule>
  </conditionalFormatting>
  <conditionalFormatting sqref="A357 J357:P357">
    <cfRule type="containsText" dxfId="0" priority="169" operator="containsText" text="Problem">
      <formula>NOT(ISERROR(SEARCH(("Problem"),(A357))))</formula>
    </cfRule>
  </conditionalFormatting>
  <conditionalFormatting sqref="D182">
    <cfRule type="containsText" dxfId="0" priority="170" operator="containsText" text="Problem">
      <formula>NOT(ISERROR(SEARCH(("Problem"),(D182))))</formula>
    </cfRule>
  </conditionalFormatting>
  <conditionalFormatting sqref="I832:I859">
    <cfRule type="containsText" dxfId="0" priority="171" operator="containsText" text="Problem">
      <formula>NOT(ISERROR(SEARCH(("Problem"),(I832))))</formula>
    </cfRule>
  </conditionalFormatting>
  <conditionalFormatting sqref="I832:I859">
    <cfRule type="containsText" dxfId="0" priority="172" operator="containsText" text="Problem">
      <formula>NOT(ISERROR(SEARCH(("Problem"),(I832))))</formula>
    </cfRule>
  </conditionalFormatting>
  <conditionalFormatting sqref="I832:I859">
    <cfRule type="containsText" dxfId="0" priority="173" operator="containsText" text="Problem">
      <formula>NOT(ISERROR(SEARCH(("Problem"),(I832))))</formula>
    </cfRule>
  </conditionalFormatting>
  <conditionalFormatting sqref="I832:I859">
    <cfRule type="containsText" dxfId="0" priority="174" operator="containsText" text="Problem">
      <formula>NOT(ISERROR(SEARCH(("Problem"),(I832))))</formula>
    </cfRule>
  </conditionalFormatting>
  <conditionalFormatting sqref="E180:I180">
    <cfRule type="containsText" dxfId="0" priority="175" operator="containsText" text="Problem">
      <formula>NOT(ISERROR(SEARCH(("Problem"),(E180))))</formula>
    </cfRule>
  </conditionalFormatting>
  <conditionalFormatting sqref="E180:I180">
    <cfRule type="containsText" dxfId="0" priority="176" operator="containsText" text="Problem">
      <formula>NOT(ISERROR(SEARCH(("Problem"),(E180))))</formula>
    </cfRule>
  </conditionalFormatting>
  <conditionalFormatting sqref="E180:I180">
    <cfRule type="containsText" dxfId="0" priority="177" operator="containsText" text="Problem">
      <formula>NOT(ISERROR(SEARCH(("Problem"),(E180))))</formula>
    </cfRule>
  </conditionalFormatting>
  <conditionalFormatting sqref="G655:G682">
    <cfRule type="containsText" dxfId="0" priority="178" operator="containsText" text="Problem">
      <formula>NOT(ISERROR(SEARCH(("Problem"),(G655))))</formula>
    </cfRule>
  </conditionalFormatting>
  <conditionalFormatting sqref="G655:G682">
    <cfRule type="containsText" dxfId="0" priority="179" operator="containsText" text="Problem">
      <formula>NOT(ISERROR(SEARCH(("Problem"),(G655))))</formula>
    </cfRule>
  </conditionalFormatting>
  <conditionalFormatting sqref="G655:G682">
    <cfRule type="containsText" dxfId="0" priority="180" operator="containsText" text="Problem">
      <formula>NOT(ISERROR(SEARCH(("Problem"),(G655))))</formula>
    </cfRule>
  </conditionalFormatting>
  <conditionalFormatting sqref="F360:F387">
    <cfRule type="containsText" dxfId="0" priority="181" operator="containsText" text="Problem">
      <formula>NOT(ISERROR(SEARCH(("Problem"),(F360))))</formula>
    </cfRule>
  </conditionalFormatting>
  <conditionalFormatting sqref="F360:F387">
    <cfRule type="containsText" dxfId="0" priority="182" operator="containsText" text="Problem">
      <formula>NOT(ISERROR(SEARCH(("Problem"),(F360))))</formula>
    </cfRule>
  </conditionalFormatting>
  <conditionalFormatting sqref="F360:F387">
    <cfRule type="containsText" dxfId="0" priority="183" operator="containsText" text="Problem">
      <formula>NOT(ISERROR(SEARCH(("Problem"),(F360))))</formula>
    </cfRule>
  </conditionalFormatting>
  <conditionalFormatting sqref="I6:I34">
    <cfRule type="containsText" dxfId="0" priority="184" operator="containsText" text="Problem">
      <formula>NOT(ISERROR(SEARCH(("Problem"),(I6))))</formula>
    </cfRule>
  </conditionalFormatting>
  <conditionalFormatting sqref="I6:I34">
    <cfRule type="containsText" dxfId="0" priority="185" operator="containsText" text="Problem">
      <formula>NOT(ISERROR(SEARCH(("Problem"),(I6))))</formula>
    </cfRule>
  </conditionalFormatting>
  <conditionalFormatting sqref="I6:I34">
    <cfRule type="containsText" dxfId="0" priority="186" operator="containsText" text="Problem">
      <formula>NOT(ISERROR(SEARCH(("Problem"),(I6))))</formula>
    </cfRule>
  </conditionalFormatting>
  <conditionalFormatting sqref="I6:I34">
    <cfRule type="containsText" dxfId="0" priority="187" operator="containsText" text="Problem">
      <formula>NOT(ISERROR(SEARCH(("Problem"),(I6))))</formula>
    </cfRule>
  </conditionalFormatting>
  <conditionalFormatting sqref="I6:I34">
    <cfRule type="containsText" dxfId="0" priority="188" operator="containsText" text="Problem">
      <formula>NOT(ISERROR(SEARCH(("Problem"),(I6))))</formula>
    </cfRule>
  </conditionalFormatting>
  <conditionalFormatting sqref="I6:I34">
    <cfRule type="containsText" dxfId="0" priority="189" operator="containsText" text="Problem">
      <formula>NOT(ISERROR(SEARCH(("Problem"),(I6))))</formula>
    </cfRule>
  </conditionalFormatting>
  <conditionalFormatting sqref="F655:F682">
    <cfRule type="containsText" dxfId="0" priority="190" operator="containsText" text="Problem">
      <formula>NOT(ISERROR(SEARCH(("Problem"),(F655))))</formula>
    </cfRule>
  </conditionalFormatting>
  <conditionalFormatting sqref="F655:F682">
    <cfRule type="containsText" dxfId="0" priority="191" operator="containsText" text="Problem">
      <formula>NOT(ISERROR(SEARCH(("Problem"),(F655))))</formula>
    </cfRule>
  </conditionalFormatting>
  <conditionalFormatting sqref="F655:F682">
    <cfRule type="containsText" dxfId="0" priority="192" operator="containsText" text="Problem">
      <formula>NOT(ISERROR(SEARCH(("Problem"),(F655))))</formula>
    </cfRule>
  </conditionalFormatting>
  <conditionalFormatting sqref="G831">
    <cfRule type="containsText" dxfId="0" priority="193" operator="containsText" text="Problem">
      <formula>NOT(ISERROR(SEARCH(("Problem"),(G831))))</formula>
    </cfRule>
  </conditionalFormatting>
  <conditionalFormatting sqref="G831">
    <cfRule type="containsText" dxfId="0" priority="194" operator="containsText" text="Problem">
      <formula>NOT(ISERROR(SEARCH(("Problem"),(G831))))</formula>
    </cfRule>
  </conditionalFormatting>
  <conditionalFormatting sqref="G831">
    <cfRule type="containsText" dxfId="0" priority="195" operator="containsText" text="Problem">
      <formula>NOT(ISERROR(SEARCH(("Problem"),(G831))))</formula>
    </cfRule>
  </conditionalFormatting>
  <conditionalFormatting sqref="G242:G269">
    <cfRule type="containsText" dxfId="0" priority="196" operator="containsText" text="Problem">
      <formula>NOT(ISERROR(SEARCH(("Problem"),(G242))))</formula>
    </cfRule>
  </conditionalFormatting>
  <conditionalFormatting sqref="G242:G269">
    <cfRule type="containsText" dxfId="0" priority="197" operator="containsText" text="Problem">
      <formula>NOT(ISERROR(SEARCH(("Problem"),(G242))))</formula>
    </cfRule>
  </conditionalFormatting>
  <conditionalFormatting sqref="G242:G269">
    <cfRule type="containsText" dxfId="0" priority="198" operator="containsText" text="Problem">
      <formula>NOT(ISERROR(SEARCH(("Problem"),(G242))))</formula>
    </cfRule>
  </conditionalFormatting>
  <conditionalFormatting sqref="D831">
    <cfRule type="containsText" dxfId="0" priority="199" operator="containsText" text="Problem">
      <formula>NOT(ISERROR(SEARCH(("Problem"),(D831))))</formula>
    </cfRule>
  </conditionalFormatting>
  <conditionalFormatting sqref="E772">
    <cfRule type="containsText" dxfId="0" priority="200" operator="containsText" text="Problem">
      <formula>NOT(ISERROR(SEARCH(("Problem"),(E772))))</formula>
    </cfRule>
  </conditionalFormatting>
  <conditionalFormatting sqref="E772">
    <cfRule type="containsText" dxfId="0" priority="201" operator="containsText" text="Problem">
      <formula>NOT(ISERROR(SEARCH(("Problem"),(E772))))</formula>
    </cfRule>
  </conditionalFormatting>
  <conditionalFormatting sqref="E772">
    <cfRule type="containsText" dxfId="0" priority="202" operator="containsText" text="Problem">
      <formula>NOT(ISERROR(SEARCH(("Problem"),(E772))))</formula>
    </cfRule>
  </conditionalFormatting>
  <conditionalFormatting sqref="A890:A945">
    <cfRule type="containsText" dxfId="0" priority="203" operator="containsText" text="Problem">
      <formula>NOT(ISERROR(SEARCH(("Problem"),(A890))))</formula>
    </cfRule>
  </conditionalFormatting>
  <conditionalFormatting sqref="A890:A945">
    <cfRule type="containsText" dxfId="0" priority="204" operator="containsText" text="Problem">
      <formula>NOT(ISERROR(SEARCH(("Problem"),(A890))))</formula>
    </cfRule>
  </conditionalFormatting>
  <conditionalFormatting sqref="A890:A945">
    <cfRule type="containsText" dxfId="0" priority="205" operator="containsText" text="Problem">
      <formula>NOT(ISERROR(SEARCH(("Problem"),(A890))))</formula>
    </cfRule>
  </conditionalFormatting>
  <conditionalFormatting sqref="H419:H446">
    <cfRule type="containsText" dxfId="0" priority="206" operator="containsText" text="Problem">
      <formula>NOT(ISERROR(SEARCH(("Problem"),(H419))))</formula>
    </cfRule>
  </conditionalFormatting>
  <conditionalFormatting sqref="H419:H446">
    <cfRule type="containsText" dxfId="0" priority="207" operator="containsText" text="Problem">
      <formula>NOT(ISERROR(SEARCH(("Problem"),(H419))))</formula>
    </cfRule>
  </conditionalFormatting>
  <conditionalFormatting sqref="H419:H446">
    <cfRule type="containsText" dxfId="0" priority="208" operator="containsText" text="Problem">
      <formula>NOT(ISERROR(SEARCH(("Problem"),(H419))))</formula>
    </cfRule>
  </conditionalFormatting>
  <conditionalFormatting sqref="A181:P181 A238:H238 I211:I238 J182:M238 O182:P238">
    <cfRule type="containsText" dxfId="0" priority="209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210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211" operator="containsText" text="Problem">
      <formula>NOT(ISERROR(SEARCH(("Problem"),(A181))))</formula>
    </cfRule>
  </conditionalFormatting>
  <conditionalFormatting sqref="H360:H387">
    <cfRule type="containsText" dxfId="0" priority="212" operator="containsText" text="Problem">
      <formula>NOT(ISERROR(SEARCH(("Problem"),(H360))))</formula>
    </cfRule>
  </conditionalFormatting>
  <conditionalFormatting sqref="H360:H387">
    <cfRule type="containsText" dxfId="0" priority="213" operator="containsText" text="Problem">
      <formula>NOT(ISERROR(SEARCH(("Problem"),(H360))))</formula>
    </cfRule>
  </conditionalFormatting>
  <conditionalFormatting sqref="H360:H387">
    <cfRule type="containsText" dxfId="0" priority="214" operator="containsText" text="Problem">
      <formula>NOT(ISERROR(SEARCH(("Problem"),(H360))))</formula>
    </cfRule>
  </conditionalFormatting>
  <conditionalFormatting sqref="A300:A355">
    <cfRule type="containsText" dxfId="0" priority="215" operator="containsText" text="Problem">
      <formula>NOT(ISERROR(SEARCH(("Problem"),(A300))))</formula>
    </cfRule>
  </conditionalFormatting>
  <conditionalFormatting sqref="A300:A355">
    <cfRule type="containsText" dxfId="0" priority="216" operator="containsText" text="Problem">
      <formula>NOT(ISERROR(SEARCH(("Problem"),(A300))))</formula>
    </cfRule>
  </conditionalFormatting>
  <conditionalFormatting sqref="A300:A355">
    <cfRule type="containsText" dxfId="0" priority="217" operator="containsText" text="Problem">
      <formula>NOT(ISERROR(SEARCH(("Problem"),(A300))))</formula>
    </cfRule>
  </conditionalFormatting>
  <conditionalFormatting sqref="D418">
    <cfRule type="containsText" dxfId="0" priority="218" operator="containsText" text="Problem">
      <formula>NOT(ISERROR(SEARCH(("Problem"),(D418))))</formula>
    </cfRule>
  </conditionalFormatting>
  <conditionalFormatting sqref="H832:H859">
    <cfRule type="containsText" dxfId="0" priority="219" operator="containsText" text="Problem">
      <formula>NOT(ISERROR(SEARCH(("Problem"),(H832))))</formula>
    </cfRule>
  </conditionalFormatting>
  <conditionalFormatting sqref="H832:H859">
    <cfRule type="containsText" dxfId="0" priority="220" operator="containsText" text="Problem">
      <formula>NOT(ISERROR(SEARCH(("Problem"),(H832))))</formula>
    </cfRule>
  </conditionalFormatting>
  <conditionalFormatting sqref="H832:H859">
    <cfRule type="containsText" dxfId="0" priority="221" operator="containsText" text="Problem">
      <formula>NOT(ISERROR(SEARCH(("Problem"),(H832))))</formula>
    </cfRule>
  </conditionalFormatting>
  <conditionalFormatting sqref="I124:I151">
    <cfRule type="containsText" dxfId="0" priority="222" operator="containsText" text="Problem">
      <formula>NOT(ISERROR(SEARCH(("Problem"),(I124))))</formula>
    </cfRule>
  </conditionalFormatting>
  <conditionalFormatting sqref="I124:I151">
    <cfRule type="containsText" dxfId="0" priority="223" operator="containsText" text="Problem">
      <formula>NOT(ISERROR(SEARCH(("Problem"),(I124))))</formula>
    </cfRule>
  </conditionalFormatting>
  <conditionalFormatting sqref="I124:I151">
    <cfRule type="containsText" dxfId="0" priority="224" operator="containsText" text="Problem">
      <formula>NOT(ISERROR(SEARCH(("Problem"),(I124))))</formula>
    </cfRule>
  </conditionalFormatting>
  <conditionalFormatting sqref="I124:I151">
    <cfRule type="containsText" dxfId="0" priority="225" operator="containsText" text="Problem">
      <formula>NOT(ISERROR(SEARCH(("Problem"),(I124))))</formula>
    </cfRule>
  </conditionalFormatting>
  <conditionalFormatting sqref="E891:I945">
    <cfRule type="containsText" dxfId="0" priority="226" operator="containsText" text="Problem">
      <formula>NOT(ISERROR(SEARCH(("Problem"),(E891))))</formula>
    </cfRule>
  </conditionalFormatting>
  <conditionalFormatting sqref="E891:I945">
    <cfRule type="containsText" dxfId="0" priority="227" operator="containsText" text="Problem">
      <formula>NOT(ISERROR(SEARCH(("Problem"),(E891))))</formula>
    </cfRule>
  </conditionalFormatting>
  <conditionalFormatting sqref="E891:I945">
    <cfRule type="containsText" dxfId="0" priority="228" operator="containsText" text="Problem">
      <formula>NOT(ISERROR(SEARCH(("Problem"),(E891))))</formula>
    </cfRule>
  </conditionalFormatting>
  <conditionalFormatting sqref="G123">
    <cfRule type="containsText" dxfId="0" priority="229" operator="containsText" text="Problem">
      <formula>NOT(ISERROR(SEARCH(("Problem"),(G123))))</formula>
    </cfRule>
  </conditionalFormatting>
  <conditionalFormatting sqref="G123">
    <cfRule type="containsText" dxfId="0" priority="230" operator="containsText" text="Problem">
      <formula>NOT(ISERROR(SEARCH(("Problem"),(G123))))</formula>
    </cfRule>
  </conditionalFormatting>
  <conditionalFormatting sqref="G123">
    <cfRule type="containsText" dxfId="0" priority="231" operator="containsText" text="Problem">
      <formula>NOT(ISERROR(SEARCH(("Problem"),(G123))))</formula>
    </cfRule>
  </conditionalFormatting>
  <conditionalFormatting sqref="D624:D648">
    <cfRule type="containsText" dxfId="0" priority="232" operator="containsText" text="Problem">
      <formula>NOT(ISERROR(SEARCH(("Problem"),(D624))))</formula>
    </cfRule>
  </conditionalFormatting>
  <conditionalFormatting sqref="D624:D648">
    <cfRule type="containsText" dxfId="0" priority="233" operator="containsText" text="Problem">
      <formula>NOT(ISERROR(SEARCH(("Problem"),(D624))))</formula>
    </cfRule>
  </conditionalFormatting>
  <conditionalFormatting sqref="D177:D178 E152:H178">
    <cfRule type="containsText" dxfId="0" priority="234" operator="containsText" text="Problem">
      <formula>NOT(ISERROR(SEARCH(("Problem"),(D177))))</formula>
    </cfRule>
  </conditionalFormatting>
  <conditionalFormatting sqref="D177:D178 E152:H178">
    <cfRule type="containsText" dxfId="0" priority="235" operator="containsText" text="Problem">
      <formula>NOT(ISERROR(SEARCH(("Problem"),(D177))))</formula>
    </cfRule>
  </conditionalFormatting>
  <conditionalFormatting sqref="D177:D178 E152:H178">
    <cfRule type="containsText" dxfId="0" priority="236" operator="containsText" text="Problem">
      <formula>NOT(ISERROR(SEARCH(("Problem"),(D177))))</formula>
    </cfRule>
  </conditionalFormatting>
  <conditionalFormatting sqref="D301:D328">
    <cfRule type="containsText" dxfId="0" priority="237" operator="containsText" text="Problem">
      <formula>NOT(ISERROR(SEARCH(("Problem"),(D301))))</formula>
    </cfRule>
  </conditionalFormatting>
  <conditionalFormatting sqref="D301:D328">
    <cfRule type="containsText" dxfId="0" priority="238" operator="containsText" text="Problem">
      <formula>NOT(ISERROR(SEARCH(("Problem"),(D301))))</formula>
    </cfRule>
  </conditionalFormatting>
  <conditionalFormatting sqref="D301:D328">
    <cfRule type="containsText" dxfId="0" priority="239" operator="containsText" text="Problem">
      <formula>NOT(ISERROR(SEARCH(("Problem"),(D301))))</formula>
    </cfRule>
  </conditionalFormatting>
  <conditionalFormatting sqref="F478:F505">
    <cfRule type="containsText" dxfId="0" priority="240" operator="containsText" text="Problem">
      <formula>NOT(ISERROR(SEARCH(("Problem"),(F478))))</formula>
    </cfRule>
  </conditionalFormatting>
  <conditionalFormatting sqref="F478:F505">
    <cfRule type="containsText" dxfId="0" priority="241" operator="containsText" text="Problem">
      <formula>NOT(ISERROR(SEARCH(("Problem"),(F478))))</formula>
    </cfRule>
  </conditionalFormatting>
  <conditionalFormatting sqref="F478:F505">
    <cfRule type="containsText" dxfId="0" priority="242" operator="containsText" text="Problem">
      <formula>NOT(ISERROR(SEARCH(("Problem"),(F478))))</formula>
    </cfRule>
  </conditionalFormatting>
  <conditionalFormatting sqref="D60 E35:H60">
    <cfRule type="containsText" dxfId="0" priority="243" operator="containsText" text="Problem">
      <formula>NOT(ISERROR(SEARCH(("Problem"),(D60))))</formula>
    </cfRule>
  </conditionalFormatting>
  <conditionalFormatting sqref="D60 E35:H60">
    <cfRule type="containsText" dxfId="0" priority="244" operator="containsText" text="Problem">
      <formula>NOT(ISERROR(SEARCH(("Problem"),(D60))))</formula>
    </cfRule>
  </conditionalFormatting>
  <conditionalFormatting sqref="D60 E35:H60">
    <cfRule type="containsText" dxfId="0" priority="245" operator="containsText" text="Problem">
      <formula>NOT(ISERROR(SEARCH(("Problem"),(D60))))</formula>
    </cfRule>
  </conditionalFormatting>
  <conditionalFormatting sqref="D295:D296 E270:H296">
    <cfRule type="containsText" dxfId="0" priority="246" operator="containsText" text="Problem">
      <formula>NOT(ISERROR(SEARCH(("Problem"),(D295))))</formula>
    </cfRule>
  </conditionalFormatting>
  <conditionalFormatting sqref="D295:D296 E270:H296">
    <cfRule type="containsText" dxfId="0" priority="247" operator="containsText" text="Problem">
      <formula>NOT(ISERROR(SEARCH(("Problem"),(D295))))</formula>
    </cfRule>
  </conditionalFormatting>
  <conditionalFormatting sqref="D295:D296 E270:H296">
    <cfRule type="containsText" dxfId="0" priority="248" operator="containsText" text="Problem">
      <formula>NOT(ISERROR(SEARCH(("Problem"),(D295))))</formula>
    </cfRule>
  </conditionalFormatting>
  <conditionalFormatting sqref="D595">
    <cfRule type="containsText" dxfId="0" priority="249" operator="containsText" text="Problem">
      <formula>NOT(ISERROR(SEARCH(("Problem"),(D595))))</formula>
    </cfRule>
  </conditionalFormatting>
  <conditionalFormatting sqref="I536">
    <cfRule type="containsText" dxfId="0" priority="250" operator="containsText" text="Problem">
      <formula>NOT(ISERROR(SEARCH(("Problem"),(I536))))</formula>
    </cfRule>
  </conditionalFormatting>
  <conditionalFormatting sqref="I536">
    <cfRule type="containsText" dxfId="0" priority="251" operator="containsText" text="Problem">
      <formula>NOT(ISERROR(SEARCH(("Problem"),(I536))))</formula>
    </cfRule>
  </conditionalFormatting>
  <conditionalFormatting sqref="I536">
    <cfRule type="containsText" dxfId="0" priority="252" operator="containsText" text="Problem">
      <formula>NOT(ISERROR(SEARCH(("Problem"),(I536))))</formula>
    </cfRule>
  </conditionalFormatting>
  <conditionalFormatting sqref="H242:H269">
    <cfRule type="containsText" dxfId="0" priority="253" operator="containsText" text="Problem">
      <formula>NOT(ISERROR(SEARCH(("Problem"),(H242))))</formula>
    </cfRule>
  </conditionalFormatting>
  <conditionalFormatting sqref="H242:H269">
    <cfRule type="containsText" dxfId="0" priority="254" operator="containsText" text="Problem">
      <formula>NOT(ISERROR(SEARCH(("Problem"),(H242))))</formula>
    </cfRule>
  </conditionalFormatting>
  <conditionalFormatting sqref="H242:H269">
    <cfRule type="containsText" dxfId="0" priority="255" operator="containsText" text="Problem">
      <formula>NOT(ISERROR(SEARCH(("Problem"),(H242))))</formula>
    </cfRule>
  </conditionalFormatting>
  <conditionalFormatting sqref="A534 J534:P534">
    <cfRule type="containsText" dxfId="0" priority="256" operator="containsText" text="Problem">
      <formula>NOT(ISERROR(SEARCH(("Problem"),(A534))))</formula>
    </cfRule>
  </conditionalFormatting>
  <conditionalFormatting sqref="A534 J534:P534">
    <cfRule type="containsText" dxfId="0" priority="257" operator="containsText" text="Problem">
      <formula>NOT(ISERROR(SEARCH(("Problem"),(A534))))</formula>
    </cfRule>
  </conditionalFormatting>
  <conditionalFormatting sqref="A534 J534:P534">
    <cfRule type="containsText" dxfId="0" priority="258" operator="containsText" text="Problem">
      <formula>NOT(ISERROR(SEARCH(("Problem"),(A534))))</formula>
    </cfRule>
  </conditionalFormatting>
  <conditionalFormatting sqref="E832:E859">
    <cfRule type="containsText" dxfId="0" priority="259" operator="containsText" text="Problem">
      <formula>NOT(ISERROR(SEARCH(("Problem"),(E832))))</formula>
    </cfRule>
  </conditionalFormatting>
  <conditionalFormatting sqref="E832:E859">
    <cfRule type="containsText" dxfId="0" priority="260" operator="containsText" text="Problem">
      <formula>NOT(ISERROR(SEARCH(("Problem"),(E832))))</formula>
    </cfRule>
  </conditionalFormatting>
  <conditionalFormatting sqref="E832:E859">
    <cfRule type="containsText" dxfId="0" priority="261" operator="containsText" text="Problem">
      <formula>NOT(ISERROR(SEARCH(("Problem"),(E832))))</formula>
    </cfRule>
  </conditionalFormatting>
  <conditionalFormatting sqref="H5">
    <cfRule type="containsText" dxfId="0" priority="262" operator="containsText" text="Problem">
      <formula>NOT(ISERROR(SEARCH(("Problem"),(H5))))</formula>
    </cfRule>
  </conditionalFormatting>
  <conditionalFormatting sqref="H5">
    <cfRule type="containsText" dxfId="0" priority="263" operator="containsText" text="Problem">
      <formula>NOT(ISERROR(SEARCH(("Problem"),(H5))))</formula>
    </cfRule>
  </conditionalFormatting>
  <conditionalFormatting sqref="H5">
    <cfRule type="containsText" dxfId="0" priority="264" operator="containsText" text="Problem">
      <formula>NOT(ISERROR(SEARCH(("Problem"),(H5))))</formula>
    </cfRule>
  </conditionalFormatting>
  <conditionalFormatting sqref="H241">
    <cfRule type="containsText" dxfId="0" priority="265" operator="containsText" text="Problem">
      <formula>NOT(ISERROR(SEARCH(("Problem"),(H241))))</formula>
    </cfRule>
  </conditionalFormatting>
  <conditionalFormatting sqref="H241">
    <cfRule type="containsText" dxfId="0" priority="266" operator="containsText" text="Problem">
      <formula>NOT(ISERROR(SEARCH(("Problem"),(H241))))</formula>
    </cfRule>
  </conditionalFormatting>
  <conditionalFormatting sqref="H241">
    <cfRule type="containsText" dxfId="0" priority="267" operator="containsText" text="Problem">
      <formula>NOT(ISERROR(SEARCH(("Problem"),(H241))))</formula>
    </cfRule>
  </conditionalFormatting>
  <conditionalFormatting sqref="F713">
    <cfRule type="containsText" dxfId="0" priority="268" operator="containsText" text="Problem">
      <formula>NOT(ISERROR(SEARCH(("Problem"),(F713))))</formula>
    </cfRule>
  </conditionalFormatting>
  <conditionalFormatting sqref="F713">
    <cfRule type="containsText" dxfId="0" priority="269" operator="containsText" text="Problem">
      <formula>NOT(ISERROR(SEARCH(("Problem"),(F713))))</formula>
    </cfRule>
  </conditionalFormatting>
  <conditionalFormatting sqref="F713">
    <cfRule type="containsText" dxfId="0" priority="270" operator="containsText" text="Problem">
      <formula>NOT(ISERROR(SEARCH(("Problem"),(F713))))</formula>
    </cfRule>
  </conditionalFormatting>
  <conditionalFormatting sqref="C770 E770:I770">
    <cfRule type="containsText" dxfId="0" priority="271" operator="containsText" text="Problem">
      <formula>NOT(ISERROR(SEARCH(("Problem"),(C770))))</formula>
    </cfRule>
  </conditionalFormatting>
  <conditionalFormatting sqref="C770 E770:I770">
    <cfRule type="containsText" dxfId="0" priority="272" operator="containsText" text="Problem">
      <formula>NOT(ISERROR(SEARCH(("Problem"),(C770))))</formula>
    </cfRule>
  </conditionalFormatting>
  <conditionalFormatting sqref="C770 E770:I770">
    <cfRule type="containsText" dxfId="0" priority="273" operator="containsText" text="Problem">
      <formula>NOT(ISERROR(SEARCH(("Problem"),(C770))))</formula>
    </cfRule>
  </conditionalFormatting>
  <conditionalFormatting sqref="D388:D412">
    <cfRule type="containsText" dxfId="0" priority="274" operator="containsText" text="Problem">
      <formula>NOT(ISERROR(SEARCH(("Problem"),(D388))))</formula>
    </cfRule>
  </conditionalFormatting>
  <conditionalFormatting sqref="D388:D412">
    <cfRule type="containsText" dxfId="0" priority="275" operator="containsText" text="Problem">
      <formula>NOT(ISERROR(SEARCH(("Problem"),(D388))))</formula>
    </cfRule>
  </conditionalFormatting>
  <conditionalFormatting sqref="I242:I269">
    <cfRule type="containsText" dxfId="0" priority="276" operator="containsText" text="Problem">
      <formula>NOT(ISERROR(SEARCH(("Problem"),(I242))))</formula>
    </cfRule>
  </conditionalFormatting>
  <conditionalFormatting sqref="I242:I269">
    <cfRule type="containsText" dxfId="0" priority="277" operator="containsText" text="Problem">
      <formula>NOT(ISERROR(SEARCH(("Problem"),(I242))))</formula>
    </cfRule>
  </conditionalFormatting>
  <conditionalFormatting sqref="I242:I269">
    <cfRule type="containsText" dxfId="0" priority="278" operator="containsText" text="Problem">
      <formula>NOT(ISERROR(SEARCH(("Problem"),(I242))))</formula>
    </cfRule>
  </conditionalFormatting>
  <conditionalFormatting sqref="I242:I269">
    <cfRule type="containsText" dxfId="0" priority="279" operator="containsText" text="Problem">
      <formula>NOT(ISERROR(SEARCH(("Problem"),(I242))))</formula>
    </cfRule>
  </conditionalFormatting>
  <conditionalFormatting sqref="H713">
    <cfRule type="containsText" dxfId="0" priority="280" operator="containsText" text="Problem">
      <formula>NOT(ISERROR(SEARCH(("Problem"),(H713))))</formula>
    </cfRule>
  </conditionalFormatting>
  <conditionalFormatting sqref="H713">
    <cfRule type="containsText" dxfId="0" priority="281" operator="containsText" text="Problem">
      <formula>NOT(ISERROR(SEARCH(("Problem"),(H713))))</formula>
    </cfRule>
  </conditionalFormatting>
  <conditionalFormatting sqref="H713">
    <cfRule type="containsText" dxfId="0" priority="282" operator="containsText" text="Problem">
      <formula>NOT(ISERROR(SEARCH(("Problem"),(H713))))</formula>
    </cfRule>
  </conditionalFormatting>
  <conditionalFormatting sqref="E64">
    <cfRule type="containsText" dxfId="0" priority="283" operator="containsText" text="Problem">
      <formula>NOT(ISERROR(SEARCH(("Problem"),(E64))))</formula>
    </cfRule>
  </conditionalFormatting>
  <conditionalFormatting sqref="E64">
    <cfRule type="containsText" dxfId="0" priority="284" operator="containsText" text="Problem">
      <formula>NOT(ISERROR(SEARCH(("Problem"),(E64))))</formula>
    </cfRule>
  </conditionalFormatting>
  <conditionalFormatting sqref="E64">
    <cfRule type="containsText" dxfId="0" priority="285" operator="containsText" text="Problem">
      <formula>NOT(ISERROR(SEARCH(("Problem"),(E64))))</formula>
    </cfRule>
  </conditionalFormatting>
  <conditionalFormatting sqref="H65:H92">
    <cfRule type="containsText" dxfId="0" priority="286" operator="containsText" text="Problem">
      <formula>NOT(ISERROR(SEARCH(("Problem"),(H65))))</formula>
    </cfRule>
  </conditionalFormatting>
  <conditionalFormatting sqref="H65:H92">
    <cfRule type="containsText" dxfId="0" priority="287" operator="containsText" text="Problem">
      <formula>NOT(ISERROR(SEARCH(("Problem"),(H65))))</formula>
    </cfRule>
  </conditionalFormatting>
  <conditionalFormatting sqref="H65:H92">
    <cfRule type="containsText" dxfId="0" priority="288" operator="containsText" text="Problem">
      <formula>NOT(ISERROR(SEARCH(("Problem"),(H65))))</formula>
    </cfRule>
  </conditionalFormatting>
  <conditionalFormatting sqref="D242:D269">
    <cfRule type="containsText" dxfId="0" priority="289" operator="containsText" text="Problem">
      <formula>NOT(ISERROR(SEARCH(("Problem"),(D242))))</formula>
    </cfRule>
  </conditionalFormatting>
  <conditionalFormatting sqref="D242:D269">
    <cfRule type="containsText" dxfId="0" priority="290" operator="containsText" text="Problem">
      <formula>NOT(ISERROR(SEARCH(("Problem"),(D242))))</formula>
    </cfRule>
  </conditionalFormatting>
  <conditionalFormatting sqref="D242:D269">
    <cfRule type="containsText" dxfId="0" priority="291" operator="containsText" text="Problem">
      <formula>NOT(ISERROR(SEARCH(("Problem"),(D242))))</formula>
    </cfRule>
  </conditionalFormatting>
  <conditionalFormatting sqref="A830:I830 A887:H887 I860:I887 J830:P887">
    <cfRule type="containsText" dxfId="0" priority="292" operator="containsText" text="Problem">
      <formula>NOT(ISERROR(SEARCH(("Problem"),(A830))))</formula>
    </cfRule>
  </conditionalFormatting>
  <conditionalFormatting sqref="A830:I830 A887:H887 I860:I887 J830:P887">
    <cfRule type="containsText" dxfId="0" priority="293" operator="containsText" text="Problem">
      <formula>NOT(ISERROR(SEARCH(("Problem"),(A830))))</formula>
    </cfRule>
  </conditionalFormatting>
  <conditionalFormatting sqref="A830:I830 A887:H887 I860:I887 J830:P887">
    <cfRule type="containsText" dxfId="0" priority="294" operator="containsText" text="Problem">
      <formula>NOT(ISERROR(SEARCH(("Problem"),(A830))))</formula>
    </cfRule>
  </conditionalFormatting>
  <conditionalFormatting sqref="I713">
    <cfRule type="containsText" dxfId="0" priority="295" operator="containsText" text="Problem">
      <formula>NOT(ISERROR(SEARCH(("Problem"),(I713))))</formula>
    </cfRule>
  </conditionalFormatting>
  <conditionalFormatting sqref="I713">
    <cfRule type="containsText" dxfId="0" priority="296" operator="containsText" text="Problem">
      <formula>NOT(ISERROR(SEARCH(("Problem"),(I713))))</formula>
    </cfRule>
  </conditionalFormatting>
  <conditionalFormatting sqref="I713">
    <cfRule type="containsText" dxfId="0" priority="297" operator="containsText" text="Problem">
      <formula>NOT(ISERROR(SEARCH(("Problem"),(I713))))</formula>
    </cfRule>
  </conditionalFormatting>
  <conditionalFormatting sqref="C829 E829:I829">
    <cfRule type="containsText" dxfId="0" priority="298" operator="containsText" text="Problem">
      <formula>NOT(ISERROR(SEARCH(("Problem"),(C829))))</formula>
    </cfRule>
  </conditionalFormatting>
  <conditionalFormatting sqref="C829 E829:I829">
    <cfRule type="containsText" dxfId="0" priority="299" operator="containsText" text="Problem">
      <formula>NOT(ISERROR(SEARCH(("Problem"),(C829))))</formula>
    </cfRule>
  </conditionalFormatting>
  <conditionalFormatting sqref="C829 E829:I829">
    <cfRule type="containsText" dxfId="0" priority="300" operator="containsText" text="Problem">
      <formula>NOT(ISERROR(SEARCH(("Problem"),(C829))))</formula>
    </cfRule>
  </conditionalFormatting>
  <conditionalFormatting sqref="A241:A296">
    <cfRule type="containsText" dxfId="0" priority="301" operator="containsText" text="Problem">
      <formula>NOT(ISERROR(SEARCH(("Problem"),(A241))))</formula>
    </cfRule>
  </conditionalFormatting>
  <conditionalFormatting sqref="A241:A296">
    <cfRule type="containsText" dxfId="0" priority="302" operator="containsText" text="Problem">
      <formula>NOT(ISERROR(SEARCH(("Problem"),(A241))))</formula>
    </cfRule>
  </conditionalFormatting>
  <conditionalFormatting sqref="A241:A296">
    <cfRule type="containsText" dxfId="0" priority="303" operator="containsText" text="Problem">
      <formula>NOT(ISERROR(SEARCH(("Problem"),(A241))))</formula>
    </cfRule>
  </conditionalFormatting>
  <conditionalFormatting sqref="E359">
    <cfRule type="containsText" dxfId="0" priority="304" operator="containsText" text="Problem">
      <formula>NOT(ISERROR(SEARCH(("Problem"),(E359))))</formula>
    </cfRule>
  </conditionalFormatting>
  <conditionalFormatting sqref="E359">
    <cfRule type="containsText" dxfId="0" priority="305" operator="containsText" text="Problem">
      <formula>NOT(ISERROR(SEARCH(("Problem"),(E359))))</formula>
    </cfRule>
  </conditionalFormatting>
  <conditionalFormatting sqref="E359">
    <cfRule type="containsText" dxfId="0" priority="306" operator="containsText" text="Problem">
      <formula>NOT(ISERROR(SEARCH(("Problem"),(E359))))</formula>
    </cfRule>
  </conditionalFormatting>
  <conditionalFormatting sqref="I301:I328">
    <cfRule type="containsText" dxfId="0" priority="307" operator="containsText" text="Problem">
      <formula>NOT(ISERROR(SEARCH(("Problem"),(I301))))</formula>
    </cfRule>
  </conditionalFormatting>
  <conditionalFormatting sqref="I301:I328">
    <cfRule type="containsText" dxfId="0" priority="308" operator="containsText" text="Problem">
      <formula>NOT(ISERROR(SEARCH(("Problem"),(I301))))</formula>
    </cfRule>
  </conditionalFormatting>
  <conditionalFormatting sqref="I301:I328">
    <cfRule type="containsText" dxfId="0" priority="309" operator="containsText" text="Problem">
      <formula>NOT(ISERROR(SEARCH(("Problem"),(I301))))</formula>
    </cfRule>
  </conditionalFormatting>
  <conditionalFormatting sqref="I301:I328">
    <cfRule type="containsText" dxfId="0" priority="310" operator="containsText" text="Problem">
      <formula>NOT(ISERROR(SEARCH(("Problem"),(I301))))</formula>
    </cfRule>
  </conditionalFormatting>
  <conditionalFormatting sqref="A122:I122 A179:H179 I152:I179 J122:P179">
    <cfRule type="containsText" dxfId="0" priority="311" operator="containsText" text="Problem">
      <formula>NOT(ISERROR(SEARCH(("Problem"),(A122))))</formula>
    </cfRule>
  </conditionalFormatting>
  <conditionalFormatting sqref="A122:I122 A179:H179 I152:I179 J122:P179">
    <cfRule type="containsText" dxfId="0" priority="312" operator="containsText" text="Problem">
      <formula>NOT(ISERROR(SEARCH(("Problem"),(A122))))</formula>
    </cfRule>
  </conditionalFormatting>
  <conditionalFormatting sqref="A122:I122 A179:H179 I152:I179 J122:P179">
    <cfRule type="containsText" dxfId="0" priority="313" operator="containsText" text="Problem">
      <formula>NOT(ISERROR(SEARCH(("Problem"),(A122))))</formula>
    </cfRule>
  </conditionalFormatting>
  <conditionalFormatting sqref="B573:C573 B585:B588 B590:C591 C542:C572 C582:C588">
    <cfRule type="containsText" dxfId="0" priority="314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315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316" operator="containsText" text="Problem">
      <formula>NOT(ISERROR(SEARCH(("Problem"),(B573))))</formula>
    </cfRule>
  </conditionalFormatting>
  <conditionalFormatting sqref="G773:G800">
    <cfRule type="containsText" dxfId="0" priority="317" operator="containsText" text="Problem">
      <formula>NOT(ISERROR(SEARCH(("Problem"),(G773))))</formula>
    </cfRule>
  </conditionalFormatting>
  <conditionalFormatting sqref="G773:G800">
    <cfRule type="containsText" dxfId="0" priority="318" operator="containsText" text="Problem">
      <formula>NOT(ISERROR(SEARCH(("Problem"),(G773))))</formula>
    </cfRule>
  </conditionalFormatting>
  <conditionalFormatting sqref="G773:G800">
    <cfRule type="containsText" dxfId="0" priority="319" operator="containsText" text="Problem">
      <formula>NOT(ISERROR(SEARCH(("Problem"),(G773))))</formula>
    </cfRule>
  </conditionalFormatting>
  <conditionalFormatting sqref="H123">
    <cfRule type="containsText" dxfId="0" priority="320" operator="containsText" text="Problem">
      <formula>NOT(ISERROR(SEARCH(("Problem"),(H123))))</formula>
    </cfRule>
  </conditionalFormatting>
  <conditionalFormatting sqref="H123">
    <cfRule type="containsText" dxfId="0" priority="321" operator="containsText" text="Problem">
      <formula>NOT(ISERROR(SEARCH(("Problem"),(H123))))</formula>
    </cfRule>
  </conditionalFormatting>
  <conditionalFormatting sqref="H123">
    <cfRule type="containsText" dxfId="0" priority="322" operator="containsText" text="Problem">
      <formula>NOT(ISERROR(SEARCH(("Problem"),(H123))))</formula>
    </cfRule>
  </conditionalFormatting>
  <conditionalFormatting sqref="F537:F564">
    <cfRule type="containsText" dxfId="0" priority="323" operator="containsText" text="Problem">
      <formula>NOT(ISERROR(SEARCH(("Problem"),(F537))))</formula>
    </cfRule>
  </conditionalFormatting>
  <conditionalFormatting sqref="F537:F564">
    <cfRule type="containsText" dxfId="0" priority="324" operator="containsText" text="Problem">
      <formula>NOT(ISERROR(SEARCH(("Problem"),(F537))))</formula>
    </cfRule>
  </conditionalFormatting>
  <conditionalFormatting sqref="F537:F564">
    <cfRule type="containsText" dxfId="0" priority="325" operator="containsText" text="Problem">
      <formula>NOT(ISERROR(SEARCH(("Problem"),(F537))))</formula>
    </cfRule>
  </conditionalFormatting>
  <conditionalFormatting sqref="D654">
    <cfRule type="containsText" dxfId="0" priority="326" operator="containsText" text="Problem">
      <formula>NOT(ISERROR(SEARCH(("Problem"),(D654))))</formula>
    </cfRule>
  </conditionalFormatting>
  <conditionalFormatting sqref="B750:C750 B762:B765 B767:C768 C719:C749 C759:C765">
    <cfRule type="containsText" dxfId="0" priority="327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328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329" operator="containsText" text="Problem">
      <formula>NOT(ISERROR(SEARCH(("Problem"),(B750))))</formula>
    </cfRule>
  </conditionalFormatting>
  <conditionalFormatting sqref="A180 J180:P180">
    <cfRule type="containsText" dxfId="0" priority="330" operator="containsText" text="Problem">
      <formula>NOT(ISERROR(SEARCH(("Problem"),(A180))))</formula>
    </cfRule>
  </conditionalFormatting>
  <conditionalFormatting sqref="A180 J180:P180">
    <cfRule type="containsText" dxfId="0" priority="331" operator="containsText" text="Problem">
      <formula>NOT(ISERROR(SEARCH(("Problem"),(A180))))</formula>
    </cfRule>
  </conditionalFormatting>
  <conditionalFormatting sqref="A180 J180:P180">
    <cfRule type="containsText" dxfId="0" priority="332" operator="containsText" text="Problem">
      <formula>NOT(ISERROR(SEARCH(("Problem"),(A180))))</formula>
    </cfRule>
  </conditionalFormatting>
  <conditionalFormatting sqref="H537:H564">
    <cfRule type="containsText" dxfId="0" priority="333" operator="containsText" text="Problem">
      <formula>NOT(ISERROR(SEARCH(("Problem"),(H537))))</formula>
    </cfRule>
  </conditionalFormatting>
  <conditionalFormatting sqref="H537:H564">
    <cfRule type="containsText" dxfId="0" priority="334" operator="containsText" text="Problem">
      <formula>NOT(ISERROR(SEARCH(("Problem"),(H537))))</formula>
    </cfRule>
  </conditionalFormatting>
  <conditionalFormatting sqref="H537:H564">
    <cfRule type="containsText" dxfId="0" priority="335" operator="containsText" text="Problem">
      <formula>NOT(ISERROR(SEARCH(("Problem"),(H537))))</formula>
    </cfRule>
  </conditionalFormatting>
  <conditionalFormatting sqref="H595">
    <cfRule type="containsText" dxfId="0" priority="336" operator="containsText" text="Problem">
      <formula>NOT(ISERROR(SEARCH(("Problem"),(H595))))</formula>
    </cfRule>
  </conditionalFormatting>
  <conditionalFormatting sqref="H595">
    <cfRule type="containsText" dxfId="0" priority="337" operator="containsText" text="Problem">
      <formula>NOT(ISERROR(SEARCH(("Problem"),(H595))))</formula>
    </cfRule>
  </conditionalFormatting>
  <conditionalFormatting sqref="H595">
    <cfRule type="containsText" dxfId="0" priority="338" operator="containsText" text="Problem">
      <formula>NOT(ISERROR(SEARCH(("Problem"),(H595))))</formula>
    </cfRule>
  </conditionalFormatting>
  <conditionalFormatting sqref="A182:A237">
    <cfRule type="containsText" dxfId="0" priority="339" operator="containsText" text="Problem">
      <formula>NOT(ISERROR(SEARCH(("Problem"),(A182))))</formula>
    </cfRule>
  </conditionalFormatting>
  <conditionalFormatting sqref="A182:A237">
    <cfRule type="containsText" dxfId="0" priority="340" operator="containsText" text="Problem">
      <formula>NOT(ISERROR(SEARCH(("Problem"),(A182))))</formula>
    </cfRule>
  </conditionalFormatting>
  <conditionalFormatting sqref="A182:A237">
    <cfRule type="containsText" dxfId="0" priority="341" operator="containsText" text="Problem">
      <formula>NOT(ISERROR(SEARCH(("Problem"),(A182))))</formula>
    </cfRule>
  </conditionalFormatting>
  <conditionalFormatting sqref="I831">
    <cfRule type="containsText" dxfId="0" priority="342" operator="containsText" text="Problem">
      <formula>NOT(ISERROR(SEARCH(("Problem"),(I831))))</formula>
    </cfRule>
  </conditionalFormatting>
  <conditionalFormatting sqref="I831">
    <cfRule type="containsText" dxfId="0" priority="343" operator="containsText" text="Problem">
      <formula>NOT(ISERROR(SEARCH(("Problem"),(I831))))</formula>
    </cfRule>
  </conditionalFormatting>
  <conditionalFormatting sqref="I831">
    <cfRule type="containsText" dxfId="0" priority="344" operator="containsText" text="Problem">
      <formula>NOT(ISERROR(SEARCH(("Problem"),(I831))))</formula>
    </cfRule>
  </conditionalFormatting>
  <conditionalFormatting sqref="H6:H34">
    <cfRule type="containsText" dxfId="0" priority="345" operator="containsText" text="Problem">
      <formula>NOT(ISERROR(SEARCH(("Problem"),(H6))))</formula>
    </cfRule>
  </conditionalFormatting>
  <conditionalFormatting sqref="H6:H34">
    <cfRule type="containsText" dxfId="0" priority="346" operator="containsText" text="Problem">
      <formula>NOT(ISERROR(SEARCH(("Problem"),(H6))))</formula>
    </cfRule>
  </conditionalFormatting>
  <conditionalFormatting sqref="H6:H34">
    <cfRule type="containsText" dxfId="0" priority="347" operator="containsText" text="Problem">
      <formula>NOT(ISERROR(SEARCH(("Problem"),(H6))))</formula>
    </cfRule>
  </conditionalFormatting>
  <conditionalFormatting sqref="A713:A768">
    <cfRule type="containsText" dxfId="0" priority="348" operator="containsText" text="Problem">
      <formula>NOT(ISERROR(SEARCH(("Problem"),(A713))))</formula>
    </cfRule>
  </conditionalFormatting>
  <conditionalFormatting sqref="A713:A768">
    <cfRule type="containsText" dxfId="0" priority="349" operator="containsText" text="Problem">
      <formula>NOT(ISERROR(SEARCH(("Problem"),(A713))))</formula>
    </cfRule>
  </conditionalFormatting>
  <conditionalFormatting sqref="A713:A768">
    <cfRule type="containsText" dxfId="0" priority="350" operator="containsText" text="Problem">
      <formula>NOT(ISERROR(SEARCH(("Problem"),(A713))))</formula>
    </cfRule>
  </conditionalFormatting>
  <conditionalFormatting sqref="B4 C4 D4 D61:H61 E3:I4 K917:P918">
    <cfRule type="containsText" dxfId="0" priority="351" operator="containsText" text="Problem">
      <formula>NOT(ISERROR(SEARCH(("Problem"),(B4))))</formula>
    </cfRule>
  </conditionalFormatting>
  <conditionalFormatting sqref="B4 C4 D4 D61:H61 E3:I4 K917:P918">
    <cfRule type="containsText" dxfId="0" priority="352" operator="containsText" text="Problem">
      <formula>NOT(ISERROR(SEARCH(("Problem"),(B4))))</formula>
    </cfRule>
  </conditionalFormatting>
  <conditionalFormatting sqref="B4 C4 D4 D61:H61 E3:I4 K917:P918">
    <cfRule type="containsText" dxfId="0" priority="353" operator="containsText" text="Problem">
      <formula>NOT(ISERROR(SEARCH(("Problem"),(B4))))</formula>
    </cfRule>
  </conditionalFormatting>
  <conditionalFormatting sqref="C711 E711:I711">
    <cfRule type="containsText" dxfId="0" priority="354" operator="containsText" text="Problem">
      <formula>NOT(ISERROR(SEARCH(("Problem"),(C711))))</formula>
    </cfRule>
  </conditionalFormatting>
  <conditionalFormatting sqref="C711 E711:I711">
    <cfRule type="containsText" dxfId="0" priority="355" operator="containsText" text="Problem">
      <formula>NOT(ISERROR(SEARCH(("Problem"),(C711))))</formula>
    </cfRule>
  </conditionalFormatting>
  <conditionalFormatting sqref="C711 E711:I711">
    <cfRule type="containsText" dxfId="0" priority="356" operator="containsText" text="Problem">
      <formula>NOT(ISERROR(SEARCH(("Problem"),(C711))))</formula>
    </cfRule>
  </conditionalFormatting>
  <conditionalFormatting sqref="F359">
    <cfRule type="containsText" dxfId="0" priority="357" operator="containsText" text="Problem">
      <formula>NOT(ISERROR(SEARCH(("Problem"),(F359))))</formula>
    </cfRule>
  </conditionalFormatting>
  <conditionalFormatting sqref="F359">
    <cfRule type="containsText" dxfId="0" priority="358" operator="containsText" text="Problem">
      <formula>NOT(ISERROR(SEARCH(("Problem"),(F359))))</formula>
    </cfRule>
  </conditionalFormatting>
  <conditionalFormatting sqref="F359">
    <cfRule type="containsText" dxfId="0" priority="359" operator="containsText" text="Problem">
      <formula>NOT(ISERROR(SEARCH(("Problem"),(F359))))</formula>
    </cfRule>
  </conditionalFormatting>
  <conditionalFormatting sqref="C888">
    <cfRule type="containsText" dxfId="0" priority="360" operator="containsText" text="Problem">
      <formula>NOT(ISERROR(SEARCH(("Problem"),(C888))))</formula>
    </cfRule>
  </conditionalFormatting>
  <conditionalFormatting sqref="C888">
    <cfRule type="containsText" dxfId="0" priority="361" operator="containsText" text="Problem">
      <formula>NOT(ISERROR(SEARCH(("Problem"),(C888))))</formula>
    </cfRule>
  </conditionalFormatting>
  <conditionalFormatting sqref="C888">
    <cfRule type="containsText" dxfId="0" priority="362" operator="containsText" text="Problem">
      <formula>NOT(ISERROR(SEARCH(("Problem"),(C888))))</formula>
    </cfRule>
  </conditionalFormatting>
  <conditionalFormatting sqref="G477">
    <cfRule type="containsText" dxfId="0" priority="363" operator="containsText" text="Problem">
      <formula>NOT(ISERROR(SEARCH(("Problem"),(G477))))</formula>
    </cfRule>
  </conditionalFormatting>
  <conditionalFormatting sqref="G477">
    <cfRule type="containsText" dxfId="0" priority="364" operator="containsText" text="Problem">
      <formula>NOT(ISERROR(SEARCH(("Problem"),(G477))))</formula>
    </cfRule>
  </conditionalFormatting>
  <conditionalFormatting sqref="G477">
    <cfRule type="containsText" dxfId="0" priority="365" operator="containsText" text="Problem">
      <formula>NOT(ISERROR(SEARCH(("Problem"),(G477))))</formula>
    </cfRule>
  </conditionalFormatting>
  <conditionalFormatting sqref="F477">
    <cfRule type="containsText" dxfId="0" priority="366" operator="containsText" text="Problem">
      <formula>NOT(ISERROR(SEARCH(("Problem"),(F477))))</formula>
    </cfRule>
  </conditionalFormatting>
  <conditionalFormatting sqref="F477">
    <cfRule type="containsText" dxfId="0" priority="367" operator="containsText" text="Problem">
      <formula>NOT(ISERROR(SEARCH(("Problem"),(F477))))</formula>
    </cfRule>
  </conditionalFormatting>
  <conditionalFormatting sqref="F477">
    <cfRule type="containsText" dxfId="0" priority="368" operator="containsText" text="Problem">
      <formula>NOT(ISERROR(SEARCH(("Problem"),(F477))))</formula>
    </cfRule>
  </conditionalFormatting>
  <conditionalFormatting sqref="H831">
    <cfRule type="containsText" dxfId="0" priority="369" operator="containsText" text="Problem">
      <formula>NOT(ISERROR(SEARCH(("Problem"),(H831))))</formula>
    </cfRule>
  </conditionalFormatting>
  <conditionalFormatting sqref="H831">
    <cfRule type="containsText" dxfId="0" priority="370" operator="containsText" text="Problem">
      <formula>NOT(ISERROR(SEARCH(("Problem"),(H831))))</formula>
    </cfRule>
  </conditionalFormatting>
  <conditionalFormatting sqref="H831">
    <cfRule type="containsText" dxfId="0" priority="371" operator="containsText" text="Problem">
      <formula>NOT(ISERROR(SEARCH(("Problem"),(H831))))</formula>
    </cfRule>
  </conditionalFormatting>
  <conditionalFormatting sqref="B219:C219 B231:B234 B236:C237 C188:C218 C228:C234">
    <cfRule type="containsText" dxfId="0" priority="372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373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374" operator="containsText" text="Problem">
      <formula>NOT(ISERROR(SEARCH(("Problem"),(B219))))</formula>
    </cfRule>
  </conditionalFormatting>
  <conditionalFormatting sqref="E536">
    <cfRule type="containsText" dxfId="0" priority="375" operator="containsText" text="Problem">
      <formula>NOT(ISERROR(SEARCH(("Problem"),(E536))))</formula>
    </cfRule>
  </conditionalFormatting>
  <conditionalFormatting sqref="E536">
    <cfRule type="containsText" dxfId="0" priority="376" operator="containsText" text="Problem">
      <formula>NOT(ISERROR(SEARCH(("Problem"),(E536))))</formula>
    </cfRule>
  </conditionalFormatting>
  <conditionalFormatting sqref="E536">
    <cfRule type="containsText" dxfId="0" priority="377" operator="containsText" text="Problem">
      <formula>NOT(ISERROR(SEARCH(("Problem"),(E536))))</formula>
    </cfRule>
  </conditionalFormatting>
  <conditionalFormatting sqref="A654:A709">
    <cfRule type="containsText" dxfId="0" priority="378" operator="containsText" text="Problem">
      <formula>NOT(ISERROR(SEARCH(("Problem"),(A654))))</formula>
    </cfRule>
  </conditionalFormatting>
  <conditionalFormatting sqref="A654:A709">
    <cfRule type="containsText" dxfId="0" priority="379" operator="containsText" text="Problem">
      <formula>NOT(ISERROR(SEARCH(("Problem"),(A654))))</formula>
    </cfRule>
  </conditionalFormatting>
  <conditionalFormatting sqref="A654:A709">
    <cfRule type="containsText" dxfId="0" priority="380" operator="containsText" text="Problem">
      <formula>NOT(ISERROR(SEARCH(("Problem"),(A654))))</formula>
    </cfRule>
  </conditionalFormatting>
  <conditionalFormatting sqref="I300">
    <cfRule type="containsText" dxfId="0" priority="381" operator="containsText" text="Problem">
      <formula>NOT(ISERROR(SEARCH(("Problem"),(I300))))</formula>
    </cfRule>
  </conditionalFormatting>
  <conditionalFormatting sqref="I300">
    <cfRule type="containsText" dxfId="0" priority="382" operator="containsText" text="Problem">
      <formula>NOT(ISERROR(SEARCH(("Problem"),(I300))))</formula>
    </cfRule>
  </conditionalFormatting>
  <conditionalFormatting sqref="I300">
    <cfRule type="containsText" dxfId="0" priority="383" operator="containsText" text="Problem">
      <formula>NOT(ISERROR(SEARCH(("Problem"),(I300))))</formula>
    </cfRule>
  </conditionalFormatting>
  <conditionalFormatting sqref="D118:D119 E93:H119">
    <cfRule type="containsText" dxfId="0" priority="384" operator="containsText" text="Problem">
      <formula>NOT(ISERROR(SEARCH(("Problem"),(D118))))</formula>
    </cfRule>
  </conditionalFormatting>
  <conditionalFormatting sqref="D118:D119 E93:H119">
    <cfRule type="containsText" dxfId="0" priority="385" operator="containsText" text="Problem">
      <formula>NOT(ISERROR(SEARCH(("Problem"),(D118))))</formula>
    </cfRule>
  </conditionalFormatting>
  <conditionalFormatting sqref="D118:D119 E93:H119">
    <cfRule type="containsText" dxfId="0" priority="386" operator="containsText" text="Problem">
      <formula>NOT(ISERROR(SEARCH(("Problem"),(D118))))</formula>
    </cfRule>
  </conditionalFormatting>
  <conditionalFormatting sqref="I419:I446">
    <cfRule type="containsText" dxfId="0" priority="387" operator="containsText" text="Problem">
      <formula>NOT(ISERROR(SEARCH(("Problem"),(I419))))</formula>
    </cfRule>
  </conditionalFormatting>
  <conditionalFormatting sqref="I419:I446">
    <cfRule type="containsText" dxfId="0" priority="388" operator="containsText" text="Problem">
      <formula>NOT(ISERROR(SEARCH(("Problem"),(I419))))</formula>
    </cfRule>
  </conditionalFormatting>
  <conditionalFormatting sqref="I419:I446">
    <cfRule type="containsText" dxfId="0" priority="389" operator="containsText" text="Problem">
      <formula>NOT(ISERROR(SEARCH(("Problem"),(I419))))</formula>
    </cfRule>
  </conditionalFormatting>
  <conditionalFormatting sqref="I419:I446">
    <cfRule type="containsText" dxfId="0" priority="390" operator="containsText" text="Problem">
      <formula>NOT(ISERROR(SEARCH(("Problem"),(I419))))</formula>
    </cfRule>
  </conditionalFormatting>
  <conditionalFormatting sqref="H477">
    <cfRule type="containsText" dxfId="0" priority="391" operator="containsText" text="Problem">
      <formula>NOT(ISERROR(SEARCH(("Problem"),(H477))))</formula>
    </cfRule>
  </conditionalFormatting>
  <conditionalFormatting sqref="H477">
    <cfRule type="containsText" dxfId="0" priority="392" operator="containsText" text="Problem">
      <formula>NOT(ISERROR(SEARCH(("Problem"),(H477))))</formula>
    </cfRule>
  </conditionalFormatting>
  <conditionalFormatting sqref="H477">
    <cfRule type="containsText" dxfId="0" priority="393" operator="containsText" text="Problem">
      <formula>NOT(ISERROR(SEARCH(("Problem"),(H477))))</formula>
    </cfRule>
  </conditionalFormatting>
  <conditionalFormatting sqref="E300">
    <cfRule type="containsText" dxfId="0" priority="394" operator="containsText" text="Problem">
      <formula>NOT(ISERROR(SEARCH(("Problem"),(E300))))</formula>
    </cfRule>
  </conditionalFormatting>
  <conditionalFormatting sqref="E300">
    <cfRule type="containsText" dxfId="0" priority="395" operator="containsText" text="Problem">
      <formula>NOT(ISERROR(SEARCH(("Problem"),(E300))))</formula>
    </cfRule>
  </conditionalFormatting>
  <conditionalFormatting sqref="E300">
    <cfRule type="containsText" dxfId="0" priority="396" operator="containsText" text="Problem">
      <formula>NOT(ISERROR(SEARCH(("Problem"),(E300))))</formula>
    </cfRule>
  </conditionalFormatting>
  <conditionalFormatting sqref="D183:D210">
    <cfRule type="containsText" dxfId="0" priority="397" operator="containsText" text="Problem">
      <formula>NOT(ISERROR(SEARCH(("Problem"),(D183))))</formula>
    </cfRule>
  </conditionalFormatting>
  <conditionalFormatting sqref="D183:D210">
    <cfRule type="containsText" dxfId="0" priority="398" operator="containsText" text="Problem">
      <formula>NOT(ISERROR(SEARCH(("Problem"),(D183))))</formula>
    </cfRule>
  </conditionalFormatting>
  <conditionalFormatting sqref="D183:D210">
    <cfRule type="containsText" dxfId="0" priority="399" operator="containsText" text="Problem">
      <formula>NOT(ISERROR(SEARCH(("Problem"),(D183))))</formula>
    </cfRule>
  </conditionalFormatting>
  <conditionalFormatting sqref="E182">
    <cfRule type="containsText" dxfId="0" priority="400" operator="containsText" text="Problem">
      <formula>NOT(ISERROR(SEARCH(("Problem"),(E182))))</formula>
    </cfRule>
  </conditionalFormatting>
  <conditionalFormatting sqref="E182">
    <cfRule type="containsText" dxfId="0" priority="401" operator="containsText" text="Problem">
      <formula>NOT(ISERROR(SEARCH(("Problem"),(E182))))</formula>
    </cfRule>
  </conditionalFormatting>
  <conditionalFormatting sqref="E182">
    <cfRule type="containsText" dxfId="0" priority="402" operator="containsText" text="Problem">
      <formula>NOT(ISERROR(SEARCH(("Problem"),(E182))))</formula>
    </cfRule>
  </conditionalFormatting>
  <conditionalFormatting sqref="G596:G623">
    <cfRule type="containsText" dxfId="0" priority="403" operator="containsText" text="Problem">
      <formula>NOT(ISERROR(SEARCH(("Problem"),(G596))))</formula>
    </cfRule>
  </conditionalFormatting>
  <conditionalFormatting sqref="G596:G623">
    <cfRule type="containsText" dxfId="0" priority="404" operator="containsText" text="Problem">
      <formula>NOT(ISERROR(SEARCH(("Problem"),(G596))))</formula>
    </cfRule>
  </conditionalFormatting>
  <conditionalFormatting sqref="G596:G623">
    <cfRule type="containsText" dxfId="0" priority="405" operator="containsText" text="Problem">
      <formula>NOT(ISERROR(SEARCH(("Problem"),(G596))))</formula>
    </cfRule>
  </conditionalFormatting>
  <conditionalFormatting sqref="D124:D151">
    <cfRule type="containsText" dxfId="0" priority="406" operator="containsText" text="Problem">
      <formula>NOT(ISERROR(SEARCH(("Problem"),(D124))))</formula>
    </cfRule>
  </conditionalFormatting>
  <conditionalFormatting sqref="D124:D151">
    <cfRule type="containsText" dxfId="0" priority="407" operator="containsText" text="Problem">
      <formula>NOT(ISERROR(SEARCH(("Problem"),(D124))))</formula>
    </cfRule>
  </conditionalFormatting>
  <conditionalFormatting sqref="D124:D151">
    <cfRule type="containsText" dxfId="0" priority="408" operator="containsText" text="Problem">
      <formula>NOT(ISERROR(SEARCH(("Problem"),(D124))))</formula>
    </cfRule>
  </conditionalFormatting>
  <conditionalFormatting sqref="D565:D589">
    <cfRule type="containsText" dxfId="0" priority="409" operator="containsText" text="Problem">
      <formula>NOT(ISERROR(SEARCH(("Problem"),(D565))))</formula>
    </cfRule>
  </conditionalFormatting>
  <conditionalFormatting sqref="D565:D589">
    <cfRule type="containsText" dxfId="0" priority="410" operator="containsText" text="Problem">
      <formula>NOT(ISERROR(SEARCH(("Problem"),(D565))))</formula>
    </cfRule>
  </conditionalFormatting>
  <conditionalFormatting sqref="G713">
    <cfRule type="containsText" dxfId="0" priority="411" operator="containsText" text="Problem">
      <formula>NOT(ISERROR(SEARCH(("Problem"),(G713))))</formula>
    </cfRule>
  </conditionalFormatting>
  <conditionalFormatting sqref="G713">
    <cfRule type="containsText" dxfId="0" priority="412" operator="containsText" text="Problem">
      <formula>NOT(ISERROR(SEARCH(("Problem"),(G713))))</formula>
    </cfRule>
  </conditionalFormatting>
  <conditionalFormatting sqref="G713">
    <cfRule type="containsText" dxfId="0" priority="413" operator="containsText" text="Problem">
      <formula>NOT(ISERROR(SEARCH(("Problem"),(G713))))</formula>
    </cfRule>
  </conditionalFormatting>
  <conditionalFormatting sqref="C652 E652:I652">
    <cfRule type="containsText" dxfId="0" priority="414" operator="containsText" text="Problem">
      <formula>NOT(ISERROR(SEARCH(("Problem"),(C652))))</formula>
    </cfRule>
  </conditionalFormatting>
  <conditionalFormatting sqref="C652 E652:I652">
    <cfRule type="containsText" dxfId="0" priority="415" operator="containsText" text="Problem">
      <formula>NOT(ISERROR(SEARCH(("Problem"),(C652))))</formula>
    </cfRule>
  </conditionalFormatting>
  <conditionalFormatting sqref="C652 E652:I652">
    <cfRule type="containsText" dxfId="0" priority="416" operator="containsText" text="Problem">
      <formula>NOT(ISERROR(SEARCH(("Problem"),(C652))))</formula>
    </cfRule>
  </conditionalFormatting>
  <conditionalFormatting sqref="I595">
    <cfRule type="containsText" dxfId="0" priority="417" operator="containsText" text="Problem">
      <formula>NOT(ISERROR(SEARCH(("Problem"),(I595))))</formula>
    </cfRule>
  </conditionalFormatting>
  <conditionalFormatting sqref="I595">
    <cfRule type="containsText" dxfId="0" priority="418" operator="containsText" text="Problem">
      <formula>NOT(ISERROR(SEARCH(("Problem"),(I595))))</formula>
    </cfRule>
  </conditionalFormatting>
  <conditionalFormatting sqref="I595">
    <cfRule type="containsText" dxfId="0" priority="419" operator="containsText" text="Problem">
      <formula>NOT(ISERROR(SEARCH(("Problem"),(I595))))</formula>
    </cfRule>
  </conditionalFormatting>
  <conditionalFormatting sqref="A239 J239:P239">
    <cfRule type="containsText" dxfId="0" priority="420" operator="containsText" text="Problem">
      <formula>NOT(ISERROR(SEARCH(("Problem"),(A239))))</formula>
    </cfRule>
  </conditionalFormatting>
  <conditionalFormatting sqref="A239 J239:P239">
    <cfRule type="containsText" dxfId="0" priority="421" operator="containsText" text="Problem">
      <formula>NOT(ISERROR(SEARCH(("Problem"),(A239))))</formula>
    </cfRule>
  </conditionalFormatting>
  <conditionalFormatting sqref="A239 J239:P239">
    <cfRule type="containsText" dxfId="0" priority="422" operator="containsText" text="Problem">
      <formula>NOT(ISERROR(SEARCH(("Problem"),(A239))))</formula>
    </cfRule>
  </conditionalFormatting>
  <conditionalFormatting sqref="A771:I771 A828:H828 I801:I828 J771:P828">
    <cfRule type="containsText" dxfId="0" priority="423" operator="containsText" text="Problem">
      <formula>NOT(ISERROR(SEARCH(("Problem"),(A771))))</formula>
    </cfRule>
  </conditionalFormatting>
  <conditionalFormatting sqref="A771:I771 A828:H828 I801:I828 J771:P828">
    <cfRule type="containsText" dxfId="0" priority="424" operator="containsText" text="Problem">
      <formula>NOT(ISERROR(SEARCH(("Problem"),(A771))))</formula>
    </cfRule>
  </conditionalFormatting>
  <conditionalFormatting sqref="A771:I771 A828:H828 I801:I828 J771:P828">
    <cfRule type="containsText" dxfId="0" priority="425" operator="containsText" text="Problem">
      <formula>NOT(ISERROR(SEARCH(("Problem"),(A771))))</formula>
    </cfRule>
  </conditionalFormatting>
  <conditionalFormatting sqref="D413:D414 E388:H414">
    <cfRule type="containsText" dxfId="0" priority="426" operator="containsText" text="Problem">
      <formula>NOT(ISERROR(SEARCH(("Problem"),(D413))))</formula>
    </cfRule>
  </conditionalFormatting>
  <conditionalFormatting sqref="D413:D414 E388:H414">
    <cfRule type="containsText" dxfId="0" priority="427" operator="containsText" text="Problem">
      <formula>NOT(ISERROR(SEARCH(("Problem"),(D413))))</formula>
    </cfRule>
  </conditionalFormatting>
  <conditionalFormatting sqref="D413:D414 E388:H414">
    <cfRule type="containsText" dxfId="0" priority="428" operator="containsText" text="Problem">
      <formula>NOT(ISERROR(SEARCH(("Problem"),(D413))))</formula>
    </cfRule>
  </conditionalFormatting>
  <conditionalFormatting sqref="A593 J593:P593">
    <cfRule type="containsText" dxfId="0" priority="429" operator="containsText" text="Problem">
      <formula>NOT(ISERROR(SEARCH(("Problem"),(A593))))</formula>
    </cfRule>
  </conditionalFormatting>
  <conditionalFormatting sqref="A593 J593:P593">
    <cfRule type="containsText" dxfId="0" priority="430" operator="containsText" text="Problem">
      <formula>NOT(ISERROR(SEARCH(("Problem"),(A593))))</formula>
    </cfRule>
  </conditionalFormatting>
  <conditionalFormatting sqref="A593 J593:P593">
    <cfRule type="containsText" dxfId="0" priority="431" operator="containsText" text="Problem">
      <formula>NOT(ISERROR(SEARCH(("Problem"),(A593))))</formula>
    </cfRule>
  </conditionalFormatting>
  <conditionalFormatting sqref="E831">
    <cfRule type="containsText" dxfId="0" priority="432" operator="containsText" text="Problem">
      <formula>NOT(ISERROR(SEARCH(("Problem"),(E831))))</formula>
    </cfRule>
  </conditionalFormatting>
  <conditionalFormatting sqref="E831">
    <cfRule type="containsText" dxfId="0" priority="433" operator="containsText" text="Problem">
      <formula>NOT(ISERROR(SEARCH(("Problem"),(E831))))</formula>
    </cfRule>
  </conditionalFormatting>
  <conditionalFormatting sqref="E831">
    <cfRule type="containsText" dxfId="0" priority="434" operator="containsText" text="Problem">
      <formula>NOT(ISERROR(SEARCH(("Problem"),(E831))))</formula>
    </cfRule>
  </conditionalFormatting>
  <conditionalFormatting sqref="A240:I240 A297:H297 I270:I297 J240:P297">
    <cfRule type="containsText" dxfId="0" priority="435" operator="containsText" text="Problem">
      <formula>NOT(ISERROR(SEARCH(("Problem"),(A240))))</formula>
    </cfRule>
  </conditionalFormatting>
  <conditionalFormatting sqref="A240:I240 A297:H297 I270:I297 J240:P297">
    <cfRule type="containsText" dxfId="0" priority="436" operator="containsText" text="Problem">
      <formula>NOT(ISERROR(SEARCH(("Problem"),(A240))))</formula>
    </cfRule>
  </conditionalFormatting>
  <conditionalFormatting sqref="A240:I240 A297:H297 I270:I297 J240:P297">
    <cfRule type="containsText" dxfId="0" priority="437" operator="containsText" text="Problem">
      <formula>NOT(ISERROR(SEARCH(("Problem"),(A240))))</formula>
    </cfRule>
  </conditionalFormatting>
  <conditionalFormatting sqref="B337:C337 B349:B352 B354:C355 C306:C336 C346:C352">
    <cfRule type="containsText" dxfId="0" priority="438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39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40" operator="containsText" text="Problem">
      <formula>NOT(ISERROR(SEARCH(("Problem"),(B337))))</formula>
    </cfRule>
  </conditionalFormatting>
  <conditionalFormatting sqref="A121 J121:P121">
    <cfRule type="containsText" dxfId="0" priority="441" operator="containsText" text="Problem">
      <formula>NOT(ISERROR(SEARCH(("Problem"),(A121))))</formula>
    </cfRule>
  </conditionalFormatting>
  <conditionalFormatting sqref="A121 J121:P121">
    <cfRule type="containsText" dxfId="0" priority="442" operator="containsText" text="Problem">
      <formula>NOT(ISERROR(SEARCH(("Problem"),(A121))))</formula>
    </cfRule>
  </conditionalFormatting>
  <conditionalFormatting sqref="A121 J121:P121">
    <cfRule type="containsText" dxfId="0" priority="443" operator="containsText" text="Problem">
      <formula>NOT(ISERROR(SEARCH(("Problem"),(A121))))</formula>
    </cfRule>
  </conditionalFormatting>
  <conditionalFormatting sqref="E123">
    <cfRule type="containsText" dxfId="0" priority="444" operator="containsText" text="Problem">
      <formula>NOT(ISERROR(SEARCH(("Problem"),(E123))))</formula>
    </cfRule>
  </conditionalFormatting>
  <conditionalFormatting sqref="E123">
    <cfRule type="containsText" dxfId="0" priority="445" operator="containsText" text="Problem">
      <formula>NOT(ISERROR(SEARCH(("Problem"),(E123))))</formula>
    </cfRule>
  </conditionalFormatting>
  <conditionalFormatting sqref="E123">
    <cfRule type="containsText" dxfId="0" priority="446" operator="containsText" text="Problem">
      <formula>NOT(ISERROR(SEARCH(("Problem"),(E123))))</formula>
    </cfRule>
  </conditionalFormatting>
  <conditionalFormatting sqref="D236:D237 E211:H237">
    <cfRule type="containsText" dxfId="0" priority="447" operator="containsText" text="Problem">
      <formula>NOT(ISERROR(SEARCH(("Problem"),(D236))))</formula>
    </cfRule>
  </conditionalFormatting>
  <conditionalFormatting sqref="D236:D237 E211:H237">
    <cfRule type="containsText" dxfId="0" priority="448" operator="containsText" text="Problem">
      <formula>NOT(ISERROR(SEARCH(("Problem"),(D236))))</formula>
    </cfRule>
  </conditionalFormatting>
  <conditionalFormatting sqref="D236:D237 E211:H237">
    <cfRule type="containsText" dxfId="0" priority="449" operator="containsText" text="Problem">
      <formula>NOT(ISERROR(SEARCH(("Problem"),(D236))))</formula>
    </cfRule>
  </conditionalFormatting>
  <conditionalFormatting sqref="A123:A178">
    <cfRule type="containsText" dxfId="0" priority="450" operator="containsText" text="Problem">
      <formula>NOT(ISERROR(SEARCH(("Problem"),(A123))))</formula>
    </cfRule>
  </conditionalFormatting>
  <conditionalFormatting sqref="A123:A178">
    <cfRule type="containsText" dxfId="0" priority="451" operator="containsText" text="Problem">
      <formula>NOT(ISERROR(SEARCH(("Problem"),(A123))))</formula>
    </cfRule>
  </conditionalFormatting>
  <conditionalFormatting sqref="A123:A178">
    <cfRule type="containsText" dxfId="0" priority="452" operator="containsText" text="Problem">
      <formula>NOT(ISERROR(SEARCH(("Problem"),(A123))))</formula>
    </cfRule>
  </conditionalFormatting>
  <conditionalFormatting sqref="C62 E62:I62">
    <cfRule type="containsText" dxfId="0" priority="453" operator="containsText" text="Problem">
      <formula>NOT(ISERROR(SEARCH(("Problem"),(C62))))</formula>
    </cfRule>
  </conditionalFormatting>
  <conditionalFormatting sqref="C62 E62:I62">
    <cfRule type="containsText" dxfId="0" priority="454" operator="containsText" text="Problem">
      <formula>NOT(ISERROR(SEARCH(("Problem"),(C62))))</formula>
    </cfRule>
  </conditionalFormatting>
  <conditionalFormatting sqref="C62 E62:I62">
    <cfRule type="containsText" dxfId="0" priority="455" operator="containsText" text="Problem">
      <formula>NOT(ISERROR(SEARCH(("Problem"),(C62))))</formula>
    </cfRule>
  </conditionalFormatting>
  <conditionalFormatting sqref="E121:I121">
    <cfRule type="containsText" dxfId="0" priority="456" operator="containsText" text="Problem">
      <formula>NOT(ISERROR(SEARCH(("Problem"),(E121))))</formula>
    </cfRule>
  </conditionalFormatting>
  <conditionalFormatting sqref="E121:I121">
    <cfRule type="containsText" dxfId="0" priority="457" operator="containsText" text="Problem">
      <formula>NOT(ISERROR(SEARCH(("Problem"),(E121))))</formula>
    </cfRule>
  </conditionalFormatting>
  <conditionalFormatting sqref="E121:I121">
    <cfRule type="containsText" dxfId="0" priority="458" operator="containsText" text="Problem">
      <formula>NOT(ISERROR(SEARCH(("Problem"),(E121))))</formula>
    </cfRule>
  </conditionalFormatting>
  <conditionalFormatting sqref="I183:I210">
    <cfRule type="containsText" dxfId="0" priority="459" operator="containsText" text="Problem">
      <formula>NOT(ISERROR(SEARCH(("Problem"),(I183))))</formula>
    </cfRule>
  </conditionalFormatting>
  <conditionalFormatting sqref="I183:I210">
    <cfRule type="containsText" dxfId="0" priority="460" operator="containsText" text="Problem">
      <formula>NOT(ISERROR(SEARCH(("Problem"),(I183))))</formula>
    </cfRule>
  </conditionalFormatting>
  <conditionalFormatting sqref="I183:I210">
    <cfRule type="containsText" dxfId="0" priority="461" operator="containsText" text="Problem">
      <formula>NOT(ISERROR(SEARCH(("Problem"),(I183))))</formula>
    </cfRule>
  </conditionalFormatting>
  <conditionalFormatting sqref="I183:I210">
    <cfRule type="containsText" dxfId="0" priority="462" operator="containsText" text="Problem">
      <formula>NOT(ISERROR(SEARCH(("Problem"),(I183))))</formula>
    </cfRule>
  </conditionalFormatting>
  <conditionalFormatting sqref="E419:E446">
    <cfRule type="containsText" dxfId="0" priority="463" operator="containsText" text="Problem">
      <formula>NOT(ISERROR(SEARCH(("Problem"),(E419))))</formula>
    </cfRule>
  </conditionalFormatting>
  <conditionalFormatting sqref="E419:E446">
    <cfRule type="containsText" dxfId="0" priority="464" operator="containsText" text="Problem">
      <formula>NOT(ISERROR(SEARCH(("Problem"),(E419))))</formula>
    </cfRule>
  </conditionalFormatting>
  <conditionalFormatting sqref="E419:E446">
    <cfRule type="containsText" dxfId="0" priority="465" operator="containsText" text="Problem">
      <formula>NOT(ISERROR(SEARCH(("Problem"),(E419))))</formula>
    </cfRule>
  </conditionalFormatting>
  <conditionalFormatting sqref="E239:I239">
    <cfRule type="containsText" dxfId="0" priority="466" operator="containsText" text="Problem">
      <formula>NOT(ISERROR(SEARCH(("Problem"),(E239))))</formula>
    </cfRule>
  </conditionalFormatting>
  <conditionalFormatting sqref="E239:I239">
    <cfRule type="containsText" dxfId="0" priority="467" operator="containsText" text="Problem">
      <formula>NOT(ISERROR(SEARCH(("Problem"),(E239))))</formula>
    </cfRule>
  </conditionalFormatting>
  <conditionalFormatting sqref="E239:I239">
    <cfRule type="containsText" dxfId="0" priority="468" operator="containsText" text="Problem">
      <formula>NOT(ISERROR(SEARCH(("Problem"),(E239))))</formula>
    </cfRule>
  </conditionalFormatting>
  <conditionalFormatting sqref="A831:A886">
    <cfRule type="containsText" dxfId="0" priority="469" operator="containsText" text="Problem">
      <formula>NOT(ISERROR(SEARCH(("Problem"),(A831))))</formula>
    </cfRule>
  </conditionalFormatting>
  <conditionalFormatting sqref="A831:A886">
    <cfRule type="containsText" dxfId="0" priority="470" operator="containsText" text="Problem">
      <formula>NOT(ISERROR(SEARCH(("Problem"),(A831))))</formula>
    </cfRule>
  </conditionalFormatting>
  <conditionalFormatting sqref="A831:A886">
    <cfRule type="containsText" dxfId="0" priority="471" operator="containsText" text="Problem">
      <formula>NOT(ISERROR(SEARCH(("Problem"),(A831))))</formula>
    </cfRule>
  </conditionalFormatting>
  <conditionalFormatting sqref="A477:A532">
    <cfRule type="containsText" dxfId="0" priority="472" operator="containsText" text="Problem">
      <formula>NOT(ISERROR(SEARCH(("Problem"),(A477))))</formula>
    </cfRule>
  </conditionalFormatting>
  <conditionalFormatting sqref="A477:A532">
    <cfRule type="containsText" dxfId="0" priority="473" operator="containsText" text="Problem">
      <formula>NOT(ISERROR(SEARCH(("Problem"),(A477))))</formula>
    </cfRule>
  </conditionalFormatting>
  <conditionalFormatting sqref="A477:A532">
    <cfRule type="containsText" dxfId="0" priority="474" operator="containsText" text="Problem">
      <formula>NOT(ISERROR(SEARCH(("Problem"),(A477))))</formula>
    </cfRule>
  </conditionalFormatting>
  <conditionalFormatting sqref="D708:D709 E683:H709">
    <cfRule type="containsText" dxfId="0" priority="475" operator="containsText" text="Problem">
      <formula>NOT(ISERROR(SEARCH(("Problem"),(D708))))</formula>
    </cfRule>
  </conditionalFormatting>
  <conditionalFormatting sqref="D708:D709 E683:H709">
    <cfRule type="containsText" dxfId="0" priority="476" operator="containsText" text="Problem">
      <formula>NOT(ISERROR(SEARCH(("Problem"),(D708))))</formula>
    </cfRule>
  </conditionalFormatting>
  <conditionalFormatting sqref="D708:D709 E683:H709">
    <cfRule type="containsText" dxfId="0" priority="477" operator="containsText" text="Problem">
      <formula>NOT(ISERROR(SEARCH(("Problem"),(D708))))</formula>
    </cfRule>
  </conditionalFormatting>
  <conditionalFormatting sqref="D832:D859">
    <cfRule type="containsText" dxfId="0" priority="478" operator="containsText" text="Problem">
      <formula>NOT(ISERROR(SEARCH(("Problem"),(D832))))</formula>
    </cfRule>
  </conditionalFormatting>
  <conditionalFormatting sqref="D832:D859">
    <cfRule type="containsText" dxfId="0" priority="479" operator="containsText" text="Problem">
      <formula>NOT(ISERROR(SEARCH(("Problem"),(D832))))</formula>
    </cfRule>
  </conditionalFormatting>
  <conditionalFormatting sqref="D832:D859">
    <cfRule type="containsText" dxfId="0" priority="480" operator="containsText" text="Problem">
      <formula>NOT(ISERROR(SEARCH(("Problem"),(D832))))</formula>
    </cfRule>
  </conditionalFormatting>
  <conditionalFormatting sqref="I182">
    <cfRule type="containsText" dxfId="0" priority="481" operator="containsText" text="Problem">
      <formula>NOT(ISERROR(SEARCH(("Problem"),(I182))))</formula>
    </cfRule>
  </conditionalFormatting>
  <conditionalFormatting sqref="I182">
    <cfRule type="containsText" dxfId="0" priority="482" operator="containsText" text="Problem">
      <formula>NOT(ISERROR(SEARCH(("Problem"),(I182))))</formula>
    </cfRule>
  </conditionalFormatting>
  <conditionalFormatting sqref="I182">
    <cfRule type="containsText" dxfId="0" priority="483" operator="containsText" text="Problem">
      <formula>NOT(ISERROR(SEARCH(("Problem"),(I182))))</formula>
    </cfRule>
  </conditionalFormatting>
  <conditionalFormatting sqref="D860:D884">
    <cfRule type="containsText" dxfId="0" priority="484" operator="containsText" text="Problem">
      <formula>NOT(ISERROR(SEARCH(("Problem"),(D860))))</formula>
    </cfRule>
  </conditionalFormatting>
  <conditionalFormatting sqref="D860:D884">
    <cfRule type="containsText" dxfId="0" priority="485" operator="containsText" text="Problem">
      <formula>NOT(ISERROR(SEARCH(("Problem"),(D860))))</formula>
    </cfRule>
  </conditionalFormatting>
  <conditionalFormatting sqref="D649:D650 E624:H650">
    <cfRule type="containsText" dxfId="0" priority="486" operator="containsText" text="Problem">
      <formula>NOT(ISERROR(SEARCH(("Problem"),(D649))))</formula>
    </cfRule>
  </conditionalFormatting>
  <conditionalFormatting sqref="D649:D650 E624:H650">
    <cfRule type="containsText" dxfId="0" priority="487" operator="containsText" text="Problem">
      <formula>NOT(ISERROR(SEARCH(("Problem"),(D649))))</formula>
    </cfRule>
  </conditionalFormatting>
  <conditionalFormatting sqref="D649:D650 E624:H650">
    <cfRule type="containsText" dxfId="0" priority="488" operator="containsText" text="Problem">
      <formula>NOT(ISERROR(SEARCH(("Problem"),(D649))))</formula>
    </cfRule>
  </conditionalFormatting>
  <conditionalFormatting sqref="D211:D235">
    <cfRule type="containsText" dxfId="0" priority="489" operator="containsText" text="Problem">
      <formula>NOT(ISERROR(SEARCH(("Problem"),(D211))))</formula>
    </cfRule>
  </conditionalFormatting>
  <conditionalFormatting sqref="D211:D235">
    <cfRule type="containsText" dxfId="0" priority="490" operator="containsText" text="Problem">
      <formula>NOT(ISERROR(SEARCH(("Problem"),(D211))))</formula>
    </cfRule>
  </conditionalFormatting>
  <conditionalFormatting sqref="D300">
    <cfRule type="containsText" dxfId="0" priority="491" operator="containsText" text="Problem">
      <formula>NOT(ISERROR(SEARCH(("Problem"),(D300))))</formula>
    </cfRule>
  </conditionalFormatting>
  <conditionalFormatting sqref="E595">
    <cfRule type="containsText" dxfId="0" priority="492" operator="containsText" text="Problem">
      <formula>NOT(ISERROR(SEARCH(("Problem"),(E595))))</formula>
    </cfRule>
  </conditionalFormatting>
  <conditionalFormatting sqref="E595">
    <cfRule type="containsText" dxfId="0" priority="493" operator="containsText" text="Problem">
      <formula>NOT(ISERROR(SEARCH(("Problem"),(E595))))</formula>
    </cfRule>
  </conditionalFormatting>
  <conditionalFormatting sqref="E595">
    <cfRule type="containsText" dxfId="0" priority="494" operator="containsText" text="Problem">
      <formula>NOT(ISERROR(SEARCH(("Problem"),(E595))))</formula>
    </cfRule>
  </conditionalFormatting>
  <conditionalFormatting sqref="E418">
    <cfRule type="containsText" dxfId="0" priority="495" operator="containsText" text="Problem">
      <formula>NOT(ISERROR(SEARCH(("Problem"),(E418))))</formula>
    </cfRule>
  </conditionalFormatting>
  <conditionalFormatting sqref="E418">
    <cfRule type="containsText" dxfId="0" priority="496" operator="containsText" text="Problem">
      <formula>NOT(ISERROR(SEARCH(("Problem"),(E418))))</formula>
    </cfRule>
  </conditionalFormatting>
  <conditionalFormatting sqref="E418">
    <cfRule type="containsText" dxfId="0" priority="497" operator="containsText" text="Problem">
      <formula>NOT(ISERROR(SEARCH(("Problem"),(E418))))</formula>
    </cfRule>
  </conditionalFormatting>
  <conditionalFormatting sqref="F419:F446">
    <cfRule type="containsText" dxfId="0" priority="498" operator="containsText" text="Problem">
      <formula>NOT(ISERROR(SEARCH(("Problem"),(F419))))</formula>
    </cfRule>
  </conditionalFormatting>
  <conditionalFormatting sqref="F419:F446">
    <cfRule type="containsText" dxfId="0" priority="499" operator="containsText" text="Problem">
      <formula>NOT(ISERROR(SEARCH(("Problem"),(F419))))</formula>
    </cfRule>
  </conditionalFormatting>
  <conditionalFormatting sqref="F419:F446">
    <cfRule type="containsText" dxfId="0" priority="500" operator="containsText" text="Problem">
      <formula>NOT(ISERROR(SEARCH(("Problem"),(F419))))</formula>
    </cfRule>
  </conditionalFormatting>
  <conditionalFormatting sqref="D447:D471">
    <cfRule type="containsText" dxfId="0" priority="501" operator="containsText" text="Problem">
      <formula>NOT(ISERROR(SEARCH(("Problem"),(D447))))</formula>
    </cfRule>
  </conditionalFormatting>
  <conditionalFormatting sqref="D447:D471">
    <cfRule type="containsText" dxfId="0" priority="502" operator="containsText" text="Problem">
      <formula>NOT(ISERROR(SEARCH(("Problem"),(D447))))</formula>
    </cfRule>
  </conditionalFormatting>
  <conditionalFormatting sqref="I478:I505">
    <cfRule type="containsText" dxfId="0" priority="503" operator="containsText" text="Problem">
      <formula>NOT(ISERROR(SEARCH(("Problem"),(I478))))</formula>
    </cfRule>
  </conditionalFormatting>
  <conditionalFormatting sqref="I478:I505">
    <cfRule type="containsText" dxfId="0" priority="504" operator="containsText" text="Problem">
      <formula>NOT(ISERROR(SEARCH(("Problem"),(I478))))</formula>
    </cfRule>
  </conditionalFormatting>
  <conditionalFormatting sqref="I478:I505">
    <cfRule type="containsText" dxfId="0" priority="505" operator="containsText" text="Problem">
      <formula>NOT(ISERROR(SEARCH(("Problem"),(I478))))</formula>
    </cfRule>
  </conditionalFormatting>
  <conditionalFormatting sqref="I478:I505">
    <cfRule type="containsText" dxfId="0" priority="506" operator="containsText" text="Problem">
      <formula>NOT(ISERROR(SEARCH(("Problem"),(I478))))</formula>
    </cfRule>
  </conditionalFormatting>
  <conditionalFormatting sqref="D360:D387">
    <cfRule type="containsText" dxfId="0" priority="507" operator="containsText" text="Problem">
      <formula>NOT(ISERROR(SEARCH(("Problem"),(D360))))</formula>
    </cfRule>
  </conditionalFormatting>
  <conditionalFormatting sqref="D360:D387">
    <cfRule type="containsText" dxfId="0" priority="508" operator="containsText" text="Problem">
      <formula>NOT(ISERROR(SEARCH(("Problem"),(D360))))</formula>
    </cfRule>
  </conditionalFormatting>
  <conditionalFormatting sqref="D360:D387">
    <cfRule type="containsText" dxfId="0" priority="509" operator="containsText" text="Problem">
      <formula>NOT(ISERROR(SEARCH(("Problem"),(D360))))</formula>
    </cfRule>
  </conditionalFormatting>
  <conditionalFormatting sqref="A476:I476 A533:H533 I506:I533 J476:P533">
    <cfRule type="containsText" dxfId="0" priority="510" operator="containsText" text="Problem">
      <formula>NOT(ISERROR(SEARCH(("Problem"),(A476))))</formula>
    </cfRule>
  </conditionalFormatting>
  <conditionalFormatting sqref="A476:I476 A533:H533 I506:I533 J476:P533">
    <cfRule type="containsText" dxfId="0" priority="511" operator="containsText" text="Problem">
      <formula>NOT(ISERROR(SEARCH(("Problem"),(A476))))</formula>
    </cfRule>
  </conditionalFormatting>
  <conditionalFormatting sqref="A476:I476 A533:H533 I506:I533 J476:P533">
    <cfRule type="containsText" dxfId="0" priority="512" operator="containsText" text="Problem">
      <formula>NOT(ISERROR(SEARCH(("Problem"),(A476))))</formula>
    </cfRule>
  </conditionalFormatting>
  <conditionalFormatting sqref="F654">
    <cfRule type="containsText" dxfId="0" priority="513" operator="containsText" text="Problem">
      <formula>NOT(ISERROR(SEARCH(("Problem"),(F654))))</formula>
    </cfRule>
  </conditionalFormatting>
  <conditionalFormatting sqref="F654">
    <cfRule type="containsText" dxfId="0" priority="514" operator="containsText" text="Problem">
      <formula>NOT(ISERROR(SEARCH(("Problem"),(F654))))</formula>
    </cfRule>
  </conditionalFormatting>
  <conditionalFormatting sqref="F654">
    <cfRule type="containsText" dxfId="0" priority="515" operator="containsText" text="Problem">
      <formula>NOT(ISERROR(SEARCH(("Problem"),(F654))))</formula>
    </cfRule>
  </conditionalFormatting>
  <conditionalFormatting sqref="F241">
    <cfRule type="containsText" dxfId="0" priority="516" operator="containsText" text="Problem">
      <formula>NOT(ISERROR(SEARCH(("Problem"),(F241))))</formula>
    </cfRule>
  </conditionalFormatting>
  <conditionalFormatting sqref="F241">
    <cfRule type="containsText" dxfId="0" priority="517" operator="containsText" text="Problem">
      <formula>NOT(ISERROR(SEARCH(("Problem"),(F241))))</formula>
    </cfRule>
  </conditionalFormatting>
  <conditionalFormatting sqref="F241">
    <cfRule type="containsText" dxfId="0" priority="518" operator="containsText" text="Problem">
      <formula>NOT(ISERROR(SEARCH(("Problem"),(F241))))</formula>
    </cfRule>
  </conditionalFormatting>
  <conditionalFormatting sqref="F772">
    <cfRule type="containsText" dxfId="0" priority="519" operator="containsText" text="Problem">
      <formula>NOT(ISERROR(SEARCH(("Problem"),(F772))))</formula>
    </cfRule>
  </conditionalFormatting>
  <conditionalFormatting sqref="F772">
    <cfRule type="containsText" dxfId="0" priority="520" operator="containsText" text="Problem">
      <formula>NOT(ISERROR(SEARCH(("Problem"),(F772))))</formula>
    </cfRule>
  </conditionalFormatting>
  <conditionalFormatting sqref="F772">
    <cfRule type="containsText" dxfId="0" priority="521" operator="containsText" text="Problem">
      <formula>NOT(ISERROR(SEARCH(("Problem"),(F772))))</formula>
    </cfRule>
  </conditionalFormatting>
  <conditionalFormatting sqref="F65:F92">
    <cfRule type="containsText" dxfId="0" priority="522" operator="containsText" text="Problem">
      <formula>NOT(ISERROR(SEARCH(("Problem"),(F65))))</formula>
    </cfRule>
  </conditionalFormatting>
  <conditionalFormatting sqref="F65:F92">
    <cfRule type="containsText" dxfId="0" priority="523" operator="containsText" text="Problem">
      <formula>NOT(ISERROR(SEARCH(("Problem"),(F65))))</formula>
    </cfRule>
  </conditionalFormatting>
  <conditionalFormatting sqref="F65:F92">
    <cfRule type="containsText" dxfId="0" priority="524" operator="containsText" text="Problem">
      <formula>NOT(ISERROR(SEARCH(("Problem"),(F65))))</formula>
    </cfRule>
  </conditionalFormatting>
  <conditionalFormatting sqref="H300">
    <cfRule type="containsText" dxfId="0" priority="525" operator="containsText" text="Problem">
      <formula>NOT(ISERROR(SEARCH(("Problem"),(H300))))</formula>
    </cfRule>
  </conditionalFormatting>
  <conditionalFormatting sqref="H300">
    <cfRule type="containsText" dxfId="0" priority="526" operator="containsText" text="Problem">
      <formula>NOT(ISERROR(SEARCH(("Problem"),(H300))))</formula>
    </cfRule>
  </conditionalFormatting>
  <conditionalFormatting sqref="H300">
    <cfRule type="containsText" dxfId="0" priority="527" operator="containsText" text="Problem">
      <formula>NOT(ISERROR(SEARCH(("Problem"),(H300))))</formula>
    </cfRule>
  </conditionalFormatting>
  <conditionalFormatting sqref="F301:F328">
    <cfRule type="containsText" dxfId="0" priority="528" operator="containsText" text="Problem">
      <formula>NOT(ISERROR(SEARCH(("Problem"),(F301))))</formula>
    </cfRule>
  </conditionalFormatting>
  <conditionalFormatting sqref="F301:F328">
    <cfRule type="containsText" dxfId="0" priority="529" operator="containsText" text="Problem">
      <formula>NOT(ISERROR(SEARCH(("Problem"),(F301))))</formula>
    </cfRule>
  </conditionalFormatting>
  <conditionalFormatting sqref="F301:F328">
    <cfRule type="containsText" dxfId="0" priority="530" operator="containsText" text="Problem">
      <formula>NOT(ISERROR(SEARCH(("Problem"),(F301))))</formula>
    </cfRule>
  </conditionalFormatting>
  <conditionalFormatting sqref="C593 E593:I593">
    <cfRule type="containsText" dxfId="0" priority="531" operator="containsText" text="Problem">
      <formula>NOT(ISERROR(SEARCH(("Problem"),(C593))))</formula>
    </cfRule>
  </conditionalFormatting>
  <conditionalFormatting sqref="C593 E593:I593">
    <cfRule type="containsText" dxfId="0" priority="532" operator="containsText" text="Problem">
      <formula>NOT(ISERROR(SEARCH(("Problem"),(C593))))</formula>
    </cfRule>
  </conditionalFormatting>
  <conditionalFormatting sqref="C593 E593:I593">
    <cfRule type="containsText" dxfId="0" priority="533" operator="containsText" text="Problem">
      <formula>NOT(ISERROR(SEARCH(("Problem"),(C593))))</formula>
    </cfRule>
  </conditionalFormatting>
  <conditionalFormatting sqref="A416 J416:P416">
    <cfRule type="containsText" dxfId="0" priority="534" operator="containsText" text="Problem">
      <formula>NOT(ISERROR(SEARCH(("Problem"),(A416))))</formula>
    </cfRule>
  </conditionalFormatting>
  <conditionalFormatting sqref="A416 J416:P416">
    <cfRule type="containsText" dxfId="0" priority="535" operator="containsText" text="Problem">
      <formula>NOT(ISERROR(SEARCH(("Problem"),(A416))))</formula>
    </cfRule>
  </conditionalFormatting>
  <conditionalFormatting sqref="A416 J416:P416">
    <cfRule type="containsText" dxfId="0" priority="536" operator="containsText" text="Problem">
      <formula>NOT(ISERROR(SEARCH(("Problem"),(A416))))</formula>
    </cfRule>
  </conditionalFormatting>
  <conditionalFormatting sqref="H655:H682">
    <cfRule type="containsText" dxfId="0" priority="537" operator="containsText" text="Problem">
      <formula>NOT(ISERROR(SEARCH(("Problem"),(H655))))</formula>
    </cfRule>
  </conditionalFormatting>
  <conditionalFormatting sqref="H655:H682">
    <cfRule type="containsText" dxfId="0" priority="538" operator="containsText" text="Problem">
      <formula>NOT(ISERROR(SEARCH(("Problem"),(H655))))</formula>
    </cfRule>
  </conditionalFormatting>
  <conditionalFormatting sqref="H655:H682">
    <cfRule type="containsText" dxfId="0" priority="539" operator="containsText" text="Problem">
      <formula>NOT(ISERROR(SEARCH(("Problem"),(H655))))</formula>
    </cfRule>
  </conditionalFormatting>
  <conditionalFormatting sqref="B632:C632 B644:B647 B649:C650 C601:C631 C641:C647">
    <cfRule type="containsText" dxfId="0" priority="540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541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542" operator="containsText" text="Problem">
      <formula>NOT(ISERROR(SEARCH(("Problem"),(B632))))</formula>
    </cfRule>
  </conditionalFormatting>
  <conditionalFormatting sqref="H359">
    <cfRule type="containsText" dxfId="0" priority="543" operator="containsText" text="Problem">
      <formula>NOT(ISERROR(SEARCH(("Problem"),(H359))))</formula>
    </cfRule>
  </conditionalFormatting>
  <conditionalFormatting sqref="H359">
    <cfRule type="containsText" dxfId="0" priority="544" operator="containsText" text="Problem">
      <formula>NOT(ISERROR(SEARCH(("Problem"),(H359))))</formula>
    </cfRule>
  </conditionalFormatting>
  <conditionalFormatting sqref="H359">
    <cfRule type="containsText" dxfId="0" priority="545" operator="containsText" text="Problem">
      <formula>NOT(ISERROR(SEARCH(("Problem"),(H359))))</formula>
    </cfRule>
  </conditionalFormatting>
  <conditionalFormatting sqref="E537:E564">
    <cfRule type="containsText" dxfId="0" priority="546" operator="containsText" text="Problem">
      <formula>NOT(ISERROR(SEARCH(("Problem"),(E537))))</formula>
    </cfRule>
  </conditionalFormatting>
  <conditionalFormatting sqref="E537:E564">
    <cfRule type="containsText" dxfId="0" priority="547" operator="containsText" text="Problem">
      <formula>NOT(ISERROR(SEARCH(("Problem"),(E537))))</formula>
    </cfRule>
  </conditionalFormatting>
  <conditionalFormatting sqref="E537:E564">
    <cfRule type="containsText" dxfId="0" priority="548" operator="containsText" text="Problem">
      <formula>NOT(ISERROR(SEARCH(("Problem"),(E537))))</formula>
    </cfRule>
  </conditionalFormatting>
  <conditionalFormatting sqref="B927:C927 B939:B942 B944:C945 C896:C926 C936:C942">
    <cfRule type="containsText" dxfId="0" priority="549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550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551" operator="containsText" text="Problem">
      <formula>NOT(ISERROR(SEARCH(("Problem"),(B927))))</formula>
    </cfRule>
  </conditionalFormatting>
  <conditionalFormatting sqref="E534:I534">
    <cfRule type="containsText" dxfId="0" priority="552" operator="containsText" text="Problem">
      <formula>NOT(ISERROR(SEARCH(("Problem"),(E534))))</formula>
    </cfRule>
  </conditionalFormatting>
  <conditionalFormatting sqref="E534:I534">
    <cfRule type="containsText" dxfId="0" priority="553" operator="containsText" text="Problem">
      <formula>NOT(ISERROR(SEARCH(("Problem"),(E534))))</formula>
    </cfRule>
  </conditionalFormatting>
  <conditionalFormatting sqref="E534:I534">
    <cfRule type="containsText" dxfId="0" priority="554" operator="containsText" text="Problem">
      <formula>NOT(ISERROR(SEARCH(("Problem"),(E534))))</formula>
    </cfRule>
  </conditionalFormatting>
  <conditionalFormatting sqref="B691:C691 B703:B706 B708:C709 C660:C690 C700:C706">
    <cfRule type="containsText" dxfId="0" priority="555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556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557" operator="containsText" text="Problem">
      <formula>NOT(ISERROR(SEARCH(("Problem"),(B691))))</formula>
    </cfRule>
  </conditionalFormatting>
  <conditionalFormatting sqref="B396:C396 B408:B411 B413:C414 C365:C395 C405:C411">
    <cfRule type="containsText" dxfId="0" priority="558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559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560" operator="containsText" text="Problem">
      <formula>NOT(ISERROR(SEARCH(("Problem"),(B396))))</formula>
    </cfRule>
  </conditionalFormatting>
  <conditionalFormatting sqref="A64:A119">
    <cfRule type="containsText" dxfId="0" priority="561" operator="containsText" text="Problem">
      <formula>NOT(ISERROR(SEARCH(("Problem"),(A64))))</formula>
    </cfRule>
  </conditionalFormatting>
  <conditionalFormatting sqref="A64:A119">
    <cfRule type="containsText" dxfId="0" priority="562" operator="containsText" text="Problem">
      <formula>NOT(ISERROR(SEARCH(("Problem"),(A64))))</formula>
    </cfRule>
  </conditionalFormatting>
  <conditionalFormatting sqref="A64:A119">
    <cfRule type="containsText" dxfId="0" priority="563" operator="containsText" text="Problem">
      <formula>NOT(ISERROR(SEARCH(("Problem"),(A64))))</formula>
    </cfRule>
  </conditionalFormatting>
  <conditionalFormatting sqref="F124:F151">
    <cfRule type="containsText" dxfId="0" priority="564" operator="containsText" text="Problem">
      <formula>NOT(ISERROR(SEARCH(("Problem"),(F124))))</formula>
    </cfRule>
  </conditionalFormatting>
  <conditionalFormatting sqref="F124:F151">
    <cfRule type="containsText" dxfId="0" priority="565" operator="containsText" text="Problem">
      <formula>NOT(ISERROR(SEARCH(("Problem"),(F124))))</formula>
    </cfRule>
  </conditionalFormatting>
  <conditionalFormatting sqref="F124:F151">
    <cfRule type="containsText" dxfId="0" priority="566" operator="containsText" text="Problem">
      <formula>NOT(ISERROR(SEARCH(("Problem"),(F124))))</formula>
    </cfRule>
  </conditionalFormatting>
  <conditionalFormatting sqref="H654">
    <cfRule type="containsText" dxfId="0" priority="567" operator="containsText" text="Problem">
      <formula>NOT(ISERROR(SEARCH(("Problem"),(H654))))</formula>
    </cfRule>
  </conditionalFormatting>
  <conditionalFormatting sqref="H654">
    <cfRule type="containsText" dxfId="0" priority="568" operator="containsText" text="Problem">
      <formula>NOT(ISERROR(SEARCH(("Problem"),(H654))))</formula>
    </cfRule>
  </conditionalFormatting>
  <conditionalFormatting sqref="H654">
    <cfRule type="containsText" dxfId="0" priority="569" operator="containsText" text="Problem">
      <formula>NOT(ISERROR(SEARCH(("Problem"),(H654))))</formula>
    </cfRule>
  </conditionalFormatting>
  <conditionalFormatting sqref="F831">
    <cfRule type="containsText" dxfId="0" priority="570" operator="containsText" text="Problem">
      <formula>NOT(ISERROR(SEARCH(("Problem"),(F831))))</formula>
    </cfRule>
  </conditionalFormatting>
  <conditionalFormatting sqref="F831">
    <cfRule type="containsText" dxfId="0" priority="571" operator="containsText" text="Problem">
      <formula>NOT(ISERROR(SEARCH(("Problem"),(F831))))</formula>
    </cfRule>
  </conditionalFormatting>
  <conditionalFormatting sqref="F831">
    <cfRule type="containsText" dxfId="0" priority="572" operator="containsText" text="Problem">
      <formula>NOT(ISERROR(SEARCH(("Problem"),(F831))))</formula>
    </cfRule>
  </conditionalFormatting>
  <conditionalFormatting sqref="F300">
    <cfRule type="containsText" dxfId="0" priority="573" operator="containsText" text="Problem">
      <formula>NOT(ISERROR(SEARCH(("Problem"),(F300))))</formula>
    </cfRule>
  </conditionalFormatting>
  <conditionalFormatting sqref="F300">
    <cfRule type="containsText" dxfId="0" priority="574" operator="containsText" text="Problem">
      <formula>NOT(ISERROR(SEARCH(("Problem"),(F300))))</formula>
    </cfRule>
  </conditionalFormatting>
  <conditionalFormatting sqref="F300">
    <cfRule type="containsText" dxfId="0" priority="575" operator="containsText" text="Problem">
      <formula>NOT(ISERROR(SEARCH(("Problem"),(F300))))</formula>
    </cfRule>
  </conditionalFormatting>
  <conditionalFormatting sqref="I65:I92">
    <cfRule type="containsText" dxfId="0" priority="576" operator="containsText" text="Problem">
      <formula>NOT(ISERROR(SEARCH(("Problem"),(I65))))</formula>
    </cfRule>
  </conditionalFormatting>
  <conditionalFormatting sqref="I65:I92">
    <cfRule type="containsText" dxfId="0" priority="577" operator="containsText" text="Problem">
      <formula>NOT(ISERROR(SEARCH(("Problem"),(I65))))</formula>
    </cfRule>
  </conditionalFormatting>
  <conditionalFormatting sqref="I65:I92">
    <cfRule type="containsText" dxfId="0" priority="578" operator="containsText" text="Problem">
      <formula>NOT(ISERROR(SEARCH(("Problem"),(I65))))</formula>
    </cfRule>
  </conditionalFormatting>
  <conditionalFormatting sqref="I65:I92">
    <cfRule type="containsText" dxfId="0" priority="579" operator="containsText" text="Problem">
      <formula>NOT(ISERROR(SEARCH(("Problem"),(I65))))</formula>
    </cfRule>
  </conditionalFormatting>
  <conditionalFormatting sqref="D683:D707">
    <cfRule type="containsText" dxfId="0" priority="580" operator="containsText" text="Problem">
      <formula>NOT(ISERROR(SEARCH(("Problem"),(D683))))</formula>
    </cfRule>
  </conditionalFormatting>
  <conditionalFormatting sqref="D683:D707">
    <cfRule type="containsText" dxfId="0" priority="581" operator="containsText" text="Problem">
      <formula>NOT(ISERROR(SEARCH(("Problem"),(D683))))</formula>
    </cfRule>
  </conditionalFormatting>
  <conditionalFormatting sqref="H418">
    <cfRule type="containsText" dxfId="0" priority="582" operator="containsText" text="Problem">
      <formula>NOT(ISERROR(SEARCH(("Problem"),(H418))))</formula>
    </cfRule>
  </conditionalFormatting>
  <conditionalFormatting sqref="H418">
    <cfRule type="containsText" dxfId="0" priority="583" operator="containsText" text="Problem">
      <formula>NOT(ISERROR(SEARCH(("Problem"),(H418))))</formula>
    </cfRule>
  </conditionalFormatting>
  <conditionalFormatting sqref="H418">
    <cfRule type="containsText" dxfId="0" priority="584" operator="containsText" text="Problem">
      <formula>NOT(ISERROR(SEARCH(("Problem"),(H418))))</formula>
    </cfRule>
  </conditionalFormatting>
  <conditionalFormatting sqref="A299:I299 A356:H356 I329:I356 J299:P356">
    <cfRule type="containsText" dxfId="0" priority="585" operator="containsText" text="Problem">
      <formula>NOT(ISERROR(SEARCH(("Problem"),(A299))))</formula>
    </cfRule>
  </conditionalFormatting>
  <conditionalFormatting sqref="A299:I299 A356:H356 I329:I356 J299:P356">
    <cfRule type="containsText" dxfId="0" priority="586" operator="containsText" text="Problem">
      <formula>NOT(ISERROR(SEARCH(("Problem"),(A299))))</formula>
    </cfRule>
  </conditionalFormatting>
  <conditionalFormatting sqref="A299:I299 A356:H356 I329:I356 J299:P356">
    <cfRule type="containsText" dxfId="0" priority="587" operator="containsText" text="Problem">
      <formula>NOT(ISERROR(SEARCH(("Problem"),(A299))))</formula>
    </cfRule>
  </conditionalFormatting>
  <conditionalFormatting sqref="I773:I800">
    <cfRule type="containsText" dxfId="0" priority="588" operator="containsText" text="Problem">
      <formula>NOT(ISERROR(SEARCH(("Problem"),(I773))))</formula>
    </cfRule>
  </conditionalFormatting>
  <conditionalFormatting sqref="I773:I800">
    <cfRule type="containsText" dxfId="0" priority="589" operator="containsText" text="Problem">
      <formula>NOT(ISERROR(SEARCH(("Problem"),(I773))))</formula>
    </cfRule>
  </conditionalFormatting>
  <conditionalFormatting sqref="I773:I800">
    <cfRule type="containsText" dxfId="0" priority="590" operator="containsText" text="Problem">
      <formula>NOT(ISERROR(SEARCH(("Problem"),(I773))))</formula>
    </cfRule>
  </conditionalFormatting>
  <conditionalFormatting sqref="I773:I800">
    <cfRule type="containsText" dxfId="0" priority="591" operator="containsText" text="Problem">
      <formula>NOT(ISERROR(SEARCH(("Problem"),(I773))))</formula>
    </cfRule>
  </conditionalFormatting>
  <conditionalFormatting sqref="F418">
    <cfRule type="containsText" dxfId="0" priority="592" operator="containsText" text="Problem">
      <formula>NOT(ISERROR(SEARCH(("Problem"),(F418))))</formula>
    </cfRule>
  </conditionalFormatting>
  <conditionalFormatting sqref="F418">
    <cfRule type="containsText" dxfId="0" priority="593" operator="containsText" text="Problem">
      <formula>NOT(ISERROR(SEARCH(("Problem"),(F418))))</formula>
    </cfRule>
  </conditionalFormatting>
  <conditionalFormatting sqref="F418">
    <cfRule type="containsText" dxfId="0" priority="594" operator="containsText" text="Problem">
      <formula>NOT(ISERROR(SEARCH(("Problem"),(F418))))</formula>
    </cfRule>
  </conditionalFormatting>
  <conditionalFormatting sqref="H773:H800">
    <cfRule type="containsText" dxfId="0" priority="595" operator="containsText" text="Problem">
      <formula>NOT(ISERROR(SEARCH(("Problem"),(H773))))</formula>
    </cfRule>
  </conditionalFormatting>
  <conditionalFormatting sqref="H773:H800">
    <cfRule type="containsText" dxfId="0" priority="596" operator="containsText" text="Problem">
      <formula>NOT(ISERROR(SEARCH(("Problem"),(H773))))</formula>
    </cfRule>
  </conditionalFormatting>
  <conditionalFormatting sqref="H773:H800">
    <cfRule type="containsText" dxfId="0" priority="597" operator="containsText" text="Problem">
      <formula>NOT(ISERROR(SEARCH(("Problem"),(H773))))</formula>
    </cfRule>
  </conditionalFormatting>
  <conditionalFormatting sqref="I359">
    <cfRule type="containsText" dxfId="0" priority="598" operator="containsText" text="Problem">
      <formula>NOT(ISERROR(SEARCH(("Problem"),(I359))))</formula>
    </cfRule>
  </conditionalFormatting>
  <conditionalFormatting sqref="I359">
    <cfRule type="containsText" dxfId="0" priority="599" operator="containsText" text="Problem">
      <formula>NOT(ISERROR(SEARCH(("Problem"),(I359))))</formula>
    </cfRule>
  </conditionalFormatting>
  <conditionalFormatting sqref="I359">
    <cfRule type="containsText" dxfId="0" priority="600" operator="containsText" text="Problem">
      <formula>NOT(ISERROR(SEARCH(("Problem"),(I359))))</formula>
    </cfRule>
  </conditionalFormatting>
  <conditionalFormatting sqref="G478:G505">
    <cfRule type="containsText" dxfId="0" priority="601" operator="containsText" text="Problem">
      <formula>NOT(ISERROR(SEARCH(("Problem"),(G478))))</formula>
    </cfRule>
  </conditionalFormatting>
  <conditionalFormatting sqref="G478:G505">
    <cfRule type="containsText" dxfId="0" priority="602" operator="containsText" text="Problem">
      <formula>NOT(ISERROR(SEARCH(("Problem"),(G478))))</formula>
    </cfRule>
  </conditionalFormatting>
  <conditionalFormatting sqref="G478:G505">
    <cfRule type="containsText" dxfId="0" priority="603" operator="containsText" text="Problem">
      <formula>NOT(ISERROR(SEARCH(("Problem"),(G478))))</formula>
    </cfRule>
  </conditionalFormatting>
  <conditionalFormatting sqref="D93:D117">
    <cfRule type="containsText" dxfId="0" priority="604" operator="containsText" text="Problem">
      <formula>NOT(ISERROR(SEARCH(("Problem"),(D93))))</formula>
    </cfRule>
  </conditionalFormatting>
  <conditionalFormatting sqref="D93:D117">
    <cfRule type="containsText" dxfId="0" priority="605" operator="containsText" text="Problem">
      <formula>NOT(ISERROR(SEARCH(("Problem"),(D93))))</formula>
    </cfRule>
  </conditionalFormatting>
  <conditionalFormatting sqref="A62 J62:P62">
    <cfRule type="containsText" dxfId="0" priority="606" operator="containsText" text="Problem">
      <formula>NOT(ISERROR(SEARCH(("Problem"),(A62))))</formula>
    </cfRule>
  </conditionalFormatting>
  <conditionalFormatting sqref="A62 J62:P62">
    <cfRule type="containsText" dxfId="0" priority="607" operator="containsText" text="Problem">
      <formula>NOT(ISERROR(SEARCH(("Problem"),(A62))))</formula>
    </cfRule>
  </conditionalFormatting>
  <conditionalFormatting sqref="A62 J62:P62">
    <cfRule type="containsText" dxfId="0" priority="608" operator="containsText" text="Problem">
      <formula>NOT(ISERROR(SEARCH(("Problem"),(A62))))</formula>
    </cfRule>
  </conditionalFormatting>
  <conditionalFormatting sqref="D241">
    <cfRule type="containsText" dxfId="0" priority="609" operator="containsText" text="Problem">
      <formula>NOT(ISERROR(SEARCH(("Problem"),(D241))))</formula>
    </cfRule>
  </conditionalFormatting>
  <conditionalFormatting sqref="B514:C514 B526:B529 B531:C532 C483:C513 C523:C529">
    <cfRule type="containsText" dxfId="0" priority="610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611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612" operator="containsText" text="Problem">
      <formula>NOT(ISERROR(SEARCH(("Problem"),(B514))))</formula>
    </cfRule>
  </conditionalFormatting>
  <conditionalFormatting sqref="I655:I682">
    <cfRule type="containsText" dxfId="0" priority="613" operator="containsText" text="Problem">
      <formula>NOT(ISERROR(SEARCH(("Problem"),(I655))))</formula>
    </cfRule>
  </conditionalFormatting>
  <conditionalFormatting sqref="I655:I682">
    <cfRule type="containsText" dxfId="0" priority="614" operator="containsText" text="Problem">
      <formula>NOT(ISERROR(SEARCH(("Problem"),(I655))))</formula>
    </cfRule>
  </conditionalFormatting>
  <conditionalFormatting sqref="I655:I682">
    <cfRule type="containsText" dxfId="0" priority="615" operator="containsText" text="Problem">
      <formula>NOT(ISERROR(SEARCH(("Problem"),(I655))))</formula>
    </cfRule>
  </conditionalFormatting>
  <conditionalFormatting sqref="I655:I682">
    <cfRule type="containsText" dxfId="0" priority="616" operator="containsText" text="Problem">
      <formula>NOT(ISERROR(SEARCH(("Problem"),(I655))))</formula>
    </cfRule>
  </conditionalFormatting>
  <conditionalFormatting sqref="I772">
    <cfRule type="containsText" dxfId="0" priority="617" operator="containsText" text="Problem">
      <formula>NOT(ISERROR(SEARCH(("Problem"),(I772))))</formula>
    </cfRule>
  </conditionalFormatting>
  <conditionalFormatting sqref="I772">
    <cfRule type="containsText" dxfId="0" priority="618" operator="containsText" text="Problem">
      <formula>NOT(ISERROR(SEARCH(("Problem"),(I772))))</formula>
    </cfRule>
  </conditionalFormatting>
  <conditionalFormatting sqref="I772">
    <cfRule type="containsText" dxfId="0" priority="619" operator="containsText" text="Problem">
      <formula>NOT(ISERROR(SEARCH(("Problem"),(I772))))</formula>
    </cfRule>
  </conditionalFormatting>
  <conditionalFormatting sqref="D359">
    <cfRule type="containsText" dxfId="0" priority="620" operator="containsText" text="Problem">
      <formula>NOT(ISERROR(SEARCH(("Problem"),(D359))))</formula>
    </cfRule>
  </conditionalFormatting>
  <conditionalFormatting sqref="G241">
    <cfRule type="containsText" dxfId="0" priority="621" operator="containsText" text="Problem">
      <formula>NOT(ISERROR(SEARCH(("Problem"),(G241))))</formula>
    </cfRule>
  </conditionalFormatting>
  <conditionalFormatting sqref="G241">
    <cfRule type="containsText" dxfId="0" priority="622" operator="containsText" text="Problem">
      <formula>NOT(ISERROR(SEARCH(("Problem"),(G241))))</formula>
    </cfRule>
  </conditionalFormatting>
  <conditionalFormatting sqref="G241">
    <cfRule type="containsText" dxfId="0" priority="623" operator="containsText" text="Problem">
      <formula>NOT(ISERROR(SEARCH(("Problem"),(G241))))</formula>
    </cfRule>
  </conditionalFormatting>
  <conditionalFormatting sqref="G595">
    <cfRule type="containsText" dxfId="0" priority="624" operator="containsText" text="Problem">
      <formula>NOT(ISERROR(SEARCH(("Problem"),(G595))))</formula>
    </cfRule>
  </conditionalFormatting>
  <conditionalFormatting sqref="G595">
    <cfRule type="containsText" dxfId="0" priority="625" operator="containsText" text="Problem">
      <formula>NOT(ISERROR(SEARCH(("Problem"),(G595))))</formula>
    </cfRule>
  </conditionalFormatting>
  <conditionalFormatting sqref="G595">
    <cfRule type="containsText" dxfId="0" priority="626" operator="containsText" text="Problem">
      <formula>NOT(ISERROR(SEARCH(("Problem"),(G595))))</formula>
    </cfRule>
  </conditionalFormatting>
  <conditionalFormatting sqref="D59">
    <cfRule type="containsText" dxfId="0" priority="627" operator="containsText" text="Problem">
      <formula>NOT(ISERROR(SEARCH(("Problem"),(D59))))</formula>
    </cfRule>
  </conditionalFormatting>
  <conditionalFormatting sqref="D59">
    <cfRule type="containsText" dxfId="0" priority="628" operator="containsText" text="Problem">
      <formula>NOT(ISERROR(SEARCH(("Problem"),(D59))))</formula>
    </cfRule>
  </conditionalFormatting>
  <conditionalFormatting sqref="D59">
    <cfRule type="containsText" dxfId="0" priority="629" operator="containsText" text="Problem">
      <formula>NOT(ISERROR(SEARCH(("Problem"),(D59))))</formula>
    </cfRule>
  </conditionalFormatting>
  <conditionalFormatting sqref="I418">
    <cfRule type="containsText" dxfId="0" priority="630" operator="containsText" text="Problem">
      <formula>NOT(ISERROR(SEARCH(("Problem"),(I418))))</formula>
    </cfRule>
  </conditionalFormatting>
  <conditionalFormatting sqref="I418">
    <cfRule type="containsText" dxfId="0" priority="631" operator="containsText" text="Problem">
      <formula>NOT(ISERROR(SEARCH(("Problem"),(I418))))</formula>
    </cfRule>
  </conditionalFormatting>
  <conditionalFormatting sqref="I418">
    <cfRule type="containsText" dxfId="0" priority="632" operator="containsText" text="Problem">
      <formula>NOT(ISERROR(SEARCH(("Problem"),(I418))))</formula>
    </cfRule>
  </conditionalFormatting>
  <conditionalFormatting sqref="F536">
    <cfRule type="containsText" dxfId="0" priority="633" operator="containsText" text="Problem">
      <formula>NOT(ISERROR(SEARCH(("Problem"),(F536))))</formula>
    </cfRule>
  </conditionalFormatting>
  <conditionalFormatting sqref="F536">
    <cfRule type="containsText" dxfId="0" priority="634" operator="containsText" text="Problem">
      <formula>NOT(ISERROR(SEARCH(("Problem"),(F536))))</formula>
    </cfRule>
  </conditionalFormatting>
  <conditionalFormatting sqref="F536">
    <cfRule type="containsText" dxfId="0" priority="635" operator="containsText" text="Problem">
      <formula>NOT(ISERROR(SEARCH(("Problem"),(F536))))</formula>
    </cfRule>
  </conditionalFormatting>
  <conditionalFormatting sqref="E475:I475">
    <cfRule type="containsText" dxfId="0" priority="636" operator="containsText" text="Problem">
      <formula>NOT(ISERROR(SEARCH(("Problem"),(E475))))</formula>
    </cfRule>
  </conditionalFormatting>
  <conditionalFormatting sqref="E475:I475">
    <cfRule type="containsText" dxfId="0" priority="637" operator="containsText" text="Problem">
      <formula>NOT(ISERROR(SEARCH(("Problem"),(E475))))</formula>
    </cfRule>
  </conditionalFormatting>
  <conditionalFormatting sqref="E475:I475">
    <cfRule type="containsText" dxfId="0" priority="638" operator="containsText" text="Problem">
      <formula>NOT(ISERROR(SEARCH(("Problem"),(E475))))</formula>
    </cfRule>
  </conditionalFormatting>
  <conditionalFormatting sqref="E713">
    <cfRule type="containsText" dxfId="0" priority="639" operator="containsText" text="Problem">
      <formula>NOT(ISERROR(SEARCH(("Problem"),(E713))))</formula>
    </cfRule>
  </conditionalFormatting>
  <conditionalFormatting sqref="E713">
    <cfRule type="containsText" dxfId="0" priority="640" operator="containsText" text="Problem">
      <formula>NOT(ISERROR(SEARCH(("Problem"),(E713))))</formula>
    </cfRule>
  </conditionalFormatting>
  <conditionalFormatting sqref="E713">
    <cfRule type="containsText" dxfId="0" priority="641" operator="containsText" text="Problem">
      <formula>NOT(ISERROR(SEARCH(("Problem"),(E713))))</formula>
    </cfRule>
  </conditionalFormatting>
  <conditionalFormatting sqref="H772">
    <cfRule type="containsText" dxfId="0" priority="642" operator="containsText" text="Problem">
      <formula>NOT(ISERROR(SEARCH(("Problem"),(H772))))</formula>
    </cfRule>
  </conditionalFormatting>
  <conditionalFormatting sqref="H772">
    <cfRule type="containsText" dxfId="0" priority="643" operator="containsText" text="Problem">
      <formula>NOT(ISERROR(SEARCH(("Problem"),(H772))))</formula>
    </cfRule>
  </conditionalFormatting>
  <conditionalFormatting sqref="H772">
    <cfRule type="containsText" dxfId="0" priority="644" operator="containsText" text="Problem">
      <formula>NOT(ISERROR(SEARCH(("Problem"),(H772))))</formula>
    </cfRule>
  </conditionalFormatting>
  <conditionalFormatting sqref="F596:F623">
    <cfRule type="containsText" dxfId="0" priority="645" operator="containsText" text="Problem">
      <formula>NOT(ISERROR(SEARCH(("Problem"),(F596))))</formula>
    </cfRule>
  </conditionalFormatting>
  <conditionalFormatting sqref="F596:F623">
    <cfRule type="containsText" dxfId="0" priority="646" operator="containsText" text="Problem">
      <formula>NOT(ISERROR(SEARCH(("Problem"),(F596))))</formula>
    </cfRule>
  </conditionalFormatting>
  <conditionalFormatting sqref="F596:F623">
    <cfRule type="containsText" dxfId="0" priority="647" operator="containsText" text="Problem">
      <formula>NOT(ISERROR(SEARCH(("Problem"),(F596))))</formula>
    </cfRule>
  </conditionalFormatting>
  <conditionalFormatting sqref="A359:A414">
    <cfRule type="containsText" dxfId="0" priority="648" operator="containsText" text="Problem">
      <formula>NOT(ISERROR(SEARCH(("Problem"),(A359))))</formula>
    </cfRule>
  </conditionalFormatting>
  <conditionalFormatting sqref="A359:A414">
    <cfRule type="containsText" dxfId="0" priority="649" operator="containsText" text="Problem">
      <formula>NOT(ISERROR(SEARCH(("Problem"),(A359))))</formula>
    </cfRule>
  </conditionalFormatting>
  <conditionalFormatting sqref="A359:A414">
    <cfRule type="containsText" dxfId="0" priority="650" operator="containsText" text="Problem">
      <formula>NOT(ISERROR(SEARCH(("Problem"),(A359))))</formula>
    </cfRule>
  </conditionalFormatting>
  <conditionalFormatting sqref="H124:H151">
    <cfRule type="containsText" dxfId="0" priority="651" operator="containsText" text="Problem">
      <formula>NOT(ISERROR(SEARCH(("Problem"),(H124))))</formula>
    </cfRule>
  </conditionalFormatting>
  <conditionalFormatting sqref="H124:H151">
    <cfRule type="containsText" dxfId="0" priority="652" operator="containsText" text="Problem">
      <formula>NOT(ISERROR(SEARCH(("Problem"),(H124))))</formula>
    </cfRule>
  </conditionalFormatting>
  <conditionalFormatting sqref="H124:H151">
    <cfRule type="containsText" dxfId="0" priority="653" operator="containsText" text="Problem">
      <formula>NOT(ISERROR(SEARCH(("Problem"),(H124))))</formula>
    </cfRule>
  </conditionalFormatting>
  <conditionalFormatting sqref="A888 E888:P888">
    <cfRule type="containsText" dxfId="0" priority="654" operator="containsText" text="Problem">
      <formula>NOT(ISERROR(SEARCH(("Problem"),(A888))))</formula>
    </cfRule>
  </conditionalFormatting>
  <conditionalFormatting sqref="A888 E888:P888">
    <cfRule type="containsText" dxfId="0" priority="655" operator="containsText" text="Problem">
      <formula>NOT(ISERROR(SEARCH(("Problem"),(A888))))</formula>
    </cfRule>
  </conditionalFormatting>
  <conditionalFormatting sqref="A888 E888:P888">
    <cfRule type="containsText" dxfId="0" priority="656" operator="containsText" text="Problem">
      <formula>NOT(ISERROR(SEARCH(("Problem"),(A888))))</formula>
    </cfRule>
  </conditionalFormatting>
  <conditionalFormatting sqref="G832:G859">
    <cfRule type="containsText" dxfId="0" priority="657" operator="containsText" text="Problem">
      <formula>NOT(ISERROR(SEARCH(("Problem"),(G832))))</formula>
    </cfRule>
  </conditionalFormatting>
  <conditionalFormatting sqref="G832:G859">
    <cfRule type="containsText" dxfId="0" priority="658" operator="containsText" text="Problem">
      <formula>NOT(ISERROR(SEARCH(("Problem"),(G832))))</formula>
    </cfRule>
  </conditionalFormatting>
  <conditionalFormatting sqref="G832:G859">
    <cfRule type="containsText" dxfId="0" priority="659" operator="containsText" text="Problem">
      <formula>NOT(ISERROR(SEARCH(("Problem"),(G832))))</formula>
    </cfRule>
  </conditionalFormatting>
  <conditionalFormatting sqref="I477">
    <cfRule type="containsText" dxfId="0" priority="660" operator="containsText" text="Problem">
      <formula>NOT(ISERROR(SEARCH(("Problem"),(I477))))</formula>
    </cfRule>
  </conditionalFormatting>
  <conditionalFormatting sqref="I477">
    <cfRule type="containsText" dxfId="0" priority="661" operator="containsText" text="Problem">
      <formula>NOT(ISERROR(SEARCH(("Problem"),(I477))))</formula>
    </cfRule>
  </conditionalFormatting>
  <conditionalFormatting sqref="I477">
    <cfRule type="containsText" dxfId="0" priority="662" operator="containsText" text="Problem">
      <formula>NOT(ISERROR(SEARCH(("Problem"),(I477))))</formula>
    </cfRule>
  </conditionalFormatting>
  <conditionalFormatting sqref="I241">
    <cfRule type="containsText" dxfId="0" priority="663" operator="containsText" text="Problem">
      <formula>NOT(ISERROR(SEARCH(("Problem"),(I241))))</formula>
    </cfRule>
  </conditionalFormatting>
  <conditionalFormatting sqref="I241">
    <cfRule type="containsText" dxfId="0" priority="664" operator="containsText" text="Problem">
      <formula>NOT(ISERROR(SEARCH(("Problem"),(I241))))</formula>
    </cfRule>
  </conditionalFormatting>
  <conditionalFormatting sqref="I241">
    <cfRule type="containsText" dxfId="0" priority="665" operator="containsText" text="Problem">
      <formula>NOT(ISERROR(SEARCH(("Problem"),(I241))))</formula>
    </cfRule>
  </conditionalFormatting>
  <conditionalFormatting sqref="D537:D564">
    <cfRule type="containsText" dxfId="0" priority="666" operator="containsText" text="Problem">
      <formula>NOT(ISERROR(SEARCH(("Problem"),(D537))))</formula>
    </cfRule>
  </conditionalFormatting>
  <conditionalFormatting sqref="D537:D564">
    <cfRule type="containsText" dxfId="0" priority="667" operator="containsText" text="Problem">
      <formula>NOT(ISERROR(SEARCH(("Problem"),(D537))))</formula>
    </cfRule>
  </conditionalFormatting>
  <conditionalFormatting sqref="D537:D564">
    <cfRule type="containsText" dxfId="0" priority="668" operator="containsText" text="Problem">
      <formula>NOT(ISERROR(SEARCH(("Problem"),(D537))))</formula>
    </cfRule>
  </conditionalFormatting>
  <conditionalFormatting sqref="A594:I594 A651:H651 I624:I651 J594:P651">
    <cfRule type="containsText" dxfId="0" priority="669" operator="containsText" text="Problem">
      <formula>NOT(ISERROR(SEARCH(("Problem"),(A594))))</formula>
    </cfRule>
  </conditionalFormatting>
  <conditionalFormatting sqref="A594:I594 A651:H651 I624:I651 J594:P651">
    <cfRule type="containsText" dxfId="0" priority="670" operator="containsText" text="Problem">
      <formula>NOT(ISERROR(SEARCH(("Problem"),(A594))))</formula>
    </cfRule>
  </conditionalFormatting>
  <conditionalFormatting sqref="A594:I594 A651:H651 I624:I651 J594:P651">
    <cfRule type="containsText" dxfId="0" priority="671" operator="containsText" text="Problem">
      <formula>NOT(ISERROR(SEARCH(("Problem"),(A594))))</formula>
    </cfRule>
  </conditionalFormatting>
  <conditionalFormatting sqref="E477">
    <cfRule type="containsText" dxfId="0" priority="672" operator="containsText" text="Problem">
      <formula>NOT(ISERROR(SEARCH(("Problem"),(E477))))</formula>
    </cfRule>
  </conditionalFormatting>
  <conditionalFormatting sqref="E477">
    <cfRule type="containsText" dxfId="0" priority="673" operator="containsText" text="Problem">
      <formula>NOT(ISERROR(SEARCH(("Problem"),(E477))))</formula>
    </cfRule>
  </conditionalFormatting>
  <conditionalFormatting sqref="E477">
    <cfRule type="containsText" dxfId="0" priority="674" operator="containsText" text="Problem">
      <formula>NOT(ISERROR(SEARCH(("Problem"),(E477))))</formula>
    </cfRule>
  </conditionalFormatting>
  <conditionalFormatting sqref="D506:D530">
    <cfRule type="containsText" dxfId="0" priority="675" operator="containsText" text="Problem">
      <formula>NOT(ISERROR(SEARCH(("Problem"),(D506))))</formula>
    </cfRule>
  </conditionalFormatting>
  <conditionalFormatting sqref="D506:D530">
    <cfRule type="containsText" dxfId="0" priority="676" operator="containsText" text="Problem">
      <formula>NOT(ISERROR(SEARCH(("Problem"),(D506))))</formula>
    </cfRule>
  </conditionalFormatting>
  <conditionalFormatting sqref="I64">
    <cfRule type="containsText" dxfId="0" priority="677" operator="containsText" text="Problem">
      <formula>NOT(ISERROR(SEARCH(("Problem"),(I64))))</formula>
    </cfRule>
  </conditionalFormatting>
  <conditionalFormatting sqref="I64">
    <cfRule type="containsText" dxfId="0" priority="678" operator="containsText" text="Problem">
      <formula>NOT(ISERROR(SEARCH(("Problem"),(I64))))</formula>
    </cfRule>
  </conditionalFormatting>
  <conditionalFormatting sqref="I64">
    <cfRule type="containsText" dxfId="0" priority="679" operator="containsText" text="Problem">
      <formula>NOT(ISERROR(SEARCH(("Problem"),(I64))))</formula>
    </cfRule>
  </conditionalFormatting>
  <conditionalFormatting sqref="A417:I417 A474:H474 I447:I474 J417:P474">
    <cfRule type="containsText" dxfId="0" priority="680" operator="containsText" text="Problem">
      <formula>NOT(ISERROR(SEARCH(("Problem"),(A417))))</formula>
    </cfRule>
  </conditionalFormatting>
  <conditionalFormatting sqref="A417:I417 A474:H474 I447:I474 J417:P474">
    <cfRule type="containsText" dxfId="0" priority="681" operator="containsText" text="Problem">
      <formula>NOT(ISERROR(SEARCH(("Problem"),(A417))))</formula>
    </cfRule>
  </conditionalFormatting>
  <conditionalFormatting sqref="A417:I417 A474:H474 I447:I474 J417:P474">
    <cfRule type="containsText" dxfId="0" priority="682" operator="containsText" text="Problem">
      <formula>NOT(ISERROR(SEARCH(("Problem"),(A417))))</formula>
    </cfRule>
  </conditionalFormatting>
  <conditionalFormatting sqref="D596:D623">
    <cfRule type="containsText" dxfId="0" priority="683" operator="containsText" text="Problem">
      <formula>NOT(ISERROR(SEARCH(("Problem"),(D596))))</formula>
    </cfRule>
  </conditionalFormatting>
  <conditionalFormatting sqref="D596:D623">
    <cfRule type="containsText" dxfId="0" priority="684" operator="containsText" text="Problem">
      <formula>NOT(ISERROR(SEARCH(("Problem"),(D596))))</formula>
    </cfRule>
  </conditionalFormatting>
  <conditionalFormatting sqref="D596:D623">
    <cfRule type="containsText" dxfId="0" priority="685" operator="containsText" text="Problem">
      <formula>NOT(ISERROR(SEARCH(("Problem"),(D596))))</formula>
    </cfRule>
  </conditionalFormatting>
  <conditionalFormatting sqref="D801:D825">
    <cfRule type="containsText" dxfId="0" priority="686" operator="containsText" text="Problem">
      <formula>NOT(ISERROR(SEARCH(("Problem"),(D801))))</formula>
    </cfRule>
  </conditionalFormatting>
  <conditionalFormatting sqref="D801:D825">
    <cfRule type="containsText" dxfId="0" priority="687" operator="containsText" text="Problem">
      <formula>NOT(ISERROR(SEARCH(("Problem"),(D801))))</formula>
    </cfRule>
  </conditionalFormatting>
  <conditionalFormatting sqref="D477">
    <cfRule type="containsText" dxfId="0" priority="688" operator="containsText" text="Problem">
      <formula>NOT(ISERROR(SEARCH(("Problem"),(D477))))</formula>
    </cfRule>
  </conditionalFormatting>
  <conditionalFormatting sqref="A772:A827">
    <cfRule type="containsText" dxfId="0" priority="689" operator="containsText" text="Problem">
      <formula>NOT(ISERROR(SEARCH(("Problem"),(A772))))</formula>
    </cfRule>
  </conditionalFormatting>
  <conditionalFormatting sqref="A772:A827">
    <cfRule type="containsText" dxfId="0" priority="690" operator="containsText" text="Problem">
      <formula>NOT(ISERROR(SEARCH(("Problem"),(A772))))</formula>
    </cfRule>
  </conditionalFormatting>
  <conditionalFormatting sqref="A772:A827">
    <cfRule type="containsText" dxfId="0" priority="691" operator="containsText" text="Problem">
      <formula>NOT(ISERROR(SEARCH(("Problem"),(A772))))</formula>
    </cfRule>
  </conditionalFormatting>
  <conditionalFormatting sqref="E6:E34">
    <cfRule type="containsText" dxfId="0" priority="692" operator="containsText" text="Problem">
      <formula>NOT(ISERROR(SEARCH(("Problem"),(E6))))</formula>
    </cfRule>
  </conditionalFormatting>
  <conditionalFormatting sqref="E6:E34">
    <cfRule type="containsText" dxfId="0" priority="693" operator="containsText" text="Problem">
      <formula>NOT(ISERROR(SEARCH(("Problem"),(E6))))</formula>
    </cfRule>
  </conditionalFormatting>
  <conditionalFormatting sqref="E6:E34">
    <cfRule type="containsText" dxfId="0" priority="694" operator="containsText" text="Problem">
      <formula>NOT(ISERROR(SEARCH(("Problem"),(E6))))</formula>
    </cfRule>
  </conditionalFormatting>
  <conditionalFormatting sqref="A770 J770:P770">
    <cfRule type="containsText" dxfId="0" priority="695" operator="containsText" text="Problem">
      <formula>NOT(ISERROR(SEARCH(("Problem"),(A770))))</formula>
    </cfRule>
  </conditionalFormatting>
  <conditionalFormatting sqref="A770 J770:P770">
    <cfRule type="containsText" dxfId="0" priority="696" operator="containsText" text="Problem">
      <formula>NOT(ISERROR(SEARCH(("Problem"),(A770))))</formula>
    </cfRule>
  </conditionalFormatting>
  <conditionalFormatting sqref="A770 J770:P770">
    <cfRule type="containsText" dxfId="0" priority="697" operator="containsText" text="Problem">
      <formula>NOT(ISERROR(SEARCH(("Problem"),(A770))))</formula>
    </cfRule>
  </conditionalFormatting>
  <conditionalFormatting sqref="A829 J829:P829">
    <cfRule type="containsText" dxfId="0" priority="698" operator="containsText" text="Problem">
      <formula>NOT(ISERROR(SEARCH(("Problem"),(A829))))</formula>
    </cfRule>
  </conditionalFormatting>
  <conditionalFormatting sqref="A829 J829:P829">
    <cfRule type="containsText" dxfId="0" priority="699" operator="containsText" text="Problem">
      <formula>NOT(ISERROR(SEARCH(("Problem"),(A829))))</formula>
    </cfRule>
  </conditionalFormatting>
  <conditionalFormatting sqref="A829 J829:P829">
    <cfRule type="containsText" dxfId="0" priority="700" operator="containsText" text="Problem">
      <formula>NOT(ISERROR(SEARCH(("Problem"),(A829))))</formula>
    </cfRule>
  </conditionalFormatting>
  <conditionalFormatting sqref="D590:D591 E565:H591">
    <cfRule type="containsText" dxfId="0" priority="701" operator="containsText" text="Problem">
      <formula>NOT(ISERROR(SEARCH(("Problem"),(D590))))</formula>
    </cfRule>
  </conditionalFormatting>
  <conditionalFormatting sqref="D590:D591 E565:H591">
    <cfRule type="containsText" dxfId="0" priority="702" operator="containsText" text="Problem">
      <formula>NOT(ISERROR(SEARCH(("Problem"),(D590))))</formula>
    </cfRule>
  </conditionalFormatting>
  <conditionalFormatting sqref="D590:D591 E565:H591">
    <cfRule type="containsText" dxfId="0" priority="703" operator="containsText" text="Problem">
      <formula>NOT(ISERROR(SEARCH(("Problem"),(D590))))</formula>
    </cfRule>
  </conditionalFormatting>
  <conditionalFormatting sqref="D472:D473 E447:H473">
    <cfRule type="containsText" dxfId="0" priority="704" operator="containsText" text="Problem">
      <formula>NOT(ISERROR(SEARCH(("Problem"),(D472))))</formula>
    </cfRule>
  </conditionalFormatting>
  <conditionalFormatting sqref="D472:D473 E447:H473">
    <cfRule type="containsText" dxfId="0" priority="705" operator="containsText" text="Problem">
      <formula>NOT(ISERROR(SEARCH(("Problem"),(D472))))</formula>
    </cfRule>
  </conditionalFormatting>
  <conditionalFormatting sqref="D472:D473 E447:H473">
    <cfRule type="containsText" dxfId="0" priority="706" operator="containsText" text="Problem">
      <formula>NOT(ISERROR(SEARCH(("Problem"),(D472))))</formula>
    </cfRule>
  </conditionalFormatting>
  <conditionalFormatting sqref="D742:D766">
    <cfRule type="containsText" dxfId="0" priority="707" operator="containsText" text="Problem">
      <formula>NOT(ISERROR(SEARCH(("Problem"),(D742))))</formula>
    </cfRule>
  </conditionalFormatting>
  <conditionalFormatting sqref="D742:D766">
    <cfRule type="containsText" dxfId="0" priority="708" operator="containsText" text="Problem">
      <formula>NOT(ISERROR(SEARCH(("Problem"),(D742))))</formula>
    </cfRule>
  </conditionalFormatting>
  <conditionalFormatting sqref="F183:F210">
    <cfRule type="containsText" dxfId="0" priority="709" operator="containsText" text="Problem">
      <formula>NOT(ISERROR(SEARCH(("Problem"),(F183))))</formula>
    </cfRule>
  </conditionalFormatting>
  <conditionalFormatting sqref="F183:F210">
    <cfRule type="containsText" dxfId="0" priority="710" operator="containsText" text="Problem">
      <formula>NOT(ISERROR(SEARCH(("Problem"),(F183))))</formula>
    </cfRule>
  </conditionalFormatting>
  <conditionalFormatting sqref="F183:F210">
    <cfRule type="containsText" dxfId="0" priority="711" operator="containsText" text="Problem">
      <formula>NOT(ISERROR(SEARCH(("Problem"),(F183))))</formula>
    </cfRule>
  </conditionalFormatting>
  <conditionalFormatting sqref="D329:D353">
    <cfRule type="containsText" dxfId="0" priority="712" operator="containsText" text="Problem">
      <formula>NOT(ISERROR(SEARCH(("Problem"),(D329))))</formula>
    </cfRule>
  </conditionalFormatting>
  <conditionalFormatting sqref="D329:D353">
    <cfRule type="containsText" dxfId="0" priority="713" operator="containsText" text="Problem">
      <formula>NOT(ISERROR(SEARCH(("Problem"),(D329))))</formula>
    </cfRule>
  </conditionalFormatting>
  <conditionalFormatting sqref="D531:D532 E506:H532">
    <cfRule type="containsText" dxfId="0" priority="714" operator="containsText" text="Problem">
      <formula>NOT(ISERROR(SEARCH(("Problem"),(D531))))</formula>
    </cfRule>
  </conditionalFormatting>
  <conditionalFormatting sqref="D531:D532 E506:H532">
    <cfRule type="containsText" dxfId="0" priority="715" operator="containsText" text="Problem">
      <formula>NOT(ISERROR(SEARCH(("Problem"),(D531))))</formula>
    </cfRule>
  </conditionalFormatting>
  <conditionalFormatting sqref="D531:D532 E506:H532">
    <cfRule type="containsText" dxfId="0" priority="716" operator="containsText" text="Problem">
      <formula>NOT(ISERROR(SEARCH(("Problem"),(D531))))</formula>
    </cfRule>
  </conditionalFormatting>
  <conditionalFormatting sqref="B455:C455 B467:B470 B472:C473 C424:C454 C464:C470">
    <cfRule type="containsText" dxfId="0" priority="717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718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719" operator="containsText" text="Problem">
      <formula>NOT(ISERROR(SEARCH(("Problem"),(B455))))</formula>
    </cfRule>
  </conditionalFormatting>
  <conditionalFormatting sqref="E298:I298">
    <cfRule type="containsText" dxfId="0" priority="720" operator="containsText" text="Problem">
      <formula>NOT(ISERROR(SEARCH(("Problem"),(E298))))</formula>
    </cfRule>
  </conditionalFormatting>
  <conditionalFormatting sqref="E298:I298">
    <cfRule type="containsText" dxfId="0" priority="721" operator="containsText" text="Problem">
      <formula>NOT(ISERROR(SEARCH(("Problem"),(E298))))</formula>
    </cfRule>
  </conditionalFormatting>
  <conditionalFormatting sqref="E298:I298">
    <cfRule type="containsText" dxfId="0" priority="722" operator="containsText" text="Problem">
      <formula>NOT(ISERROR(SEARCH(("Problem"),(E298))))</formula>
    </cfRule>
  </conditionalFormatting>
  <conditionalFormatting sqref="F6:F34">
    <cfRule type="containsText" dxfId="0" priority="723" operator="containsText" text="Problem">
      <formula>NOT(ISERROR(SEARCH(("Problem"),(F6))))</formula>
    </cfRule>
  </conditionalFormatting>
  <conditionalFormatting sqref="F6:F34">
    <cfRule type="containsText" dxfId="0" priority="724" operator="containsText" text="Problem">
      <formula>NOT(ISERROR(SEARCH(("Problem"),(F6))))</formula>
    </cfRule>
  </conditionalFormatting>
  <conditionalFormatting sqref="F6:F34">
    <cfRule type="containsText" dxfId="0" priority="725" operator="containsText" text="Problem">
      <formula>NOT(ISERROR(SEARCH(("Problem"),(F6))))</formula>
    </cfRule>
  </conditionalFormatting>
  <conditionalFormatting sqref="G772">
    <cfRule type="containsText" dxfId="0" priority="726" operator="containsText" text="Problem">
      <formula>NOT(ISERROR(SEARCH(("Problem"),(G772))))</formula>
    </cfRule>
  </conditionalFormatting>
  <conditionalFormatting sqref="G772">
    <cfRule type="containsText" dxfId="0" priority="727" operator="containsText" text="Problem">
      <formula>NOT(ISERROR(SEARCH(("Problem"),(G772))))</formula>
    </cfRule>
  </conditionalFormatting>
  <conditionalFormatting sqref="G772">
    <cfRule type="containsText" dxfId="0" priority="728" operator="containsText" text="Problem">
      <formula>NOT(ISERROR(SEARCH(("Problem"),(G772))))</formula>
    </cfRule>
  </conditionalFormatting>
  <conditionalFormatting sqref="A652 J652:P652">
    <cfRule type="containsText" dxfId="0" priority="729" operator="containsText" text="Problem">
      <formula>NOT(ISERROR(SEARCH(("Problem"),(A652))))</formula>
    </cfRule>
  </conditionalFormatting>
  <conditionalFormatting sqref="A652 J652:P652">
    <cfRule type="containsText" dxfId="0" priority="730" operator="containsText" text="Problem">
      <formula>NOT(ISERROR(SEARCH(("Problem"),(A652))))</formula>
    </cfRule>
  </conditionalFormatting>
  <conditionalFormatting sqref="A652 J652:P652">
    <cfRule type="containsText" dxfId="0" priority="731" operator="containsText" text="Problem">
      <formula>NOT(ISERROR(SEARCH(("Problem"),(A652))))</formula>
    </cfRule>
  </conditionalFormatting>
  <conditionalFormatting sqref="A475 J475:P475">
    <cfRule type="containsText" dxfId="0" priority="732" operator="containsText" text="Problem">
      <formula>NOT(ISERROR(SEARCH(("Problem"),(A475))))</formula>
    </cfRule>
  </conditionalFormatting>
  <conditionalFormatting sqref="A475 J475:P475">
    <cfRule type="containsText" dxfId="0" priority="733" operator="containsText" text="Problem">
      <formula>NOT(ISERROR(SEARCH(("Problem"),(A475))))</formula>
    </cfRule>
  </conditionalFormatting>
  <conditionalFormatting sqref="A475 J475:P475">
    <cfRule type="containsText" dxfId="0" priority="734" operator="containsText" text="Problem">
      <formula>NOT(ISERROR(SEARCH(("Problem"),(A475))))</formula>
    </cfRule>
  </conditionalFormatting>
  <conditionalFormatting sqref="D767:D768 E742:H768">
    <cfRule type="containsText" dxfId="0" priority="735" operator="containsText" text="Problem">
      <formula>NOT(ISERROR(SEARCH(("Problem"),(D767))))</formula>
    </cfRule>
  </conditionalFormatting>
  <conditionalFormatting sqref="D767:D768 E742:H768">
    <cfRule type="containsText" dxfId="0" priority="736" operator="containsText" text="Problem">
      <formula>NOT(ISERROR(SEARCH(("Problem"),(D767))))</formula>
    </cfRule>
  </conditionalFormatting>
  <conditionalFormatting sqref="D767:D768 E742:H768">
    <cfRule type="containsText" dxfId="0" priority="737" operator="containsText" text="Problem">
      <formula>NOT(ISERROR(SEARCH(("Problem"),(D767))))</formula>
    </cfRule>
  </conditionalFormatting>
  <conditionalFormatting sqref="I654">
    <cfRule type="containsText" dxfId="0" priority="738" operator="containsText" text="Problem">
      <formula>NOT(ISERROR(SEARCH(("Problem"),(I654))))</formula>
    </cfRule>
  </conditionalFormatting>
  <conditionalFormatting sqref="I654">
    <cfRule type="containsText" dxfId="0" priority="739" operator="containsText" text="Problem">
      <formula>NOT(ISERROR(SEARCH(("Problem"),(I654))))</formula>
    </cfRule>
  </conditionalFormatting>
  <conditionalFormatting sqref="I654">
    <cfRule type="containsText" dxfId="0" priority="740" operator="containsText" text="Problem">
      <formula>NOT(ISERROR(SEARCH(("Problem"),(I654))))</formula>
    </cfRule>
  </conditionalFormatting>
  <conditionalFormatting sqref="E357:I357">
    <cfRule type="containsText" dxfId="0" priority="741" operator="containsText" text="Problem">
      <formula>NOT(ISERROR(SEARCH(("Problem"),(E357))))</formula>
    </cfRule>
  </conditionalFormatting>
  <conditionalFormatting sqref="E357:I357">
    <cfRule type="containsText" dxfId="0" priority="742" operator="containsText" text="Problem">
      <formula>NOT(ISERROR(SEARCH(("Problem"),(E357))))</formula>
    </cfRule>
  </conditionalFormatting>
  <conditionalFormatting sqref="E357:I357">
    <cfRule type="containsText" dxfId="0" priority="743" operator="containsText" text="Problem">
      <formula>NOT(ISERROR(SEARCH(("Problem"),(E357))))</formula>
    </cfRule>
  </conditionalFormatting>
  <conditionalFormatting sqref="H478:H505">
    <cfRule type="containsText" dxfId="0" priority="744" operator="containsText" text="Problem">
      <formula>NOT(ISERROR(SEARCH(("Problem"),(H478))))</formula>
    </cfRule>
  </conditionalFormatting>
  <conditionalFormatting sqref="H478:H505">
    <cfRule type="containsText" dxfId="0" priority="745" operator="containsText" text="Problem">
      <formula>NOT(ISERROR(SEARCH(("Problem"),(H478))))</formula>
    </cfRule>
  </conditionalFormatting>
  <conditionalFormatting sqref="H478:H505">
    <cfRule type="containsText" dxfId="0" priority="746" operator="containsText" text="Problem">
      <formula>NOT(ISERROR(SEARCH(("Problem"),(H478))))</formula>
    </cfRule>
  </conditionalFormatting>
  <conditionalFormatting sqref="D891:D945 J891:J945">
    <cfRule type="containsText" dxfId="0" priority="747" operator="containsText" text="Problem">
      <formula>NOT(ISERROR(SEARCH(("Problem"),(D891))))</formula>
    </cfRule>
  </conditionalFormatting>
  <conditionalFormatting sqref="D891:D945 J891:J945">
    <cfRule type="containsText" dxfId="0" priority="748" operator="containsText" text="Problem">
      <formula>NOT(ISERROR(SEARCH(("Problem"),(D891))))</formula>
    </cfRule>
  </conditionalFormatting>
  <conditionalFormatting sqref="D891:D945 J891:J945">
    <cfRule type="containsText" dxfId="0" priority="749" operator="containsText" text="Problem">
      <formula>NOT(ISERROR(SEARCH(("Problem"),(D891))))</formula>
    </cfRule>
  </conditionalFormatting>
  <conditionalFormatting sqref="B278:C278 B290:B293 B295:C296 C247:C277 C287:C293">
    <cfRule type="containsText" dxfId="0" priority="750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751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752" operator="containsText" text="Problem">
      <formula>NOT(ISERROR(SEARCH(("Problem"),(B278))))</formula>
    </cfRule>
  </conditionalFormatting>
  <conditionalFormatting sqref="E124:E151">
    <cfRule type="containsText" dxfId="0" priority="753" operator="containsText" text="Problem">
      <formula>NOT(ISERROR(SEARCH(("Problem"),(E124))))</formula>
    </cfRule>
  </conditionalFormatting>
  <conditionalFormatting sqref="E124:E151">
    <cfRule type="containsText" dxfId="0" priority="754" operator="containsText" text="Problem">
      <formula>NOT(ISERROR(SEARCH(("Problem"),(E124))))</formula>
    </cfRule>
  </conditionalFormatting>
  <conditionalFormatting sqref="E124:E151">
    <cfRule type="containsText" dxfId="0" priority="755" operator="containsText" text="Problem">
      <formula>NOT(ISERROR(SEARCH(("Problem"),(E124))))</formula>
    </cfRule>
  </conditionalFormatting>
  <conditionalFormatting sqref="E360:E387">
    <cfRule type="containsText" dxfId="0" priority="756" operator="containsText" text="Problem">
      <formula>NOT(ISERROR(SEARCH(("Problem"),(E360))))</formula>
    </cfRule>
  </conditionalFormatting>
  <conditionalFormatting sqref="E360:E387">
    <cfRule type="containsText" dxfId="0" priority="757" operator="containsText" text="Problem">
      <formula>NOT(ISERROR(SEARCH(("Problem"),(E360))))</formula>
    </cfRule>
  </conditionalFormatting>
  <conditionalFormatting sqref="E360:E387">
    <cfRule type="containsText" dxfId="0" priority="758" operator="containsText" text="Problem">
      <formula>NOT(ISERROR(SEARCH(("Problem"),(E360))))</formula>
    </cfRule>
  </conditionalFormatting>
  <conditionalFormatting sqref="D354:D355 E329:H355">
    <cfRule type="containsText" dxfId="0" priority="759" operator="containsText" text="Problem">
      <formula>NOT(ISERROR(SEARCH(("Problem"),(D354))))</formula>
    </cfRule>
  </conditionalFormatting>
  <conditionalFormatting sqref="D354:D355 E329:H355">
    <cfRule type="containsText" dxfId="0" priority="760" operator="containsText" text="Problem">
      <formula>NOT(ISERROR(SEARCH(("Problem"),(D354))))</formula>
    </cfRule>
  </conditionalFormatting>
  <conditionalFormatting sqref="D354:D355 E329:H355">
    <cfRule type="containsText" dxfId="0" priority="761" operator="containsText" text="Problem">
      <formula>NOT(ISERROR(SEARCH(("Problem"),(D354))))</formula>
    </cfRule>
  </conditionalFormatting>
  <conditionalFormatting sqref="I123">
    <cfRule type="containsText" dxfId="0" priority="762" operator="containsText" text="Problem">
      <formula>NOT(ISERROR(SEARCH(("Problem"),(I123))))</formula>
    </cfRule>
  </conditionalFormatting>
  <conditionalFormatting sqref="I123">
    <cfRule type="containsText" dxfId="0" priority="763" operator="containsText" text="Problem">
      <formula>NOT(ISERROR(SEARCH(("Problem"),(I123))))</formula>
    </cfRule>
  </conditionalFormatting>
  <conditionalFormatting sqref="I123">
    <cfRule type="containsText" dxfId="0" priority="764" operator="containsText" text="Problem">
      <formula>NOT(ISERROR(SEARCH(("Problem"),(I123))))</formula>
    </cfRule>
  </conditionalFormatting>
  <conditionalFormatting sqref="G654">
    <cfRule type="containsText" dxfId="0" priority="765" operator="containsText" text="Problem">
      <formula>NOT(ISERROR(SEARCH(("Problem"),(G654))))</formula>
    </cfRule>
  </conditionalFormatting>
  <conditionalFormatting sqref="G654">
    <cfRule type="containsText" dxfId="0" priority="766" operator="containsText" text="Problem">
      <formula>NOT(ISERROR(SEARCH(("Problem"),(G654))))</formula>
    </cfRule>
  </conditionalFormatting>
  <conditionalFormatting sqref="G654">
    <cfRule type="containsText" dxfId="0" priority="767" operator="containsText" text="Problem">
      <formula>NOT(ISERROR(SEARCH(("Problem"),(G654))))</formula>
    </cfRule>
  </conditionalFormatting>
  <conditionalFormatting sqref="G5">
    <cfRule type="containsText" dxfId="0" priority="768" operator="containsText" text="Problem">
      <formula>NOT(ISERROR(SEARCH(("Problem"),(G5))))</formula>
    </cfRule>
  </conditionalFormatting>
  <conditionalFormatting sqref="G5">
    <cfRule type="containsText" dxfId="0" priority="769" operator="containsText" text="Problem">
      <formula>NOT(ISERROR(SEARCH(("Problem"),(G5))))</formula>
    </cfRule>
  </conditionalFormatting>
  <conditionalFormatting sqref="G5">
    <cfRule type="containsText" dxfId="0" priority="770" operator="containsText" text="Problem">
      <formula>NOT(ISERROR(SEARCH(("Problem"),(G5))))</formula>
    </cfRule>
  </conditionalFormatting>
  <conditionalFormatting sqref="D270:D294">
    <cfRule type="containsText" dxfId="0" priority="771" operator="containsText" text="Problem">
      <formula>NOT(ISERROR(SEARCH(("Problem"),(D270))))</formula>
    </cfRule>
  </conditionalFormatting>
  <conditionalFormatting sqref="D270:D294">
    <cfRule type="containsText" dxfId="0" priority="772" operator="containsText" text="Problem">
      <formula>NOT(ISERROR(SEARCH(("Problem"),(D270))))</formula>
    </cfRule>
  </conditionalFormatting>
  <conditionalFormatting sqref="A712:I712 A769:H769 I742:I769 J712:P769">
    <cfRule type="containsText" dxfId="0" priority="773" operator="containsText" text="Problem">
      <formula>NOT(ISERROR(SEARCH(("Problem"),(A712))))</formula>
    </cfRule>
  </conditionalFormatting>
  <conditionalFormatting sqref="A712:I712 A769:H769 I742:I769 J712:P769">
    <cfRule type="containsText" dxfId="0" priority="774" operator="containsText" text="Problem">
      <formula>NOT(ISERROR(SEARCH(("Problem"),(A712))))</formula>
    </cfRule>
  </conditionalFormatting>
  <conditionalFormatting sqref="A712:I712 A769:H769 I742:I769 J712:P769">
    <cfRule type="containsText" dxfId="0" priority="775" operator="containsText" text="Problem">
      <formula>NOT(ISERROR(SEARCH(("Problem"),(A712))))</formula>
    </cfRule>
  </conditionalFormatting>
  <conditionalFormatting sqref="D419:D446">
    <cfRule type="containsText" dxfId="0" priority="776" operator="containsText" text="Problem">
      <formula>NOT(ISERROR(SEARCH(("Problem"),(D419))))</formula>
    </cfRule>
  </conditionalFormatting>
  <conditionalFormatting sqref="D419:D446">
    <cfRule type="containsText" dxfId="0" priority="777" operator="containsText" text="Problem">
      <formula>NOT(ISERROR(SEARCH(("Problem"),(D419))))</formula>
    </cfRule>
  </conditionalFormatting>
  <conditionalFormatting sqref="D419:D446">
    <cfRule type="containsText" dxfId="0" priority="778" operator="containsText" text="Problem">
      <formula>NOT(ISERROR(SEARCH(("Problem"),(D419))))</formula>
    </cfRule>
  </conditionalFormatting>
  <conditionalFormatting sqref="G65:G92">
    <cfRule type="containsText" dxfId="0" priority="779" operator="containsText" text="Problem">
      <formula>NOT(ISERROR(SEARCH(("Problem"),(G65))))</formula>
    </cfRule>
  </conditionalFormatting>
  <conditionalFormatting sqref="G65:G92">
    <cfRule type="containsText" dxfId="0" priority="780" operator="containsText" text="Problem">
      <formula>NOT(ISERROR(SEARCH(("Problem"),(G65))))</formula>
    </cfRule>
  </conditionalFormatting>
  <conditionalFormatting sqref="G65:G92">
    <cfRule type="containsText" dxfId="0" priority="781" operator="containsText" text="Problem">
      <formula>NOT(ISERROR(SEARCH(("Problem"),(G65))))</formula>
    </cfRule>
  </conditionalFormatting>
  <conditionalFormatting sqref="A298 J298:P298">
    <cfRule type="containsText" dxfId="0" priority="782" operator="containsText" text="Problem">
      <formula>NOT(ISERROR(SEARCH(("Problem"),(A298))))</formula>
    </cfRule>
  </conditionalFormatting>
  <conditionalFormatting sqref="A298 J298:P298">
    <cfRule type="containsText" dxfId="0" priority="783" operator="containsText" text="Problem">
      <formula>NOT(ISERROR(SEARCH(("Problem"),(A298))))</formula>
    </cfRule>
  </conditionalFormatting>
  <conditionalFormatting sqref="A298 J298:P298">
    <cfRule type="containsText" dxfId="0" priority="784" operator="containsText" text="Problem">
      <formula>NOT(ISERROR(SEARCH(("Problem"),(A298))))</formula>
    </cfRule>
  </conditionalFormatting>
  <conditionalFormatting sqref="E5">
    <cfRule type="containsText" dxfId="0" priority="785" operator="containsText" text="Problem">
      <formula>NOT(ISERROR(SEARCH(("Problem"),(E5))))</formula>
    </cfRule>
  </conditionalFormatting>
  <conditionalFormatting sqref="E5">
    <cfRule type="containsText" dxfId="0" priority="786" operator="containsText" text="Problem">
      <formula>NOT(ISERROR(SEARCH(("Problem"),(E5))))</formula>
    </cfRule>
  </conditionalFormatting>
  <conditionalFormatting sqref="E5">
    <cfRule type="containsText" dxfId="0" priority="787" operator="containsText" text="Problem">
      <formula>NOT(ISERROR(SEARCH(("Problem"),(E5))))</formula>
    </cfRule>
  </conditionalFormatting>
  <conditionalFormatting sqref="G6:G34">
    <cfRule type="containsText" dxfId="0" priority="788" operator="containsText" text="Problem">
      <formula>NOT(ISERROR(SEARCH(("Problem"),(G6))))</formula>
    </cfRule>
  </conditionalFormatting>
  <conditionalFormatting sqref="G6:G34">
    <cfRule type="containsText" dxfId="0" priority="789" operator="containsText" text="Problem">
      <formula>NOT(ISERROR(SEARCH(("Problem"),(G6))))</formula>
    </cfRule>
  </conditionalFormatting>
  <conditionalFormatting sqref="G6:G34">
    <cfRule type="containsText" dxfId="0" priority="790" operator="containsText" text="Problem">
      <formula>NOT(ISERROR(SEARCH(("Problem"),(G6))))</formula>
    </cfRule>
  </conditionalFormatting>
  <conditionalFormatting sqref="D152:D176">
    <cfRule type="containsText" dxfId="0" priority="791" operator="containsText" text="Problem">
      <formula>NOT(ISERROR(SEARCH(("Problem"),(D152))))</formula>
    </cfRule>
  </conditionalFormatting>
  <conditionalFormatting sqref="D152:D176">
    <cfRule type="containsText" dxfId="0" priority="792" operator="containsText" text="Problem">
      <formula>NOT(ISERROR(SEARCH(("Problem"),(D152))))</formula>
    </cfRule>
  </conditionalFormatting>
  <conditionalFormatting sqref="D64">
    <cfRule type="containsText" dxfId="0" priority="793" operator="containsText" text="Problem">
      <formula>NOT(ISERROR(SEARCH(("Problem"),(D64))))</formula>
    </cfRule>
  </conditionalFormatting>
  <conditionalFormatting sqref="G182">
    <cfRule type="containsText" dxfId="0" priority="794" operator="containsText" text="Problem">
      <formula>NOT(ISERROR(SEARCH(("Problem"),(G182))))</formula>
    </cfRule>
  </conditionalFormatting>
  <conditionalFormatting sqref="G182">
    <cfRule type="containsText" dxfId="0" priority="795" operator="containsText" text="Problem">
      <formula>NOT(ISERROR(SEARCH(("Problem"),(G182))))</formula>
    </cfRule>
  </conditionalFormatting>
  <conditionalFormatting sqref="G182">
    <cfRule type="containsText" dxfId="0" priority="796" operator="containsText" text="Problem">
      <formula>NOT(ISERROR(SEARCH(("Problem"),(G182))))</formula>
    </cfRule>
  </conditionalFormatting>
  <conditionalFormatting sqref="F832:F859">
    <cfRule type="containsText" dxfId="0" priority="797" operator="containsText" text="Problem">
      <formula>NOT(ISERROR(SEARCH(("Problem"),(F832))))</formula>
    </cfRule>
  </conditionalFormatting>
  <conditionalFormatting sqref="F832:F859">
    <cfRule type="containsText" dxfId="0" priority="798" operator="containsText" text="Problem">
      <formula>NOT(ISERROR(SEARCH(("Problem"),(F832))))</formula>
    </cfRule>
  </conditionalFormatting>
  <conditionalFormatting sqref="F832:F859">
    <cfRule type="containsText" dxfId="0" priority="799" operator="containsText" text="Problem">
      <formula>NOT(ISERROR(SEARCH(("Problem"),(F832))))</formula>
    </cfRule>
  </conditionalFormatting>
  <conditionalFormatting sqref="D773:D800">
    <cfRule type="containsText" dxfId="0" priority="800" operator="containsText" text="Problem">
      <formula>NOT(ISERROR(SEARCH(("Problem"),(D773))))</formula>
    </cfRule>
  </conditionalFormatting>
  <conditionalFormatting sqref="D773:D800">
    <cfRule type="containsText" dxfId="0" priority="801" operator="containsText" text="Problem">
      <formula>NOT(ISERROR(SEARCH(("Problem"),(D773))))</formula>
    </cfRule>
  </conditionalFormatting>
  <conditionalFormatting sqref="D773:D800">
    <cfRule type="containsText" dxfId="0" priority="802" operator="containsText" text="Problem">
      <formula>NOT(ISERROR(SEARCH(("Problem"),(D773))))</formula>
    </cfRule>
  </conditionalFormatting>
  <conditionalFormatting sqref="D123">
    <cfRule type="containsText" dxfId="0" priority="803" operator="containsText" text="Problem">
      <formula>NOT(ISERROR(SEARCH(("Problem"),(D123))))</formula>
    </cfRule>
  </conditionalFormatting>
  <conditionalFormatting sqref="F182">
    <cfRule type="containsText" dxfId="0" priority="804" operator="containsText" text="Problem">
      <formula>NOT(ISERROR(SEARCH(("Problem"),(F182))))</formula>
    </cfRule>
  </conditionalFormatting>
  <conditionalFormatting sqref="F182">
    <cfRule type="containsText" dxfId="0" priority="805" operator="containsText" text="Problem">
      <formula>NOT(ISERROR(SEARCH(("Problem"),(F182))))</formula>
    </cfRule>
  </conditionalFormatting>
  <conditionalFormatting sqref="F182">
    <cfRule type="containsText" dxfId="0" priority="806" operator="containsText" text="Problem">
      <formula>NOT(ISERROR(SEARCH(("Problem"),(F182))))</formula>
    </cfRule>
  </conditionalFormatting>
  <conditionalFormatting sqref="B809:C809 B821:B824 B826:C827 C778:C808 C818:C824">
    <cfRule type="containsText" dxfId="0" priority="807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808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809" operator="containsText" text="Problem">
      <formula>NOT(ISERROR(SEARCH(("Problem"),(B809))))</formula>
    </cfRule>
  </conditionalFormatting>
  <conditionalFormatting sqref="G419:G446">
    <cfRule type="containsText" dxfId="0" priority="810" operator="containsText" text="Problem">
      <formula>NOT(ISERROR(SEARCH(("Problem"),(G419))))</formula>
    </cfRule>
  </conditionalFormatting>
  <conditionalFormatting sqref="G419:G446">
    <cfRule type="containsText" dxfId="0" priority="811" operator="containsText" text="Problem">
      <formula>NOT(ISERROR(SEARCH(("Problem"),(G419))))</formula>
    </cfRule>
  </conditionalFormatting>
  <conditionalFormatting sqref="G419:G446">
    <cfRule type="containsText" dxfId="0" priority="812" operator="containsText" text="Problem">
      <formula>NOT(ISERROR(SEARCH(("Problem"),(G419))))</formula>
    </cfRule>
  </conditionalFormatting>
  <conditionalFormatting sqref="F242:F269">
    <cfRule type="containsText" dxfId="0" priority="813" operator="containsText" text="Problem">
      <formula>NOT(ISERROR(SEARCH(("Problem"),(F242))))</formula>
    </cfRule>
  </conditionalFormatting>
  <conditionalFormatting sqref="F242:F269">
    <cfRule type="containsText" dxfId="0" priority="814" operator="containsText" text="Problem">
      <formula>NOT(ISERROR(SEARCH(("Problem"),(F242))))</formula>
    </cfRule>
  </conditionalFormatting>
  <conditionalFormatting sqref="F242:F269">
    <cfRule type="containsText" dxfId="0" priority="815" operator="containsText" text="Problem">
      <formula>NOT(ISERROR(SEARCH(("Problem"),(F242))))</formula>
    </cfRule>
  </conditionalFormatting>
  <conditionalFormatting sqref="D772">
    <cfRule type="containsText" dxfId="0" priority="816" operator="containsText" text="Problem">
      <formula>NOT(ISERROR(SEARCH(("Problem"),(D772))))</formula>
    </cfRule>
  </conditionalFormatting>
  <conditionalFormatting sqref="E183:E210">
    <cfRule type="containsText" dxfId="0" priority="817" operator="containsText" text="Problem">
      <formula>NOT(ISERROR(SEARCH(("Problem"),(E183))))</formula>
    </cfRule>
  </conditionalFormatting>
  <conditionalFormatting sqref="E183:E210">
    <cfRule type="containsText" dxfId="0" priority="818" operator="containsText" text="Problem">
      <formula>NOT(ISERROR(SEARCH(("Problem"),(E183))))</formula>
    </cfRule>
  </conditionalFormatting>
  <conditionalFormatting sqref="E183:E210">
    <cfRule type="containsText" dxfId="0" priority="819" operator="containsText" text="Problem">
      <formula>NOT(ISERROR(SEARCH(("Problem"),(E183))))</formula>
    </cfRule>
  </conditionalFormatting>
  <conditionalFormatting sqref="G536">
    <cfRule type="containsText" dxfId="0" priority="820" operator="containsText" text="Problem">
      <formula>NOT(ISERROR(SEARCH(("Problem"),(G536))))</formula>
    </cfRule>
  </conditionalFormatting>
  <conditionalFormatting sqref="G536">
    <cfRule type="containsText" dxfId="0" priority="821" operator="containsText" text="Problem">
      <formula>NOT(ISERROR(SEARCH(("Problem"),(G536))))</formula>
    </cfRule>
  </conditionalFormatting>
  <conditionalFormatting sqref="G536">
    <cfRule type="containsText" dxfId="0" priority="822" operator="containsText" text="Problem">
      <formula>NOT(ISERROR(SEARCH(("Problem"),(G536))))</formula>
    </cfRule>
  </conditionalFormatting>
  <conditionalFormatting sqref="G537:G564">
    <cfRule type="containsText" dxfId="0" priority="823" operator="containsText" text="Problem">
      <formula>NOT(ISERROR(SEARCH(("Problem"),(G537))))</formula>
    </cfRule>
  </conditionalFormatting>
  <conditionalFormatting sqref="G537:G564">
    <cfRule type="containsText" dxfId="0" priority="824" operator="containsText" text="Problem">
      <formula>NOT(ISERROR(SEARCH(("Problem"),(G537))))</formula>
    </cfRule>
  </conditionalFormatting>
  <conditionalFormatting sqref="G537:G564">
    <cfRule type="containsText" dxfId="0" priority="825" operator="containsText" text="Problem">
      <formula>NOT(ISERROR(SEARCH(("Problem"),(G537))))</formula>
    </cfRule>
  </conditionalFormatting>
  <conditionalFormatting sqref="A653:I653 A710:H710 I683:I710 J653:P710">
    <cfRule type="containsText" dxfId="0" priority="826" operator="containsText" text="Problem">
      <formula>NOT(ISERROR(SEARCH(("Problem"),(A653))))</formula>
    </cfRule>
  </conditionalFormatting>
  <conditionalFormatting sqref="A653:I653 A710:H710 I683:I710 J653:P710">
    <cfRule type="containsText" dxfId="0" priority="827" operator="containsText" text="Problem">
      <formula>NOT(ISERROR(SEARCH(("Problem"),(A653))))</formula>
    </cfRule>
  </conditionalFormatting>
  <conditionalFormatting sqref="A653:I653 A710:H710 I683:I710 J653:P710">
    <cfRule type="containsText" dxfId="0" priority="828" operator="containsText" text="Problem">
      <formula>NOT(ISERROR(SEARCH(("Problem"),(A653))))</formula>
    </cfRule>
  </conditionalFormatting>
  <conditionalFormatting sqref="G183:G210">
    <cfRule type="containsText" dxfId="0" priority="829" operator="containsText" text="Problem">
      <formula>NOT(ISERROR(SEARCH(("Problem"),(G183))))</formula>
    </cfRule>
  </conditionalFormatting>
  <conditionalFormatting sqref="G183:G210">
    <cfRule type="containsText" dxfId="0" priority="830" operator="containsText" text="Problem">
      <formula>NOT(ISERROR(SEARCH(("Problem"),(G183))))</formula>
    </cfRule>
  </conditionalFormatting>
  <conditionalFormatting sqref="G183:G210">
    <cfRule type="containsText" dxfId="0" priority="831" operator="containsText" text="Problem">
      <formula>NOT(ISERROR(SEARCH(("Problem"),(G183))))</formula>
    </cfRule>
  </conditionalFormatting>
  <conditionalFormatting sqref="D714:D741">
    <cfRule type="containsText" dxfId="0" priority="832" operator="containsText" text="Problem">
      <formula>NOT(ISERROR(SEARCH(("Problem"),(D714))))</formula>
    </cfRule>
  </conditionalFormatting>
  <conditionalFormatting sqref="D714:D741">
    <cfRule type="containsText" dxfId="0" priority="833" operator="containsText" text="Problem">
      <formula>NOT(ISERROR(SEARCH(("Problem"),(D714))))</formula>
    </cfRule>
  </conditionalFormatting>
  <conditionalFormatting sqref="D714:D741">
    <cfRule type="containsText" dxfId="0" priority="834" operator="containsText" text="Problem">
      <formula>NOT(ISERROR(SEARCH(("Problem"),(D714))))</formula>
    </cfRule>
  </conditionalFormatting>
  <conditionalFormatting sqref="B160:C160 B172:B175 B177:C178 C129:C159 C169:C175">
    <cfRule type="containsText" dxfId="0" priority="835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836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837" operator="containsText" text="Problem">
      <formula>NOT(ISERROR(SEARCH(("Problem"),(B160))))</formula>
    </cfRule>
  </conditionalFormatting>
  <conditionalFormatting sqref="D713">
    <cfRule type="containsText" dxfId="0" priority="838" operator="containsText" text="Problem">
      <formula>NOT(ISERROR(SEARCH(("Problem"),(D713))))</formula>
    </cfRule>
  </conditionalFormatting>
  <conditionalFormatting sqref="I537:I564">
    <cfRule type="containsText" dxfId="0" priority="839" operator="containsText" text="Problem">
      <formula>NOT(ISERROR(SEARCH(("Problem"),(I537))))</formula>
    </cfRule>
  </conditionalFormatting>
  <conditionalFormatting sqref="I537:I564">
    <cfRule type="containsText" dxfId="0" priority="840" operator="containsText" text="Problem">
      <formula>NOT(ISERROR(SEARCH(("Problem"),(I537))))</formula>
    </cfRule>
  </conditionalFormatting>
  <conditionalFormatting sqref="I537:I564">
    <cfRule type="containsText" dxfId="0" priority="841" operator="containsText" text="Problem">
      <formula>NOT(ISERROR(SEARCH(("Problem"),(I537))))</formula>
    </cfRule>
  </conditionalFormatting>
  <conditionalFormatting sqref="I537:I564">
    <cfRule type="containsText" dxfId="0" priority="842" operator="containsText" text="Problem">
      <formula>NOT(ISERROR(SEARCH(("Problem"),(I537))))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22.0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1</v>
      </c>
      <c r="C2" s="4"/>
      <c r="D2" s="5"/>
      <c r="E2" s="3" t="s">
        <v>2</v>
      </c>
      <c r="F2" s="6" t="s">
        <v>75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ht="15.75" customHeight="1">
      <c r="A3" s="10"/>
      <c r="B3" s="11" t="s">
        <v>3</v>
      </c>
      <c r="C3" s="39" t="s">
        <v>76</v>
      </c>
      <c r="D3" s="13"/>
      <c r="E3" s="11"/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>
      <c r="A5" s="28">
        <v>1.0</v>
      </c>
      <c r="B5" s="29" t="s">
        <v>22</v>
      </c>
      <c r="C5" s="30">
        <v>192.17</v>
      </c>
      <c r="D5" s="3">
        <v>50.0</v>
      </c>
      <c r="E5" s="31"/>
      <c r="F5" s="3"/>
      <c r="G5" s="3"/>
      <c r="H5" s="3"/>
      <c r="I5" s="3">
        <v>50.0</v>
      </c>
      <c r="J5" s="3" t="str">
        <f t="shared" ref="J5:J61" si="1">D5+E5-F5-G5+H5</f>
        <v>50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>
      <c r="A6" s="28">
        <v>2.0</v>
      </c>
      <c r="B6" s="29" t="s">
        <v>23</v>
      </c>
      <c r="C6" s="30">
        <v>9.26</v>
      </c>
      <c r="D6" s="3">
        <v>200.0</v>
      </c>
      <c r="E6" s="31">
        <v>600.0</v>
      </c>
      <c r="F6" s="3">
        <v>700.0</v>
      </c>
      <c r="G6" s="3"/>
      <c r="H6" s="3"/>
      <c r="I6" s="3">
        <v>100.0</v>
      </c>
      <c r="J6" s="3" t="str">
        <f t="shared" si="1"/>
        <v>100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>
      <c r="A7" s="28">
        <v>3.0</v>
      </c>
      <c r="B7" s="29" t="s">
        <v>24</v>
      </c>
      <c r="C7" s="30">
        <v>87.79</v>
      </c>
      <c r="D7" s="3">
        <v>20.0</v>
      </c>
      <c r="E7" s="31"/>
      <c r="F7" s="3">
        <v>5.0</v>
      </c>
      <c r="G7" s="3"/>
      <c r="H7" s="3"/>
      <c r="I7" s="3">
        <v>15.0</v>
      </c>
      <c r="J7" s="3" t="str">
        <f t="shared" si="1"/>
        <v>15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>
      <c r="A8" s="28">
        <v>4.0</v>
      </c>
      <c r="B8" s="29" t="s">
        <v>25</v>
      </c>
      <c r="C8" s="30">
        <v>55.55</v>
      </c>
      <c r="D8" s="3">
        <v>30.0</v>
      </c>
      <c r="E8" s="31"/>
      <c r="F8" s="3"/>
      <c r="G8" s="3"/>
      <c r="H8" s="3"/>
      <c r="I8" s="3">
        <v>30.0</v>
      </c>
      <c r="J8" s="3" t="str">
        <f t="shared" si="1"/>
        <v>30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>
      <c r="A9" s="28">
        <v>5.0</v>
      </c>
      <c r="B9" s="29" t="s">
        <v>26</v>
      </c>
      <c r="C9" s="30">
        <v>70.01</v>
      </c>
      <c r="D9" s="3">
        <v>142.0</v>
      </c>
      <c r="E9" s="31">
        <v>260.0</v>
      </c>
      <c r="F9" s="3">
        <v>137.0</v>
      </c>
      <c r="G9" s="3"/>
      <c r="H9" s="3"/>
      <c r="I9" s="3">
        <v>265.0</v>
      </c>
      <c r="J9" s="3" t="str">
        <f t="shared" si="1"/>
        <v>265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>
      <c r="A10" s="28">
        <v>6.0</v>
      </c>
      <c r="B10" s="29" t="s">
        <v>27</v>
      </c>
      <c r="C10" s="30">
        <v>73.92999999999999</v>
      </c>
      <c r="D10" s="3">
        <v>10.0</v>
      </c>
      <c r="E10" s="31">
        <v>60.0</v>
      </c>
      <c r="F10" s="3">
        <v>60.0</v>
      </c>
      <c r="G10" s="3"/>
      <c r="H10" s="3"/>
      <c r="I10" s="3">
        <v>10.0</v>
      </c>
      <c r="J10" s="3" t="str">
        <f t="shared" si="1"/>
        <v>10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>
      <c r="A11" s="28">
        <v>7.0</v>
      </c>
      <c r="B11" s="29" t="s">
        <v>28</v>
      </c>
      <c r="C11" s="30">
        <v>13.91</v>
      </c>
      <c r="D11" s="3">
        <v>40.0</v>
      </c>
      <c r="E11" s="31"/>
      <c r="F11" s="3">
        <v>30.0</v>
      </c>
      <c r="G11" s="3"/>
      <c r="H11" s="3"/>
      <c r="I11" s="3">
        <v>10.0</v>
      </c>
      <c r="J11" s="3" t="str">
        <f t="shared" si="1"/>
        <v>10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/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"/>
      <c r="E14" s="31">
        <v>1500.0</v>
      </c>
      <c r="F14" s="3">
        <v>750.0</v>
      </c>
      <c r="G14" s="3"/>
      <c r="H14" s="3"/>
      <c r="I14" s="3">
        <v>750.0</v>
      </c>
      <c r="J14" s="3" t="str">
        <f t="shared" si="1"/>
        <v>750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>
      <c r="A15" s="28">
        <v>11.0</v>
      </c>
      <c r="B15" s="29" t="s">
        <v>32</v>
      </c>
      <c r="C15" s="30">
        <v>102.17</v>
      </c>
      <c r="D15" s="3">
        <v>20.0</v>
      </c>
      <c r="E15" s="31"/>
      <c r="F15" s="3"/>
      <c r="G15" s="3"/>
      <c r="H15" s="3"/>
      <c r="I15" s="3">
        <v>20.0</v>
      </c>
      <c r="J15" s="3" t="str">
        <f t="shared" si="1"/>
        <v>20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>
      <c r="A16" s="28">
        <v>12.0</v>
      </c>
      <c r="B16" s="29" t="s">
        <v>33</v>
      </c>
      <c r="C16" s="30">
        <v>59.93</v>
      </c>
      <c r="D16" s="3">
        <v>95.0</v>
      </c>
      <c r="E16" s="31">
        <v>70.0</v>
      </c>
      <c r="F16" s="3">
        <v>127.0</v>
      </c>
      <c r="G16" s="3"/>
      <c r="H16" s="3"/>
      <c r="I16" s="3">
        <v>38.0</v>
      </c>
      <c r="J16" s="3" t="str">
        <f t="shared" si="1"/>
        <v>38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>
      <c r="A17" s="28">
        <v>13.0</v>
      </c>
      <c r="B17" s="29" t="s">
        <v>34</v>
      </c>
      <c r="C17" s="30">
        <v>118.0</v>
      </c>
      <c r="D17" s="3">
        <v>151.0</v>
      </c>
      <c r="E17" s="31">
        <v>70.0</v>
      </c>
      <c r="F17" s="3">
        <v>150.0</v>
      </c>
      <c r="G17" s="3"/>
      <c r="H17" s="3"/>
      <c r="I17" s="3">
        <v>71.0</v>
      </c>
      <c r="J17" s="3" t="str">
        <f t="shared" si="1"/>
        <v>71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>
      <c r="A18" s="28">
        <v>14.0</v>
      </c>
      <c r="B18" s="29" t="s">
        <v>35</v>
      </c>
      <c r="C18" s="30">
        <v>52.83</v>
      </c>
      <c r="D18" s="3">
        <v>120.0</v>
      </c>
      <c r="E18" s="31">
        <v>120.0</v>
      </c>
      <c r="F18" s="3">
        <v>96.0</v>
      </c>
      <c r="G18" s="3"/>
      <c r="H18" s="3"/>
      <c r="I18" s="3">
        <v>144.0</v>
      </c>
      <c r="J18" s="3" t="str">
        <f t="shared" si="1"/>
        <v>144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>
      <c r="A19" s="28">
        <v>15.0</v>
      </c>
      <c r="B19" s="29" t="s">
        <v>36</v>
      </c>
      <c r="C19" s="30">
        <v>93.2</v>
      </c>
      <c r="D19" s="3">
        <v>240.0</v>
      </c>
      <c r="E19" s="31">
        <v>240.0</v>
      </c>
      <c r="F19" s="3">
        <v>213.0</v>
      </c>
      <c r="G19" s="3"/>
      <c r="H19" s="3"/>
      <c r="I19" s="3">
        <v>267.0</v>
      </c>
      <c r="J19" s="3" t="str">
        <f t="shared" si="1"/>
        <v>267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>
      <c r="A20" s="28">
        <v>16.0</v>
      </c>
      <c r="B20" s="29" t="s">
        <v>37</v>
      </c>
      <c r="C20" s="30">
        <v>61.02</v>
      </c>
      <c r="D20" s="3">
        <v>284.0</v>
      </c>
      <c r="E20" s="31">
        <v>260.0</v>
      </c>
      <c r="F20" s="3">
        <v>222.0</v>
      </c>
      <c r="G20" s="3"/>
      <c r="H20" s="3"/>
      <c r="I20" s="3">
        <v>322.0</v>
      </c>
      <c r="J20" s="3" t="str">
        <f t="shared" si="1"/>
        <v>322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15.75" customHeight="1">
      <c r="A21" s="28">
        <v>17.0</v>
      </c>
      <c r="B21" s="29" t="s">
        <v>38</v>
      </c>
      <c r="C21" s="30">
        <v>36.62</v>
      </c>
      <c r="D21" s="3">
        <v>20.0</v>
      </c>
      <c r="E21" s="31">
        <v>130.0</v>
      </c>
      <c r="F21" s="3"/>
      <c r="G21" s="3"/>
      <c r="H21" s="3"/>
      <c r="I21" s="3">
        <v>150.0</v>
      </c>
      <c r="J21" s="3" t="str">
        <f t="shared" si="1"/>
        <v>150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15.75" customHeight="1">
      <c r="A22" s="28">
        <v>18.0</v>
      </c>
      <c r="B22" s="29" t="s">
        <v>39</v>
      </c>
      <c r="C22" s="30">
        <v>80.36</v>
      </c>
      <c r="D22" s="3">
        <v>9.0</v>
      </c>
      <c r="E22" s="31">
        <v>70.0</v>
      </c>
      <c r="F22" s="3">
        <v>8.0</v>
      </c>
      <c r="G22" s="3"/>
      <c r="H22" s="3"/>
      <c r="I22" s="3">
        <v>71.0</v>
      </c>
      <c r="J22" s="3" t="str">
        <f t="shared" si="1"/>
        <v>71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15.75" customHeight="1">
      <c r="A23" s="28">
        <v>19.0</v>
      </c>
      <c r="B23" s="29" t="s">
        <v>40</v>
      </c>
      <c r="C23" s="30">
        <v>160.56</v>
      </c>
      <c r="D23" s="3">
        <v>72.0</v>
      </c>
      <c r="E23" s="31">
        <v>70.0</v>
      </c>
      <c r="F23" s="3">
        <v>70.0</v>
      </c>
      <c r="G23" s="3"/>
      <c r="H23" s="3"/>
      <c r="I23" s="3">
        <v>72.0</v>
      </c>
      <c r="J23" s="3" t="str">
        <f t="shared" si="1"/>
        <v>72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15.75" customHeight="1">
      <c r="A24" s="28">
        <v>20.0</v>
      </c>
      <c r="B24" s="29" t="s">
        <v>41</v>
      </c>
      <c r="C24" s="30">
        <v>186.44</v>
      </c>
      <c r="D24" s="3">
        <v>17.0</v>
      </c>
      <c r="E24" s="31">
        <v>80.0</v>
      </c>
      <c r="F24" s="3">
        <v>53.0</v>
      </c>
      <c r="G24" s="3"/>
      <c r="H24" s="3"/>
      <c r="I24" s="3">
        <v>44.0</v>
      </c>
      <c r="J24" s="3" t="str">
        <f t="shared" si="1"/>
        <v>44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15.75" customHeight="1">
      <c r="A25" s="28">
        <v>21.0</v>
      </c>
      <c r="B25" s="29" t="s">
        <v>42</v>
      </c>
      <c r="C25" s="30">
        <v>92.59</v>
      </c>
      <c r="D25" s="3">
        <v>65.0</v>
      </c>
      <c r="E25" s="31"/>
      <c r="F25" s="3">
        <v>9.0</v>
      </c>
      <c r="G25" s="3"/>
      <c r="H25" s="3"/>
      <c r="I25" s="3">
        <v>56.0</v>
      </c>
      <c r="J25" s="3" t="str">
        <f t="shared" si="1"/>
        <v>56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15.75" customHeight="1">
      <c r="A26" s="28">
        <v>22.0</v>
      </c>
      <c r="B26" s="29" t="s">
        <v>43</v>
      </c>
      <c r="C26" s="30">
        <v>95.17</v>
      </c>
      <c r="D26" s="3">
        <v>30.0</v>
      </c>
      <c r="E26" s="31"/>
      <c r="F26" s="3"/>
      <c r="G26" s="3"/>
      <c r="H26" s="3"/>
      <c r="I26" s="3">
        <v>30.0</v>
      </c>
      <c r="J26" s="3" t="str">
        <f t="shared" si="1"/>
        <v>30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15.75" customHeight="1">
      <c r="A27" s="28">
        <v>23.0</v>
      </c>
      <c r="B27" s="29" t="s">
        <v>44</v>
      </c>
      <c r="C27" s="30">
        <v>92.94</v>
      </c>
      <c r="D27" s="3">
        <v>125.0</v>
      </c>
      <c r="E27" s="31"/>
      <c r="F27" s="3">
        <v>56.0</v>
      </c>
      <c r="G27" s="3"/>
      <c r="H27" s="3"/>
      <c r="I27" s="3">
        <v>69.0</v>
      </c>
      <c r="J27" s="3" t="str">
        <f t="shared" si="1"/>
        <v>69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15.75" customHeight="1">
      <c r="A28" s="28">
        <v>24.0</v>
      </c>
      <c r="B28" s="29" t="s">
        <v>45</v>
      </c>
      <c r="C28" s="30">
        <v>101.82</v>
      </c>
      <c r="D28" s="3">
        <v>296.0</v>
      </c>
      <c r="E28" s="31"/>
      <c r="F28" s="3">
        <v>260.0</v>
      </c>
      <c r="G28" s="3"/>
      <c r="H28" s="3"/>
      <c r="I28" s="3">
        <v>36.0</v>
      </c>
      <c r="J28" s="3" t="str">
        <f t="shared" si="1"/>
        <v>36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15.75" customHeight="1">
      <c r="A29" s="28">
        <v>25.0</v>
      </c>
      <c r="B29" s="29" t="s">
        <v>46</v>
      </c>
      <c r="C29" s="30">
        <v>53.49</v>
      </c>
      <c r="D29" s="3">
        <v>100.0</v>
      </c>
      <c r="E29" s="31"/>
      <c r="F29" s="3">
        <v>61.0</v>
      </c>
      <c r="G29" s="3"/>
      <c r="H29" s="3"/>
      <c r="I29" s="3">
        <v>39.0</v>
      </c>
      <c r="J29" s="3" t="str">
        <f t="shared" si="1"/>
        <v>39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15.75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15.75" customHeight="1">
      <c r="A31" s="28">
        <v>27.0</v>
      </c>
      <c r="B31" s="29" t="s">
        <v>48</v>
      </c>
      <c r="C31" s="30">
        <v>116.68</v>
      </c>
      <c r="D31" s="3">
        <v>58.0</v>
      </c>
      <c r="E31" s="31">
        <v>130.0</v>
      </c>
      <c r="F31" s="3">
        <v>84.0</v>
      </c>
      <c r="G31" s="3"/>
      <c r="H31" s="3"/>
      <c r="I31" s="3">
        <v>104.0</v>
      </c>
      <c r="J31" s="3" t="str">
        <f t="shared" si="1"/>
        <v>104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15.75" customHeight="1">
      <c r="A32" s="28">
        <v>28.0</v>
      </c>
      <c r="B32" s="29" t="s">
        <v>49</v>
      </c>
      <c r="C32" s="30">
        <v>107.96</v>
      </c>
      <c r="D32" s="3">
        <v>22.0</v>
      </c>
      <c r="E32" s="31">
        <v>55.0</v>
      </c>
      <c r="F32" s="3">
        <v>22.0</v>
      </c>
      <c r="G32" s="3"/>
      <c r="H32" s="3"/>
      <c r="I32" s="3">
        <v>55.0</v>
      </c>
      <c r="J32" s="3" t="str">
        <f t="shared" si="1"/>
        <v>55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15.75" customHeight="1">
      <c r="A33" s="28">
        <v>29.0</v>
      </c>
      <c r="B33" s="29" t="s">
        <v>50</v>
      </c>
      <c r="C33" s="30">
        <v>248.89</v>
      </c>
      <c r="D33" s="3">
        <v>64.0</v>
      </c>
      <c r="E33" s="31">
        <v>60.0</v>
      </c>
      <c r="F33" s="3">
        <v>34.0</v>
      </c>
      <c r="G33" s="3"/>
      <c r="H33" s="3"/>
      <c r="I33" s="3">
        <v>90.0</v>
      </c>
      <c r="J33" s="3" t="str">
        <f t="shared" si="1"/>
        <v>90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15.75" customHeight="1">
      <c r="A34" s="28">
        <v>30.0</v>
      </c>
      <c r="B34" s="29" t="s">
        <v>51</v>
      </c>
      <c r="C34" s="30">
        <v>80.36</v>
      </c>
      <c r="D34" s="3">
        <v>94.0</v>
      </c>
      <c r="E34" s="31">
        <v>130.0</v>
      </c>
      <c r="F34" s="3">
        <v>63.0</v>
      </c>
      <c r="G34" s="3"/>
      <c r="H34" s="3"/>
      <c r="I34" s="3">
        <v>161.0</v>
      </c>
      <c r="J34" s="3" t="str">
        <f t="shared" si="1"/>
        <v>161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15.75" customHeight="1">
      <c r="A35" s="28">
        <v>31.0</v>
      </c>
      <c r="B35" s="29" t="s">
        <v>52</v>
      </c>
      <c r="C35" s="30">
        <v>52.46</v>
      </c>
      <c r="D35" s="3">
        <v>35.0</v>
      </c>
      <c r="E35" s="31"/>
      <c r="F35" s="27">
        <v>10.0</v>
      </c>
      <c r="G35" s="27"/>
      <c r="H35" s="27"/>
      <c r="I35" s="3">
        <v>25.0</v>
      </c>
      <c r="J35" s="3" t="str">
        <f t="shared" si="1"/>
        <v>25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15.75" customHeight="1">
      <c r="A36" s="28">
        <v>32.0</v>
      </c>
      <c r="B36" s="29" t="s">
        <v>53</v>
      </c>
      <c r="C36" s="30">
        <v>71.21</v>
      </c>
      <c r="D36" s="3">
        <v>30.0</v>
      </c>
      <c r="E36" s="31">
        <v>90.0</v>
      </c>
      <c r="F36" s="27">
        <v>30.0</v>
      </c>
      <c r="G36" s="27"/>
      <c r="H36" s="27"/>
      <c r="I36" s="3">
        <v>90.0</v>
      </c>
      <c r="J36" s="3" t="str">
        <f t="shared" si="1"/>
        <v>90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15.75" customHeight="1">
      <c r="A37" s="28">
        <v>33.0</v>
      </c>
      <c r="B37" s="29" t="s">
        <v>54</v>
      </c>
      <c r="C37" s="30">
        <v>80.35</v>
      </c>
      <c r="D37" s="3">
        <v>55.0</v>
      </c>
      <c r="E37" s="31"/>
      <c r="F37" s="27">
        <v>55.0</v>
      </c>
      <c r="G37" s="27"/>
      <c r="H37" s="27"/>
      <c r="I37" s="3"/>
      <c r="J37" s="3" t="str">
        <f t="shared" si="1"/>
        <v>0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15.75" customHeight="1">
      <c r="A38" s="28">
        <v>34.0</v>
      </c>
      <c r="B38" s="29" t="s">
        <v>55</v>
      </c>
      <c r="C38" s="30">
        <v>64.18</v>
      </c>
      <c r="D38" s="3">
        <v>661.0</v>
      </c>
      <c r="E38" s="31">
        <v>1200.0</v>
      </c>
      <c r="F38" s="27">
        <v>1140.0</v>
      </c>
      <c r="G38" s="27"/>
      <c r="H38" s="27"/>
      <c r="I38" s="3">
        <v>721.0</v>
      </c>
      <c r="J38" s="3" t="str">
        <f t="shared" si="1"/>
        <v>721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15.75" customHeight="1">
      <c r="A39" s="28">
        <v>35.0</v>
      </c>
      <c r="B39" s="29" t="s">
        <v>56</v>
      </c>
      <c r="C39" s="30">
        <v>36.9</v>
      </c>
      <c r="D39" s="3">
        <v>1409.0</v>
      </c>
      <c r="E39" s="31">
        <v>1400.0</v>
      </c>
      <c r="F39" s="27">
        <v>1625.0</v>
      </c>
      <c r="G39" s="27"/>
      <c r="H39" s="27"/>
      <c r="I39" s="3">
        <v>1184.0</v>
      </c>
      <c r="J39" s="3" t="str">
        <f t="shared" si="1"/>
        <v>1184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15.75" customHeight="1">
      <c r="A40" s="28">
        <v>36.0</v>
      </c>
      <c r="B40" s="29" t="s">
        <v>57</v>
      </c>
      <c r="C40" s="30">
        <v>101.54</v>
      </c>
      <c r="D40" s="3">
        <v>2036.0</v>
      </c>
      <c r="E40" s="31">
        <v>420.0</v>
      </c>
      <c r="F40" s="27">
        <v>2006.0</v>
      </c>
      <c r="G40" s="27"/>
      <c r="H40" s="27"/>
      <c r="I40" s="3">
        <v>450.0</v>
      </c>
      <c r="J40" s="3" t="str">
        <f t="shared" si="1"/>
        <v>450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/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15.75" customHeight="1">
      <c r="A42" s="28">
        <v>38.0</v>
      </c>
      <c r="B42" s="29" t="s">
        <v>59</v>
      </c>
      <c r="C42" s="30">
        <v>66.69</v>
      </c>
      <c r="D42" s="3">
        <v>170.0</v>
      </c>
      <c r="E42" s="31">
        <v>110.0</v>
      </c>
      <c r="F42" s="27">
        <v>112.0</v>
      </c>
      <c r="G42" s="27"/>
      <c r="H42" s="27"/>
      <c r="I42" s="3">
        <v>168.0</v>
      </c>
      <c r="J42" s="3" t="str">
        <f t="shared" si="1"/>
        <v>168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15.75" customHeight="1">
      <c r="A43" s="28">
        <v>39.0</v>
      </c>
      <c r="B43" s="29" t="s">
        <v>60</v>
      </c>
      <c r="C43" s="29">
        <v>150.85999999999999</v>
      </c>
      <c r="D43" s="3">
        <v>100.0</v>
      </c>
      <c r="E43" s="31">
        <v>200.0</v>
      </c>
      <c r="F43" s="27">
        <v>190.0</v>
      </c>
      <c r="G43" s="27"/>
      <c r="H43" s="27"/>
      <c r="I43" s="3">
        <v>110.0</v>
      </c>
      <c r="J43" s="3" t="str">
        <f t="shared" si="1"/>
        <v>110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15.75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15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15.75" customHeight="1">
      <c r="A46" s="28">
        <v>42.0</v>
      </c>
      <c r="B46" s="29" t="s">
        <v>63</v>
      </c>
      <c r="C46" s="29">
        <v>37.28</v>
      </c>
      <c r="D46" s="3">
        <v>36.0</v>
      </c>
      <c r="E46" s="31">
        <v>60.0</v>
      </c>
      <c r="F46" s="27">
        <v>36.0</v>
      </c>
      <c r="G46" s="27"/>
      <c r="H46" s="27"/>
      <c r="I46" s="3">
        <v>60.0</v>
      </c>
      <c r="J46" s="3" t="str">
        <f t="shared" si="1"/>
        <v>60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15.75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15.7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15.7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539808.97</v>
      </c>
      <c r="E61" s="3" t="str">
        <f t="shared" si="8"/>
        <v>398490.3</v>
      </c>
      <c r="F61" s="3" t="str">
        <f t="shared" si="8"/>
        <v>556139.22</v>
      </c>
      <c r="G61" s="3" t="str">
        <f t="shared" si="8"/>
        <v>0</v>
      </c>
      <c r="H61" s="3" t="str">
        <f t="shared" si="8"/>
        <v>0</v>
      </c>
      <c r="I61" s="3" t="str">
        <f t="shared" si="8"/>
        <v>382160.05</v>
      </c>
      <c r="J61" s="3" t="str">
        <f t="shared" si="1"/>
        <v>382160.05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Check Once Sales quantity or Value Problem</v>
      </c>
      <c r="P61" s="3" t="str">
        <f t="shared" si="7"/>
        <v>Check Once Closing quantity or Value Problem</v>
      </c>
    </row>
    <row r="62" ht="15.75" customHeight="1">
      <c r="A62" s="10"/>
      <c r="B62" s="11" t="s">
        <v>3</v>
      </c>
      <c r="C62" s="39" t="s">
        <v>65</v>
      </c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>
        <v>70.0</v>
      </c>
      <c r="E75" s="3"/>
      <c r="F75" s="3">
        <v>70.0</v>
      </c>
      <c r="G75" s="3"/>
      <c r="H75" s="3"/>
      <c r="I75" s="3"/>
      <c r="J75" s="3" t="str">
        <f t="shared" si="9"/>
        <v>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>
        <v>70.0</v>
      </c>
      <c r="E76" s="3"/>
      <c r="F76" s="3">
        <v>70.0</v>
      </c>
      <c r="G76" s="3"/>
      <c r="H76" s="3"/>
      <c r="I76" s="3"/>
      <c r="J76" s="3" t="str">
        <f t="shared" si="9"/>
        <v>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>
        <v>58.0</v>
      </c>
      <c r="E78" s="3"/>
      <c r="F78" s="3"/>
      <c r="G78" s="3"/>
      <c r="H78" s="3"/>
      <c r="I78" s="3">
        <v>58.0</v>
      </c>
      <c r="J78" s="3" t="str">
        <f t="shared" si="9"/>
        <v>58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>
        <v>40.0</v>
      </c>
      <c r="E83" s="3"/>
      <c r="F83" s="3">
        <v>40.0</v>
      </c>
      <c r="G83" s="3"/>
      <c r="H83" s="3"/>
      <c r="I83" s="3"/>
      <c r="J83" s="3" t="str">
        <f t="shared" si="9"/>
        <v>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>
        <v>297.0</v>
      </c>
      <c r="E99" s="3"/>
      <c r="F99" s="27">
        <v>150.0</v>
      </c>
      <c r="G99" s="27"/>
      <c r="H99" s="27"/>
      <c r="I99" s="3">
        <v>147.0</v>
      </c>
      <c r="J99" s="3" t="str">
        <f t="shared" si="9"/>
        <v>147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55475.68</v>
      </c>
      <c r="E120" s="3" t="str">
        <f t="shared" si="16"/>
        <v>0</v>
      </c>
      <c r="F120" s="3" t="str">
        <f t="shared" si="16"/>
        <v>35143.7</v>
      </c>
      <c r="G120" s="3" t="str">
        <f t="shared" si="16"/>
        <v>0</v>
      </c>
      <c r="H120" s="3" t="str">
        <f t="shared" si="16"/>
        <v>0</v>
      </c>
      <c r="I120" s="3" t="str">
        <f t="shared" si="16"/>
        <v>20331.98</v>
      </c>
      <c r="J120" s="3" t="str">
        <f t="shared" si="9"/>
        <v>20331.98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Check Once Sales quantity or Value Problem</v>
      </c>
      <c r="P120" s="3" t="str">
        <f t="shared" si="15"/>
        <v>Check Once Closing quantity or Value Problem</v>
      </c>
    </row>
    <row r="121" ht="15.75" customHeight="1">
      <c r="A121" s="10"/>
      <c r="B121" s="11" t="s">
        <v>3</v>
      </c>
      <c r="C121" s="41" t="s">
        <v>77</v>
      </c>
      <c r="D121" s="21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>
        <v>20.0</v>
      </c>
      <c r="E125" s="3"/>
      <c r="F125" s="3"/>
      <c r="G125" s="3"/>
      <c r="H125" s="3"/>
      <c r="I125" s="3">
        <v>20.0</v>
      </c>
      <c r="J125" s="3" t="str">
        <f t="shared" si="17"/>
        <v>20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>
        <v>30.0</v>
      </c>
      <c r="E144" s="3"/>
      <c r="F144" s="3"/>
      <c r="G144" s="3"/>
      <c r="H144" s="3"/>
      <c r="I144" s="3">
        <v>30.0</v>
      </c>
      <c r="J144" s="3" t="str">
        <f t="shared" si="17"/>
        <v>30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>
        <v>25.0</v>
      </c>
      <c r="E145" s="3"/>
      <c r="F145" s="3">
        <v>10.0</v>
      </c>
      <c r="G145" s="3"/>
      <c r="H145" s="3"/>
      <c r="I145" s="3">
        <v>15.0</v>
      </c>
      <c r="J145" s="3" t="str">
        <f t="shared" si="17"/>
        <v>15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>
        <v>15.0</v>
      </c>
      <c r="E146" s="3"/>
      <c r="F146" s="3"/>
      <c r="G146" s="3"/>
      <c r="H146" s="3"/>
      <c r="I146" s="3">
        <v>15.0</v>
      </c>
      <c r="J146" s="3" t="str">
        <f t="shared" si="17"/>
        <v>15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>
        <v>8.0</v>
      </c>
      <c r="E149" s="3"/>
      <c r="F149" s="3"/>
      <c r="G149" s="3"/>
      <c r="H149" s="3"/>
      <c r="I149" s="3">
        <v>8.0</v>
      </c>
      <c r="J149" s="3" t="str">
        <f t="shared" si="17"/>
        <v>8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>
        <v>39.0</v>
      </c>
      <c r="E152" s="3"/>
      <c r="F152" s="27">
        <v>24.0</v>
      </c>
      <c r="G152" s="27"/>
      <c r="H152" s="27"/>
      <c r="I152" s="3">
        <v>15.0</v>
      </c>
      <c r="J152" s="3" t="str">
        <f t="shared" si="17"/>
        <v>15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>
        <v>5.0</v>
      </c>
      <c r="E153" s="3"/>
      <c r="F153" s="27">
        <v>5.0</v>
      </c>
      <c r="G153" s="27"/>
      <c r="H153" s="27"/>
      <c r="I153" s="3"/>
      <c r="J153" s="3" t="str">
        <f t="shared" si="17"/>
        <v>0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>
        <v>37.0</v>
      </c>
      <c r="E160" s="3"/>
      <c r="F160" s="27"/>
      <c r="G160" s="27"/>
      <c r="H160" s="27"/>
      <c r="I160" s="3">
        <v>37.0</v>
      </c>
      <c r="J160" s="3" t="str">
        <f t="shared" si="17"/>
        <v>37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15259.01</v>
      </c>
      <c r="E179" s="3" t="str">
        <f t="shared" si="24"/>
        <v>0</v>
      </c>
      <c r="F179" s="3" t="str">
        <f t="shared" si="24"/>
        <v>3120.34</v>
      </c>
      <c r="G179" s="3" t="str">
        <f t="shared" si="24"/>
        <v>0</v>
      </c>
      <c r="H179" s="3" t="str">
        <f t="shared" si="24"/>
        <v>0</v>
      </c>
      <c r="I179" s="3" t="str">
        <f t="shared" si="24"/>
        <v>12138.67</v>
      </c>
      <c r="J179" s="3" t="str">
        <f t="shared" si="17"/>
        <v>12138.67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Check Once Closing quantity or Value Problem</v>
      </c>
    </row>
    <row r="180" ht="15.75" customHeight="1">
      <c r="A180" s="10"/>
      <c r="B180" s="11" t="s">
        <v>3</v>
      </c>
      <c r="C180" s="41" t="s">
        <v>78</v>
      </c>
      <c r="D180" s="21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>
        <v>44.0</v>
      </c>
      <c r="E197" s="3"/>
      <c r="F197" s="3"/>
      <c r="G197" s="3"/>
      <c r="H197" s="3"/>
      <c r="I197" s="3">
        <v>44.0</v>
      </c>
      <c r="J197" s="3" t="str">
        <f t="shared" si="25"/>
        <v>44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>
        <v>39.0</v>
      </c>
      <c r="E200" s="3">
        <v>70.0</v>
      </c>
      <c r="F200" s="3">
        <v>29.0</v>
      </c>
      <c r="G200" s="3"/>
      <c r="H200" s="3"/>
      <c r="I200" s="3">
        <v>80.0</v>
      </c>
      <c r="J200" s="3" t="str">
        <f t="shared" si="25"/>
        <v>80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>
        <v>306.0</v>
      </c>
      <c r="E215" s="3"/>
      <c r="F215" s="27">
        <v>100.0</v>
      </c>
      <c r="G215" s="27"/>
      <c r="H215" s="27"/>
      <c r="I215" s="3">
        <v>206.0</v>
      </c>
      <c r="J215" s="3" t="str">
        <f t="shared" si="25"/>
        <v>206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>
        <v>535.0</v>
      </c>
      <c r="E216" s="3"/>
      <c r="F216" s="27">
        <v>125.0</v>
      </c>
      <c r="G216" s="27"/>
      <c r="H216" s="27"/>
      <c r="I216" s="3">
        <v>410.0</v>
      </c>
      <c r="J216" s="3" t="str">
        <f t="shared" si="25"/>
        <v>410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>
        <v>69.0</v>
      </c>
      <c r="E217" s="3">
        <v>140.0</v>
      </c>
      <c r="F217" s="27">
        <v>98.0</v>
      </c>
      <c r="G217" s="27"/>
      <c r="H217" s="27"/>
      <c r="I217" s="3">
        <v>111.0</v>
      </c>
      <c r="J217" s="3" t="str">
        <f t="shared" si="25"/>
        <v>111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>
        <v>243.0</v>
      </c>
      <c r="E219" s="3"/>
      <c r="F219" s="27">
        <v>47.0</v>
      </c>
      <c r="G219" s="27"/>
      <c r="H219" s="27"/>
      <c r="I219" s="3">
        <v>196.0</v>
      </c>
      <c r="J219" s="3" t="str">
        <f t="shared" si="25"/>
        <v>196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71539.23</v>
      </c>
      <c r="E238" s="3" t="str">
        <f t="shared" si="32"/>
        <v>25454.8</v>
      </c>
      <c r="F238" s="3" t="str">
        <f t="shared" si="32"/>
        <v>28772.09</v>
      </c>
      <c r="G238" s="3" t="str">
        <f t="shared" si="32"/>
        <v>0</v>
      </c>
      <c r="H238" s="3" t="str">
        <f t="shared" si="32"/>
        <v>0</v>
      </c>
      <c r="I238" s="3" t="str">
        <f t="shared" si="32"/>
        <v>68221.94</v>
      </c>
      <c r="J238" s="3" t="str">
        <f t="shared" si="25"/>
        <v>68221.94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Check Once Sales quantity or Value Problem</v>
      </c>
      <c r="P238" s="3" t="str">
        <f t="shared" si="31"/>
        <v>Check Once Closing quantity or Value Problem</v>
      </c>
    </row>
    <row r="239" ht="15.75" customHeight="1">
      <c r="A239" s="10"/>
      <c r="B239" s="11" t="s">
        <v>3</v>
      </c>
      <c r="C239" s="41" t="s">
        <v>79</v>
      </c>
      <c r="D239" s="21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>
        <v>23.0</v>
      </c>
      <c r="E244" s="3"/>
      <c r="F244" s="3"/>
      <c r="G244" s="3"/>
      <c r="H244" s="3"/>
      <c r="I244" s="3">
        <v>23.0</v>
      </c>
      <c r="J244" s="3" t="str">
        <f t="shared" si="33"/>
        <v>23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>
        <v>20.0</v>
      </c>
      <c r="E245" s="3">
        <v>130.0</v>
      </c>
      <c r="F245" s="3">
        <v>21.0</v>
      </c>
      <c r="G245" s="3"/>
      <c r="H245" s="3"/>
      <c r="I245" s="3">
        <v>129.0</v>
      </c>
      <c r="J245" s="3" t="str">
        <f t="shared" si="33"/>
        <v>129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>
        <v>120.0</v>
      </c>
      <c r="E254" s="3"/>
      <c r="F254" s="3">
        <v>20.0</v>
      </c>
      <c r="G254" s="3"/>
      <c r="H254" s="3"/>
      <c r="I254" s="3">
        <v>100.0</v>
      </c>
      <c r="J254" s="3" t="str">
        <f t="shared" si="33"/>
        <v>100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>
        <v>60.0</v>
      </c>
      <c r="E255" s="3"/>
      <c r="F255" s="3">
        <v>20.0</v>
      </c>
      <c r="G255" s="3"/>
      <c r="H255" s="3"/>
      <c r="I255" s="3">
        <v>40.0</v>
      </c>
      <c r="J255" s="3" t="str">
        <f t="shared" si="33"/>
        <v>40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>
        <v>4.0</v>
      </c>
      <c r="E261" s="3"/>
      <c r="F261" s="3"/>
      <c r="G261" s="3"/>
      <c r="H261" s="3"/>
      <c r="I261" s="3"/>
      <c r="J261" s="3" t="str">
        <f t="shared" si="33"/>
        <v>4</v>
      </c>
      <c r="K261" s="27" t="str">
        <f t="shared" si="34"/>
        <v>Closing stock Not Correct-Problem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>
        <v>77.0</v>
      </c>
      <c r="E269" s="3"/>
      <c r="F269" s="3">
        <v>18.0</v>
      </c>
      <c r="G269" s="3"/>
      <c r="H269" s="3"/>
      <c r="I269" s="3">
        <v>59.0</v>
      </c>
      <c r="J269" s="3" t="str">
        <f t="shared" si="33"/>
        <v>59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>
        <v>2.0</v>
      </c>
      <c r="E272" s="3"/>
      <c r="F272" s="27"/>
      <c r="G272" s="27"/>
      <c r="H272" s="27"/>
      <c r="I272" s="3"/>
      <c r="J272" s="3" t="str">
        <f t="shared" si="33"/>
        <v>2</v>
      </c>
      <c r="K272" s="27" t="str">
        <f t="shared" si="34"/>
        <v>Closing stock Not Correct-Problem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>
        <v>346.0</v>
      </c>
      <c r="E274" s="3">
        <v>2200.0</v>
      </c>
      <c r="F274" s="27">
        <v>420.0</v>
      </c>
      <c r="G274" s="27"/>
      <c r="H274" s="27"/>
      <c r="I274" s="3">
        <v>2126.0</v>
      </c>
      <c r="J274" s="3" t="str">
        <f t="shared" si="33"/>
        <v>2126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>
        <v>350.0</v>
      </c>
      <c r="E275" s="3"/>
      <c r="F275" s="27">
        <v>300.0</v>
      </c>
      <c r="G275" s="27"/>
      <c r="H275" s="27"/>
      <c r="I275" s="3">
        <v>50.0</v>
      </c>
      <c r="J275" s="3" t="str">
        <f t="shared" si="33"/>
        <v>50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>
        <v>100.0</v>
      </c>
      <c r="E276" s="3"/>
      <c r="F276" s="27">
        <v>10.0</v>
      </c>
      <c r="G276" s="27"/>
      <c r="H276" s="27"/>
      <c r="I276" s="3">
        <v>90.0</v>
      </c>
      <c r="J276" s="3" t="str">
        <f t="shared" si="33"/>
        <v>90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>
        <v>35.0</v>
      </c>
      <c r="E278" s="3"/>
      <c r="F278" s="27"/>
      <c r="G278" s="27"/>
      <c r="H278" s="27"/>
      <c r="I278" s="3">
        <v>35.0</v>
      </c>
      <c r="J278" s="3" t="str">
        <f t="shared" si="33"/>
        <v>35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81896.19</v>
      </c>
      <c r="E297" s="3" t="str">
        <f t="shared" si="40"/>
        <v>150297.3</v>
      </c>
      <c r="F297" s="3" t="str">
        <f t="shared" si="40"/>
        <v>47911.83</v>
      </c>
      <c r="G297" s="3" t="str">
        <f t="shared" si="40"/>
        <v>0</v>
      </c>
      <c r="H297" s="3" t="str">
        <f t="shared" si="40"/>
        <v>0</v>
      </c>
      <c r="I297" s="3" t="str">
        <f t="shared" si="40"/>
        <v>183768.88</v>
      </c>
      <c r="J297" s="3" t="str">
        <f t="shared" si="33"/>
        <v>184281.66</v>
      </c>
      <c r="K297" s="27" t="str">
        <f t="shared" si="34"/>
        <v>Closing stock Not Correct-Problem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Check Once Sales quantity or Value Problem</v>
      </c>
      <c r="P297" s="3" t="str">
        <f t="shared" si="39"/>
        <v>Check Once Closing quantity or Value Problem</v>
      </c>
    </row>
    <row r="298" ht="15.75" customHeight="1">
      <c r="A298" s="10"/>
      <c r="B298" s="11" t="s">
        <v>3</v>
      </c>
      <c r="C298" s="41" t="s">
        <v>80</v>
      </c>
      <c r="D298" s="21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>
        <v>11.0</v>
      </c>
      <c r="E312" s="3"/>
      <c r="F312" s="3">
        <v>11.0</v>
      </c>
      <c r="G312" s="3"/>
      <c r="H312" s="3"/>
      <c r="I312" s="3"/>
      <c r="J312" s="3" t="str">
        <f t="shared" si="41"/>
        <v>0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>
        <v>170.0</v>
      </c>
      <c r="E315" s="3">
        <v>130.0</v>
      </c>
      <c r="F315" s="3">
        <v>140.0</v>
      </c>
      <c r="G315" s="3"/>
      <c r="H315" s="3"/>
      <c r="I315" s="3">
        <v>160.0</v>
      </c>
      <c r="J315" s="3" t="str">
        <f t="shared" si="41"/>
        <v>160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>
        <v>140.0</v>
      </c>
      <c r="E316" s="3"/>
      <c r="F316" s="3">
        <v>60.0</v>
      </c>
      <c r="G316" s="3"/>
      <c r="H316" s="3"/>
      <c r="I316" s="3">
        <v>80.0</v>
      </c>
      <c r="J316" s="3" t="str">
        <f t="shared" si="41"/>
        <v>80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>
        <v>15.0</v>
      </c>
      <c r="E318" s="3">
        <v>70.0</v>
      </c>
      <c r="F318" s="3">
        <v>8.0</v>
      </c>
      <c r="G318" s="3"/>
      <c r="H318" s="3"/>
      <c r="I318" s="3">
        <v>77.0</v>
      </c>
      <c r="J318" s="3" t="str">
        <f t="shared" si="41"/>
        <v>77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>
        <v>22.0</v>
      </c>
      <c r="E319" s="3">
        <v>40.0</v>
      </c>
      <c r="F319" s="3">
        <v>22.0</v>
      </c>
      <c r="G319" s="3"/>
      <c r="H319" s="3"/>
      <c r="I319" s="3">
        <v>40.0</v>
      </c>
      <c r="J319" s="3" t="str">
        <f t="shared" si="41"/>
        <v>40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>
        <v>41.0</v>
      </c>
      <c r="E320" s="3"/>
      <c r="F320" s="3">
        <v>24.0</v>
      </c>
      <c r="G320" s="3"/>
      <c r="H320" s="3"/>
      <c r="I320" s="3">
        <v>17.0</v>
      </c>
      <c r="J320" s="3" t="str">
        <f t="shared" si="41"/>
        <v>17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>
        <v>12.0</v>
      </c>
      <c r="E326" s="3"/>
      <c r="F326" s="3"/>
      <c r="G326" s="3"/>
      <c r="H326" s="3"/>
      <c r="I326" s="3">
        <v>12.0</v>
      </c>
      <c r="J326" s="3" t="str">
        <f t="shared" si="41"/>
        <v>12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>
        <v>66.0</v>
      </c>
      <c r="E333" s="3"/>
      <c r="F333" s="27">
        <v>66.0</v>
      </c>
      <c r="G333" s="27"/>
      <c r="H333" s="27"/>
      <c r="I333" s="3"/>
      <c r="J333" s="3" t="str">
        <f t="shared" si="41"/>
        <v>0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>
        <v>116.0</v>
      </c>
      <c r="E334" s="3">
        <v>210.0</v>
      </c>
      <c r="F334" s="27">
        <v>216.0</v>
      </c>
      <c r="G334" s="27"/>
      <c r="H334" s="27"/>
      <c r="I334" s="3">
        <v>110.0</v>
      </c>
      <c r="J334" s="3" t="str">
        <f t="shared" si="41"/>
        <v>110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>
        <v>147.0</v>
      </c>
      <c r="E335" s="3">
        <v>280.0</v>
      </c>
      <c r="F335" s="27">
        <v>200.0</v>
      </c>
      <c r="G335" s="27"/>
      <c r="H335" s="27"/>
      <c r="I335" s="3">
        <v>227.0</v>
      </c>
      <c r="J335" s="3" t="str">
        <f t="shared" si="41"/>
        <v>227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>
        <v>14.0</v>
      </c>
      <c r="E337" s="3"/>
      <c r="F337" s="27"/>
      <c r="G337" s="27"/>
      <c r="H337" s="27"/>
      <c r="I337" s="3">
        <v>14.0</v>
      </c>
      <c r="J337" s="3" t="str">
        <f t="shared" si="41"/>
        <v>14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52880.95</v>
      </c>
      <c r="E356" s="3" t="str">
        <f t="shared" si="48"/>
        <v>62809.6</v>
      </c>
      <c r="F356" s="3" t="str">
        <f t="shared" si="48"/>
        <v>52160.6</v>
      </c>
      <c r="G356" s="3" t="str">
        <f t="shared" si="48"/>
        <v>0</v>
      </c>
      <c r="H356" s="3" t="str">
        <f t="shared" si="48"/>
        <v>0</v>
      </c>
      <c r="I356" s="3" t="str">
        <f t="shared" si="48"/>
        <v>63529.95</v>
      </c>
      <c r="J356" s="3" t="str">
        <f t="shared" si="41"/>
        <v>63529.95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Check Once Sales quantity or Value Problem</v>
      </c>
      <c r="P356" s="3" t="str">
        <f t="shared" si="47"/>
        <v>Check Once Closing quantity or Value Problem</v>
      </c>
    </row>
    <row r="357" ht="15.75" customHeight="1">
      <c r="A357" s="10"/>
      <c r="B357" s="11" t="s">
        <v>3</v>
      </c>
      <c r="C357" s="41" t="s">
        <v>81</v>
      </c>
      <c r="D357" s="21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/>
      <c r="E363" s="3">
        <v>130.0</v>
      </c>
      <c r="F363" s="3">
        <v>50.0</v>
      </c>
      <c r="G363" s="3"/>
      <c r="H363" s="3"/>
      <c r="I363" s="3">
        <v>80.0</v>
      </c>
      <c r="J363" s="3" t="str">
        <f t="shared" si="49"/>
        <v>80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>
        <v>140.0</v>
      </c>
      <c r="E372" s="3">
        <v>180.0</v>
      </c>
      <c r="F372" s="3">
        <v>150.0</v>
      </c>
      <c r="G372" s="3"/>
      <c r="H372" s="3"/>
      <c r="I372" s="3">
        <v>170.0</v>
      </c>
      <c r="J372" s="3" t="str">
        <f t="shared" si="49"/>
        <v>170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>
        <v>450.0</v>
      </c>
      <c r="E392" s="3">
        <v>1050.0</v>
      </c>
      <c r="F392" s="27">
        <v>900.0</v>
      </c>
      <c r="G392" s="27"/>
      <c r="H392" s="27"/>
      <c r="I392" s="3">
        <v>600.0</v>
      </c>
      <c r="J392" s="3" t="str">
        <f t="shared" si="49"/>
        <v>600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>
        <v>140.0</v>
      </c>
      <c r="F394" s="27"/>
      <c r="G394" s="27"/>
      <c r="H394" s="27"/>
      <c r="I394" s="3">
        <v>140.0</v>
      </c>
      <c r="J394" s="3" t="str">
        <f t="shared" si="49"/>
        <v>140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36277.2</v>
      </c>
      <c r="E415" s="3" t="str">
        <f t="shared" si="56"/>
        <v>100215.3</v>
      </c>
      <c r="F415" s="3" t="str">
        <f t="shared" si="56"/>
        <v>69187</v>
      </c>
      <c r="G415" s="3" t="str">
        <f t="shared" si="56"/>
        <v>0</v>
      </c>
      <c r="H415" s="3" t="str">
        <f t="shared" si="56"/>
        <v>0</v>
      </c>
      <c r="I415" s="3" t="str">
        <f t="shared" si="56"/>
        <v>67305.5</v>
      </c>
      <c r="J415" s="3" t="str">
        <f t="shared" si="49"/>
        <v>67305.5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Check Once Sales quantity or Value Problem</v>
      </c>
      <c r="P415" s="3" t="str">
        <f t="shared" si="55"/>
        <v>Check Once Closing quantity or Value Problem</v>
      </c>
    </row>
    <row r="416" ht="15.75" customHeight="1">
      <c r="A416" s="10"/>
      <c r="B416" s="11" t="s">
        <v>3</v>
      </c>
      <c r="C416" s="41" t="s">
        <v>82</v>
      </c>
      <c r="D416" s="21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>
        <v>24.0</v>
      </c>
      <c r="E418" s="3"/>
      <c r="F418" s="3">
        <v>24.0</v>
      </c>
      <c r="G418" s="3"/>
      <c r="H418" s="3"/>
      <c r="I418" s="3"/>
      <c r="J418" s="3" t="str">
        <f t="shared" ref="J418:J474" si="57">D418+E418-F418-G418+H418</f>
        <v>0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>
        <v>100.0</v>
      </c>
      <c r="E419" s="3">
        <v>200.0</v>
      </c>
      <c r="F419" s="3">
        <v>100.0</v>
      </c>
      <c r="G419" s="3"/>
      <c r="H419" s="3"/>
      <c r="I419" s="3">
        <v>200.0</v>
      </c>
      <c r="J419" s="3" t="str">
        <f t="shared" si="57"/>
        <v>200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>
        <v>7.0</v>
      </c>
      <c r="E420" s="3">
        <v>30.0</v>
      </c>
      <c r="F420" s="3">
        <v>17.0</v>
      </c>
      <c r="G420" s="3"/>
      <c r="H420" s="3"/>
      <c r="I420" s="3">
        <v>20.0</v>
      </c>
      <c r="J420" s="3" t="str">
        <f t="shared" si="57"/>
        <v>20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/>
      <c r="E424" s="3"/>
      <c r="F424" s="3"/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>
        <v>150.0</v>
      </c>
      <c r="E427" s="3"/>
      <c r="F427" s="3">
        <v>150.0</v>
      </c>
      <c r="G427" s="3"/>
      <c r="H427" s="3"/>
      <c r="I427" s="3"/>
      <c r="J427" s="3" t="str">
        <f t="shared" si="57"/>
        <v>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/>
      <c r="E431" s="3">
        <v>60.0</v>
      </c>
      <c r="F431" s="3">
        <v>20.0</v>
      </c>
      <c r="G431" s="3"/>
      <c r="H431" s="3"/>
      <c r="I431" s="3">
        <v>40.0</v>
      </c>
      <c r="J431" s="3" t="str">
        <f t="shared" si="57"/>
        <v>40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>
        <v>64.0</v>
      </c>
      <c r="E432" s="3"/>
      <c r="F432" s="3">
        <v>34.0</v>
      </c>
      <c r="G432" s="3"/>
      <c r="H432" s="3"/>
      <c r="I432" s="3">
        <v>30.0</v>
      </c>
      <c r="J432" s="3" t="str">
        <f t="shared" si="57"/>
        <v>30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>
        <v>100.0</v>
      </c>
      <c r="E433" s="3"/>
      <c r="F433" s="3">
        <v>30.0</v>
      </c>
      <c r="G433" s="3"/>
      <c r="H433" s="3"/>
      <c r="I433" s="3">
        <v>70.0</v>
      </c>
      <c r="J433" s="3" t="str">
        <f t="shared" si="57"/>
        <v>70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>
        <v>100.0</v>
      </c>
      <c r="E434" s="3"/>
      <c r="F434" s="3">
        <v>20.0</v>
      </c>
      <c r="G434" s="3"/>
      <c r="H434" s="3"/>
      <c r="I434" s="3">
        <v>80.0</v>
      </c>
      <c r="J434" s="3" t="str">
        <f t="shared" si="57"/>
        <v>80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>
        <v>40.0</v>
      </c>
      <c r="E438" s="3"/>
      <c r="F438" s="3">
        <v>15.0</v>
      </c>
      <c r="G438" s="3"/>
      <c r="H438" s="3"/>
      <c r="I438" s="3">
        <v>25.0</v>
      </c>
      <c r="J438" s="3" t="str">
        <f t="shared" si="57"/>
        <v>25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>
        <v>36.0</v>
      </c>
      <c r="E441" s="3"/>
      <c r="F441" s="3"/>
      <c r="G441" s="3"/>
      <c r="H441" s="3"/>
      <c r="I441" s="3">
        <v>36.0</v>
      </c>
      <c r="J441" s="3" t="str">
        <f t="shared" si="57"/>
        <v>36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>
        <v>60.0</v>
      </c>
      <c r="E444" s="3"/>
      <c r="F444" s="3">
        <v>60.0</v>
      </c>
      <c r="G444" s="3"/>
      <c r="H444" s="3"/>
      <c r="I444" s="3"/>
      <c r="J444" s="3" t="str">
        <f t="shared" si="57"/>
        <v>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>
        <v>18.0</v>
      </c>
      <c r="E447" s="3"/>
      <c r="F447" s="27"/>
      <c r="G447" s="27">
        <v>18.0</v>
      </c>
      <c r="H447" s="27"/>
      <c r="I447" s="3"/>
      <c r="J447" s="3" t="str">
        <f t="shared" si="57"/>
        <v>0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/>
      <c r="E449" s="3"/>
      <c r="F449" s="27"/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/>
      <c r="E451" s="3">
        <v>300.0</v>
      </c>
      <c r="F451" s="27">
        <v>100.0</v>
      </c>
      <c r="G451" s="27"/>
      <c r="H451" s="27"/>
      <c r="I451" s="3">
        <v>200.0</v>
      </c>
      <c r="J451" s="3" t="str">
        <f t="shared" si="57"/>
        <v>200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>
        <v>200.0</v>
      </c>
      <c r="E452" s="3"/>
      <c r="F452" s="27">
        <v>100.0</v>
      </c>
      <c r="G452" s="27"/>
      <c r="H452" s="27"/>
      <c r="I452" s="3">
        <v>100.0</v>
      </c>
      <c r="J452" s="3" t="str">
        <f t="shared" si="57"/>
        <v>100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/>
      <c r="E453" s="3">
        <v>280.0</v>
      </c>
      <c r="F453" s="27">
        <v>100.0</v>
      </c>
      <c r="G453" s="27"/>
      <c r="H453" s="27"/>
      <c r="I453" s="3">
        <v>180.0</v>
      </c>
      <c r="J453" s="3" t="str">
        <f t="shared" si="57"/>
        <v>180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>
        <v>20.0</v>
      </c>
      <c r="E455" s="3">
        <v>110.0</v>
      </c>
      <c r="F455" s="27">
        <v>40.0</v>
      </c>
      <c r="G455" s="27"/>
      <c r="H455" s="27"/>
      <c r="I455" s="3">
        <v>90.0</v>
      </c>
      <c r="J455" s="3" t="str">
        <f t="shared" si="57"/>
        <v>90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47688.11</v>
      </c>
      <c r="E474" s="3" t="str">
        <f t="shared" si="64"/>
        <v>62676.6</v>
      </c>
      <c r="F474" s="3" t="str">
        <f t="shared" si="64"/>
        <v>46414.66</v>
      </c>
      <c r="G474" s="3" t="str">
        <f t="shared" si="64"/>
        <v>1446.48</v>
      </c>
      <c r="H474" s="3" t="str">
        <f t="shared" si="64"/>
        <v>0</v>
      </c>
      <c r="I474" s="3" t="str">
        <f t="shared" si="64"/>
        <v>62503.57</v>
      </c>
      <c r="J474" s="3" t="str">
        <f t="shared" si="57"/>
        <v>62503.57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Check Once Sales quantity or Value Problem</v>
      </c>
      <c r="P474" s="3" t="str">
        <f t="shared" si="63"/>
        <v>Check Once Closing quantity or Value Problem</v>
      </c>
    </row>
    <row r="475" ht="15.75" customHeight="1">
      <c r="A475" s="10"/>
      <c r="B475" s="11" t="s">
        <v>3</v>
      </c>
      <c r="C475" s="41" t="s">
        <v>83</v>
      </c>
      <c r="D475" s="21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>
        <v>150.0</v>
      </c>
      <c r="E478" s="3"/>
      <c r="F478" s="3">
        <v>50.0</v>
      </c>
      <c r="G478" s="3"/>
      <c r="H478" s="3"/>
      <c r="I478" s="3">
        <v>100.0</v>
      </c>
      <c r="J478" s="3" t="str">
        <f t="shared" si="65"/>
        <v>100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>
        <v>106.0</v>
      </c>
      <c r="E499" s="3"/>
      <c r="F499" s="3"/>
      <c r="G499" s="3"/>
      <c r="H499" s="3"/>
      <c r="I499" s="3">
        <v>106.0</v>
      </c>
      <c r="J499" s="3" t="str">
        <f t="shared" si="65"/>
        <v>106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>
        <v>74.0</v>
      </c>
      <c r="E500" s="3"/>
      <c r="F500" s="3"/>
      <c r="G500" s="3"/>
      <c r="H500" s="3"/>
      <c r="I500" s="3">
        <v>74.0</v>
      </c>
      <c r="J500" s="3" t="str">
        <f t="shared" si="65"/>
        <v>74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>
        <v>143.0</v>
      </c>
      <c r="E501" s="3"/>
      <c r="F501" s="3"/>
      <c r="G501" s="3"/>
      <c r="H501" s="3"/>
      <c r="I501" s="3">
        <v>143.0</v>
      </c>
      <c r="J501" s="3" t="str">
        <f t="shared" si="65"/>
        <v>143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>
        <v>45.0</v>
      </c>
      <c r="E503" s="3"/>
      <c r="F503" s="3"/>
      <c r="G503" s="3"/>
      <c r="H503" s="3"/>
      <c r="I503" s="3">
        <v>45.0</v>
      </c>
      <c r="J503" s="3" t="str">
        <f t="shared" si="65"/>
        <v>45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>
        <v>50.0</v>
      </c>
      <c r="E505" s="3"/>
      <c r="F505" s="3"/>
      <c r="G505" s="3"/>
      <c r="H505" s="3"/>
      <c r="I505" s="3">
        <v>50.0</v>
      </c>
      <c r="J505" s="3" t="str">
        <f t="shared" si="65"/>
        <v>50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>
        <v>117.0</v>
      </c>
      <c r="E506" s="3"/>
      <c r="F506" s="27"/>
      <c r="G506" s="27"/>
      <c r="H506" s="27"/>
      <c r="I506" s="3">
        <v>117.0</v>
      </c>
      <c r="J506" s="3" t="str">
        <f t="shared" si="65"/>
        <v>117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>
        <v>50.0</v>
      </c>
      <c r="E510" s="3"/>
      <c r="F510" s="27">
        <v>50.0</v>
      </c>
      <c r="G510" s="27"/>
      <c r="H510" s="27"/>
      <c r="I510" s="3"/>
      <c r="J510" s="3" t="str">
        <f t="shared" si="65"/>
        <v>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>
        <v>100.0</v>
      </c>
      <c r="E511" s="3"/>
      <c r="F511" s="27">
        <v>100.0</v>
      </c>
      <c r="G511" s="27"/>
      <c r="H511" s="27"/>
      <c r="I511" s="3"/>
      <c r="J511" s="3" t="str">
        <f t="shared" si="65"/>
        <v>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>
        <v>50.0</v>
      </c>
      <c r="E512" s="3"/>
      <c r="F512" s="27">
        <v>50.0</v>
      </c>
      <c r="G512" s="27"/>
      <c r="H512" s="27"/>
      <c r="I512" s="3"/>
      <c r="J512" s="3" t="str">
        <f t="shared" si="65"/>
        <v>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>
        <v>10.0</v>
      </c>
      <c r="E514" s="3"/>
      <c r="F514" s="27"/>
      <c r="G514" s="27"/>
      <c r="H514" s="27"/>
      <c r="I514" s="3">
        <v>10.0</v>
      </c>
      <c r="J514" s="3" t="str">
        <f t="shared" si="65"/>
        <v>10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66164.51</v>
      </c>
      <c r="E533" s="3" t="str">
        <f t="shared" si="72"/>
        <v>0</v>
      </c>
      <c r="F533" s="3" t="str">
        <f t="shared" si="72"/>
        <v>12439</v>
      </c>
      <c r="G533" s="3" t="str">
        <f t="shared" si="72"/>
        <v>0</v>
      </c>
      <c r="H533" s="3" t="str">
        <f t="shared" si="72"/>
        <v>0</v>
      </c>
      <c r="I533" s="3" t="str">
        <f t="shared" si="72"/>
        <v>53725.51</v>
      </c>
      <c r="J533" s="3" t="str">
        <f t="shared" si="65"/>
        <v>53725.51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Check Once Sales quantity or Value Problem</v>
      </c>
      <c r="P533" s="3" t="str">
        <f t="shared" si="71"/>
        <v>Check Once Closing quantity or Value Problem</v>
      </c>
    </row>
    <row r="534" ht="15.75" customHeight="1">
      <c r="A534" s="10"/>
      <c r="B534" s="11" t="s">
        <v>3</v>
      </c>
      <c r="C534" s="41" t="s">
        <v>84</v>
      </c>
      <c r="D534" s="21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>
        <v>83.0</v>
      </c>
      <c r="E540" s="3"/>
      <c r="F540" s="3">
        <v>29.0</v>
      </c>
      <c r="G540" s="3"/>
      <c r="H540" s="3"/>
      <c r="I540" s="3">
        <v>54.0</v>
      </c>
      <c r="J540" s="3" t="str">
        <f t="shared" si="73"/>
        <v>54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>
        <v>45.0</v>
      </c>
      <c r="E547" s="3"/>
      <c r="F547" s="3"/>
      <c r="G547" s="3"/>
      <c r="H547" s="3"/>
      <c r="I547" s="3">
        <v>45.0</v>
      </c>
      <c r="J547" s="3" t="str">
        <f t="shared" si="73"/>
        <v>45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>
        <v>45.0</v>
      </c>
      <c r="E548" s="3">
        <v>70.0</v>
      </c>
      <c r="F548" s="3">
        <v>45.0</v>
      </c>
      <c r="G548" s="3"/>
      <c r="H548" s="3"/>
      <c r="I548" s="3">
        <v>70.0</v>
      </c>
      <c r="J548" s="3" t="str">
        <f t="shared" si="73"/>
        <v>70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>
        <v>62.0</v>
      </c>
      <c r="E549" s="3">
        <v>120.0</v>
      </c>
      <c r="F549" s="3">
        <v>60.0</v>
      </c>
      <c r="G549" s="3"/>
      <c r="H549" s="3"/>
      <c r="I549" s="3">
        <v>122.0</v>
      </c>
      <c r="J549" s="3" t="str">
        <f t="shared" si="73"/>
        <v>122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>
        <v>58.0</v>
      </c>
      <c r="E550" s="3"/>
      <c r="F550" s="3">
        <v>35.0</v>
      </c>
      <c r="G550" s="3"/>
      <c r="H550" s="3"/>
      <c r="I550" s="3">
        <v>23.0</v>
      </c>
      <c r="J550" s="3" t="str">
        <f t="shared" si="73"/>
        <v>23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>
        <v>132.0</v>
      </c>
      <c r="E551" s="3"/>
      <c r="F551" s="3">
        <v>30.0</v>
      </c>
      <c r="G551" s="3"/>
      <c r="H551" s="3"/>
      <c r="I551" s="3">
        <v>102.0</v>
      </c>
      <c r="J551" s="3" t="str">
        <f t="shared" si="73"/>
        <v>102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>
        <v>130.0</v>
      </c>
      <c r="E552" s="3"/>
      <c r="F552" s="3">
        <v>30.0</v>
      </c>
      <c r="G552" s="3"/>
      <c r="H552" s="3"/>
      <c r="I552" s="3">
        <v>100.0</v>
      </c>
      <c r="J552" s="3" t="str">
        <f t="shared" si="73"/>
        <v>100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>
        <v>32.0</v>
      </c>
      <c r="E554" s="3"/>
      <c r="F554" s="3">
        <v>2.0</v>
      </c>
      <c r="G554" s="3"/>
      <c r="H554" s="3"/>
      <c r="I554" s="3">
        <v>30.0</v>
      </c>
      <c r="J554" s="3" t="str">
        <f t="shared" si="73"/>
        <v>30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>
        <v>44.0</v>
      </c>
      <c r="E555" s="3"/>
      <c r="F555" s="3"/>
      <c r="G555" s="3"/>
      <c r="H555" s="3"/>
      <c r="I555" s="3">
        <v>44.0</v>
      </c>
      <c r="J555" s="3" t="str">
        <f t="shared" si="73"/>
        <v>44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>
        <v>85.0</v>
      </c>
      <c r="E558" s="3"/>
      <c r="F558" s="3"/>
      <c r="G558" s="3"/>
      <c r="H558" s="3"/>
      <c r="I558" s="3">
        <v>85.0</v>
      </c>
      <c r="J558" s="3" t="str">
        <f t="shared" si="73"/>
        <v>85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>
        <v>35.0</v>
      </c>
      <c r="E560" s="3"/>
      <c r="F560" s="3"/>
      <c r="G560" s="3"/>
      <c r="H560" s="3"/>
      <c r="I560" s="3">
        <v>35.0</v>
      </c>
      <c r="J560" s="3" t="str">
        <f t="shared" si="73"/>
        <v>35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>
        <v>57.0</v>
      </c>
      <c r="E562" s="3"/>
      <c r="F562" s="3"/>
      <c r="G562" s="3"/>
      <c r="H562" s="3"/>
      <c r="I562" s="3">
        <v>57.0</v>
      </c>
      <c r="J562" s="3" t="str">
        <f t="shared" si="73"/>
        <v>57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>
        <v>24.0</v>
      </c>
      <c r="E564" s="3"/>
      <c r="F564" s="3"/>
      <c r="G564" s="3"/>
      <c r="H564" s="3"/>
      <c r="I564" s="3">
        <v>24.0</v>
      </c>
      <c r="J564" s="3" t="str">
        <f t="shared" si="73"/>
        <v>24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>
        <v>150.0</v>
      </c>
      <c r="E565" s="3"/>
      <c r="F565" s="27">
        <v>17.0</v>
      </c>
      <c r="G565" s="27"/>
      <c r="H565" s="27"/>
      <c r="I565" s="3">
        <v>133.0</v>
      </c>
      <c r="J565" s="3" t="str">
        <f t="shared" si="73"/>
        <v>133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>
        <v>45.0</v>
      </c>
      <c r="E566" s="3"/>
      <c r="F566" s="27"/>
      <c r="G566" s="27"/>
      <c r="H566" s="27"/>
      <c r="I566" s="3">
        <v>45.0</v>
      </c>
      <c r="J566" s="3" t="str">
        <f t="shared" si="73"/>
        <v>45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>
        <v>89.0</v>
      </c>
      <c r="E567" s="3"/>
      <c r="F567" s="27">
        <v>33.0</v>
      </c>
      <c r="G567" s="27"/>
      <c r="H567" s="27"/>
      <c r="I567" s="3">
        <v>56.0</v>
      </c>
      <c r="J567" s="3" t="str">
        <f t="shared" si="73"/>
        <v>56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>
        <v>447.0</v>
      </c>
      <c r="E569" s="3">
        <v>750.0</v>
      </c>
      <c r="F569" s="27">
        <v>447.0</v>
      </c>
      <c r="G569" s="27"/>
      <c r="H569" s="27"/>
      <c r="I569" s="3">
        <v>750.0</v>
      </c>
      <c r="J569" s="3" t="str">
        <f t="shared" si="73"/>
        <v>750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>
        <v>100.0</v>
      </c>
      <c r="E570" s="3">
        <v>700.0</v>
      </c>
      <c r="F570" s="27">
        <v>100.0</v>
      </c>
      <c r="G570" s="27"/>
      <c r="H570" s="27"/>
      <c r="I570" s="3">
        <v>700.0</v>
      </c>
      <c r="J570" s="3" t="str">
        <f t="shared" si="73"/>
        <v>700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>
        <v>280.0</v>
      </c>
      <c r="E571" s="3"/>
      <c r="F571" s="27">
        <v>49.0</v>
      </c>
      <c r="G571" s="27"/>
      <c r="H571" s="27"/>
      <c r="I571" s="3">
        <v>231.0</v>
      </c>
      <c r="J571" s="3" t="str">
        <f t="shared" si="73"/>
        <v>231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>
        <v>77.0</v>
      </c>
      <c r="E573" s="3"/>
      <c r="F573" s="27">
        <v>60.0</v>
      </c>
      <c r="G573" s="27"/>
      <c r="H573" s="27"/>
      <c r="I573" s="3">
        <v>17.0</v>
      </c>
      <c r="J573" s="3" t="str">
        <f t="shared" si="73"/>
        <v>17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157748.61</v>
      </c>
      <c r="E592" s="3" t="str">
        <f t="shared" si="80"/>
        <v>88564.6</v>
      </c>
      <c r="F592" s="3" t="str">
        <f t="shared" si="80"/>
        <v>62093.78</v>
      </c>
      <c r="G592" s="3" t="str">
        <f t="shared" si="80"/>
        <v>0</v>
      </c>
      <c r="H592" s="3" t="str">
        <f t="shared" si="80"/>
        <v>0</v>
      </c>
      <c r="I592" s="3" t="str">
        <f t="shared" si="80"/>
        <v>184219.43</v>
      </c>
      <c r="J592" s="3" t="str">
        <f t="shared" si="73"/>
        <v>184219.43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Check Once Sales quantity or Value Problem</v>
      </c>
      <c r="P592" s="3" t="str">
        <f t="shared" si="79"/>
        <v>Check Once Closing quantity or Value Problem</v>
      </c>
    </row>
    <row r="593" ht="15.75" customHeight="1">
      <c r="A593" s="10"/>
      <c r="B593" s="11" t="s">
        <v>3</v>
      </c>
      <c r="C593" s="39" t="s">
        <v>85</v>
      </c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>
        <v>130.0</v>
      </c>
      <c r="F599" s="3">
        <v>30.0</v>
      </c>
      <c r="G599" s="3"/>
      <c r="H599" s="3"/>
      <c r="I599" s="3">
        <v>100.0</v>
      </c>
      <c r="J599" s="3" t="str">
        <f t="shared" si="81"/>
        <v>100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>
        <v>75.0</v>
      </c>
      <c r="F626" s="27">
        <v>25.0</v>
      </c>
      <c r="G626" s="27"/>
      <c r="H626" s="27"/>
      <c r="I626" s="3">
        <v>50.0</v>
      </c>
      <c r="J626" s="3" t="str">
        <f t="shared" si="81"/>
        <v>50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>
        <v>220.0</v>
      </c>
      <c r="F632" s="27">
        <v>70.0</v>
      </c>
      <c r="G632" s="27"/>
      <c r="H632" s="27"/>
      <c r="I632" s="3">
        <v>150.0</v>
      </c>
      <c r="J632" s="3" t="str">
        <f t="shared" si="81"/>
        <v>150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29113.85</v>
      </c>
      <c r="F651" s="3" t="str">
        <f t="shared" si="88"/>
        <v>8548.85</v>
      </c>
      <c r="G651" s="3" t="str">
        <f t="shared" si="88"/>
        <v>0</v>
      </c>
      <c r="H651" s="3" t="str">
        <f t="shared" si="88"/>
        <v>0</v>
      </c>
      <c r="I651" s="3" t="str">
        <f t="shared" si="88"/>
        <v>20565</v>
      </c>
      <c r="J651" s="3" t="str">
        <f t="shared" si="81"/>
        <v>20565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Check Once Sales quantity or Value Problem</v>
      </c>
      <c r="P651" s="3" t="str">
        <f t="shared" si="87"/>
        <v>Check Once Closing quantity or Value Problem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8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74</v>
      </c>
      <c r="E890" s="3" t="str">
        <f t="shared" si="121"/>
        <v>0</v>
      </c>
      <c r="F890" s="3" t="str">
        <f t="shared" si="121"/>
        <v>24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50</v>
      </c>
      <c r="J890" s="3" t="str">
        <f t="shared" ref="J890:J946" si="123">D890+E890-F890-G890+H890</f>
        <v>50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450</v>
      </c>
      <c r="E891" s="3" t="str">
        <f t="shared" si="122"/>
        <v>800</v>
      </c>
      <c r="F891" s="3" t="str">
        <f t="shared" si="122"/>
        <v>850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400</v>
      </c>
      <c r="J891" s="3" t="str">
        <f t="shared" si="123"/>
        <v>400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47</v>
      </c>
      <c r="E892" s="3" t="str">
        <f t="shared" si="130"/>
        <v>30</v>
      </c>
      <c r="F892" s="3" t="str">
        <f t="shared" si="130"/>
        <v>22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55</v>
      </c>
      <c r="J892" s="3" t="str">
        <f t="shared" si="123"/>
        <v>55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53</v>
      </c>
      <c r="E893" s="3" t="str">
        <f t="shared" si="131"/>
        <v>0</v>
      </c>
      <c r="F893" s="3" t="str">
        <f t="shared" si="131"/>
        <v>0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53</v>
      </c>
      <c r="J893" s="3" t="str">
        <f t="shared" si="123"/>
        <v>53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245</v>
      </c>
      <c r="E894" s="3" t="str">
        <f t="shared" si="132"/>
        <v>650</v>
      </c>
      <c r="F894" s="3" t="str">
        <f t="shared" si="132"/>
        <v>267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628</v>
      </c>
      <c r="J894" s="3" t="str">
        <f t="shared" si="123"/>
        <v>628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10</v>
      </c>
      <c r="E895" s="3" t="str">
        <f t="shared" si="133"/>
        <v>60</v>
      </c>
      <c r="F895" s="3" t="str">
        <f t="shared" si="133"/>
        <v>60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10</v>
      </c>
      <c r="J895" s="3" t="str">
        <f t="shared" si="123"/>
        <v>10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40</v>
      </c>
      <c r="E896" s="3" t="str">
        <f t="shared" si="134"/>
        <v>0</v>
      </c>
      <c r="F896" s="3" t="str">
        <f t="shared" si="134"/>
        <v>30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10</v>
      </c>
      <c r="J896" s="3" t="str">
        <f t="shared" si="123"/>
        <v>10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150</v>
      </c>
      <c r="E899" s="3" t="str">
        <f t="shared" si="137"/>
        <v>1500</v>
      </c>
      <c r="F899" s="3" t="str">
        <f t="shared" si="137"/>
        <v>900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750</v>
      </c>
      <c r="J899" s="3" t="str">
        <f t="shared" si="123"/>
        <v>750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20</v>
      </c>
      <c r="E900" s="3" t="str">
        <f t="shared" si="138"/>
        <v>0</v>
      </c>
      <c r="F900" s="3" t="str">
        <f t="shared" si="138"/>
        <v>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20</v>
      </c>
      <c r="J900" s="3" t="str">
        <f t="shared" si="123"/>
        <v>20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210</v>
      </c>
      <c r="E901" s="3" t="str">
        <f t="shared" si="139"/>
        <v>70</v>
      </c>
      <c r="F901" s="3" t="str">
        <f t="shared" si="139"/>
        <v>197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83</v>
      </c>
      <c r="J901" s="3" t="str">
        <f t="shared" si="123"/>
        <v>83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277</v>
      </c>
      <c r="E902" s="3" t="str">
        <f t="shared" si="140"/>
        <v>140</v>
      </c>
      <c r="F902" s="3" t="str">
        <f t="shared" si="140"/>
        <v>276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141</v>
      </c>
      <c r="J902" s="3" t="str">
        <f t="shared" si="123"/>
        <v>141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442</v>
      </c>
      <c r="E903" s="3" t="str">
        <f t="shared" si="141"/>
        <v>480</v>
      </c>
      <c r="F903" s="3" t="str">
        <f t="shared" si="141"/>
        <v>346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576</v>
      </c>
      <c r="J903" s="3" t="str">
        <f t="shared" si="123"/>
        <v>576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480</v>
      </c>
      <c r="E904" s="3" t="str">
        <f t="shared" si="142"/>
        <v>240</v>
      </c>
      <c r="F904" s="3" t="str">
        <f t="shared" si="142"/>
        <v>302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418</v>
      </c>
      <c r="J904" s="3" t="str">
        <f t="shared" si="123"/>
        <v>418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730</v>
      </c>
      <c r="E905" s="3" t="str">
        <f t="shared" si="143"/>
        <v>390</v>
      </c>
      <c r="F905" s="3" t="str">
        <f t="shared" si="143"/>
        <v>422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698</v>
      </c>
      <c r="J905" s="3" t="str">
        <f t="shared" si="123"/>
        <v>698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390</v>
      </c>
      <c r="E906" s="3" t="str">
        <f t="shared" si="144"/>
        <v>130</v>
      </c>
      <c r="F906" s="3" t="str">
        <f t="shared" si="144"/>
        <v>110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410</v>
      </c>
      <c r="J906" s="3" t="str">
        <f t="shared" si="123"/>
        <v>410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9</v>
      </c>
      <c r="E907" s="3" t="str">
        <f t="shared" si="145"/>
        <v>70</v>
      </c>
      <c r="F907" s="3" t="str">
        <f t="shared" si="145"/>
        <v>8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71</v>
      </c>
      <c r="J907" s="3" t="str">
        <f t="shared" si="123"/>
        <v>71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158</v>
      </c>
      <c r="E908" s="3" t="str">
        <f t="shared" si="146"/>
        <v>210</v>
      </c>
      <c r="F908" s="3" t="str">
        <f t="shared" si="146"/>
        <v>109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259</v>
      </c>
      <c r="J908" s="3" t="str">
        <f t="shared" si="123"/>
        <v>259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123</v>
      </c>
      <c r="E909" s="3" t="str">
        <f t="shared" si="147"/>
        <v>120</v>
      </c>
      <c r="F909" s="3" t="str">
        <f t="shared" si="147"/>
        <v>115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128</v>
      </c>
      <c r="J909" s="3" t="str">
        <f t="shared" si="123"/>
        <v>128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150</v>
      </c>
      <c r="E910" s="3" t="str">
        <f t="shared" si="148"/>
        <v>0</v>
      </c>
      <c r="F910" s="3" t="str">
        <f t="shared" si="148"/>
        <v>48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98</v>
      </c>
      <c r="J910" s="3" t="str">
        <f t="shared" si="123"/>
        <v>102</v>
      </c>
      <c r="K910" s="27" t="str">
        <f t="shared" si="124"/>
        <v>Closing stock Not Correct-Problem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60</v>
      </c>
      <c r="E911" s="3" t="str">
        <f t="shared" si="149"/>
        <v>0</v>
      </c>
      <c r="F911" s="3" t="str">
        <f t="shared" si="149"/>
        <v>0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60</v>
      </c>
      <c r="J911" s="3" t="str">
        <f t="shared" si="123"/>
        <v>60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341</v>
      </c>
      <c r="E912" s="3" t="str">
        <f t="shared" si="150"/>
        <v>0</v>
      </c>
      <c r="F912" s="3" t="str">
        <f t="shared" si="150"/>
        <v>66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275</v>
      </c>
      <c r="J912" s="3" t="str">
        <f t="shared" si="123"/>
        <v>275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421</v>
      </c>
      <c r="E913" s="3" t="str">
        <f t="shared" si="151"/>
        <v>0</v>
      </c>
      <c r="F913" s="3" t="str">
        <f t="shared" si="151"/>
        <v>260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161</v>
      </c>
      <c r="J913" s="3" t="str">
        <f t="shared" si="123"/>
        <v>161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278</v>
      </c>
      <c r="E914" s="3" t="str">
        <f t="shared" si="152"/>
        <v>0</v>
      </c>
      <c r="F914" s="3" t="str">
        <f t="shared" si="152"/>
        <v>61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217</v>
      </c>
      <c r="J914" s="3" t="str">
        <f t="shared" si="123"/>
        <v>217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240</v>
      </c>
      <c r="E916" s="3" t="str">
        <f t="shared" si="154"/>
        <v>130</v>
      </c>
      <c r="F916" s="3" t="str">
        <f t="shared" si="154"/>
        <v>144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226</v>
      </c>
      <c r="J916" s="3" t="str">
        <f t="shared" si="123"/>
        <v>226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22</v>
      </c>
      <c r="E917" s="3" t="str">
        <f t="shared" si="155"/>
        <v>55</v>
      </c>
      <c r="F917" s="3" t="str">
        <f t="shared" si="155"/>
        <v>22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55</v>
      </c>
      <c r="J917" s="3" t="str">
        <f t="shared" si="123"/>
        <v>55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215</v>
      </c>
      <c r="E918" s="3" t="str">
        <f t="shared" si="156"/>
        <v>60</v>
      </c>
      <c r="F918" s="3" t="str">
        <f t="shared" si="156"/>
        <v>52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223</v>
      </c>
      <c r="J918" s="3" t="str">
        <f t="shared" si="123"/>
        <v>223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418</v>
      </c>
      <c r="E919" s="3" t="str">
        <f t="shared" si="157"/>
        <v>130</v>
      </c>
      <c r="F919" s="3" t="str">
        <f t="shared" si="157"/>
        <v>104</v>
      </c>
      <c r="G919" s="3" t="str">
        <f t="shared" si="157"/>
        <v>18</v>
      </c>
      <c r="H919" s="3" t="str">
        <f t="shared" si="157"/>
        <v>0</v>
      </c>
      <c r="I919" s="3" t="str">
        <f t="shared" si="157"/>
        <v>426</v>
      </c>
      <c r="J919" s="3" t="str">
        <f t="shared" si="123"/>
        <v>426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85</v>
      </c>
      <c r="E920" s="3" t="str">
        <f t="shared" si="158"/>
        <v>0</v>
      </c>
      <c r="F920" s="3" t="str">
        <f t="shared" si="158"/>
        <v>15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70</v>
      </c>
      <c r="J920" s="3" t="str">
        <f t="shared" si="123"/>
        <v>70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121</v>
      </c>
      <c r="E921" s="3" t="str">
        <f t="shared" si="159"/>
        <v>165</v>
      </c>
      <c r="F921" s="3" t="str">
        <f t="shared" si="159"/>
        <v>88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196</v>
      </c>
      <c r="J921" s="3" t="str">
        <f t="shared" si="123"/>
        <v>198</v>
      </c>
      <c r="K921" s="27" t="str">
        <f t="shared" si="124"/>
        <v>Closing stock Not Correct-Problem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55</v>
      </c>
      <c r="E922" s="3" t="str">
        <f t="shared" si="160"/>
        <v>0</v>
      </c>
      <c r="F922" s="3" t="str">
        <f t="shared" si="160"/>
        <v>55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0</v>
      </c>
      <c r="J922" s="3" t="str">
        <f t="shared" si="123"/>
        <v>0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2326</v>
      </c>
      <c r="E923" s="3" t="str">
        <f t="shared" si="161"/>
        <v>5500</v>
      </c>
      <c r="F923" s="3" t="str">
        <f t="shared" si="161"/>
        <v>3223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4603</v>
      </c>
      <c r="J923" s="3" t="str">
        <f t="shared" si="123"/>
        <v>4603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2810</v>
      </c>
      <c r="E924" s="3" t="str">
        <f t="shared" si="162"/>
        <v>2310</v>
      </c>
      <c r="F924" s="3" t="str">
        <f t="shared" si="162"/>
        <v>2566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2554</v>
      </c>
      <c r="J924" s="3" t="str">
        <f t="shared" si="123"/>
        <v>2554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2979</v>
      </c>
      <c r="E925" s="3" t="str">
        <f t="shared" si="163"/>
        <v>1260</v>
      </c>
      <c r="F925" s="3" t="str">
        <f t="shared" si="163"/>
        <v>2663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1576</v>
      </c>
      <c r="J925" s="3" t="str">
        <f t="shared" si="123"/>
        <v>1576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606</v>
      </c>
      <c r="E927" s="3" t="str">
        <f t="shared" si="165"/>
        <v>440</v>
      </c>
      <c r="F927" s="3" t="str">
        <f t="shared" si="165"/>
        <v>329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717</v>
      </c>
      <c r="J927" s="3" t="str">
        <f t="shared" si="123"/>
        <v>717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100</v>
      </c>
      <c r="E928" s="3" t="str">
        <f t="shared" si="166"/>
        <v>200</v>
      </c>
      <c r="F928" s="3" t="str">
        <f t="shared" si="166"/>
        <v>190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110</v>
      </c>
      <c r="J928" s="3" t="str">
        <f t="shared" si="123"/>
        <v>110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36</v>
      </c>
      <c r="E931" s="3" t="str">
        <f t="shared" si="169"/>
        <v>60</v>
      </c>
      <c r="F931" s="3" t="str">
        <f t="shared" si="169"/>
        <v>36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60</v>
      </c>
      <c r="J931" s="3" t="str">
        <f t="shared" si="123"/>
        <v>60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1123396.38</v>
      </c>
      <c r="E946" s="3" t="str">
        <f t="shared" si="184"/>
        <v>915385.55</v>
      </c>
      <c r="F946" s="3" t="str">
        <f t="shared" si="184"/>
        <v>920588.99</v>
      </c>
      <c r="G946" s="3" t="str">
        <f t="shared" si="184"/>
        <v>1446.48</v>
      </c>
      <c r="H946" s="3" t="str">
        <f t="shared" si="184"/>
        <v>0</v>
      </c>
      <c r="I946" s="3" t="str">
        <f t="shared" si="184"/>
        <v>1116233.68</v>
      </c>
      <c r="J946" s="3" t="str">
        <f t="shared" si="123"/>
        <v>1116746.46</v>
      </c>
      <c r="K946" s="27" t="str">
        <f t="shared" si="124"/>
        <v>Closing stock Not Correct-Problem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Check Once Sales quantity or Value Problem</v>
      </c>
      <c r="P946" s="3" t="str">
        <f t="shared" si="129"/>
        <v>Check Once Closing quantity or Value Problem</v>
      </c>
    </row>
  </sheetData>
  <mergeCells count="40">
    <mergeCell ref="K652:P652"/>
    <mergeCell ref="G652:H652"/>
    <mergeCell ref="K475:P475"/>
    <mergeCell ref="G475:H475"/>
    <mergeCell ref="K770:P770"/>
    <mergeCell ref="G711:H711"/>
    <mergeCell ref="K711:P711"/>
    <mergeCell ref="K593:P593"/>
    <mergeCell ref="K534:P534"/>
    <mergeCell ref="G770:H770"/>
    <mergeCell ref="G534:H534"/>
    <mergeCell ref="G593:H593"/>
    <mergeCell ref="K829:P829"/>
    <mergeCell ref="G829:H829"/>
    <mergeCell ref="G357:H357"/>
    <mergeCell ref="C416:D416"/>
    <mergeCell ref="C357:D357"/>
    <mergeCell ref="G298:H298"/>
    <mergeCell ref="C475:D475"/>
    <mergeCell ref="C534:D534"/>
    <mergeCell ref="G416:H416"/>
    <mergeCell ref="C298:D298"/>
    <mergeCell ref="C121:D121"/>
    <mergeCell ref="K121:P121"/>
    <mergeCell ref="G121:H121"/>
    <mergeCell ref="K357:P357"/>
    <mergeCell ref="K298:P298"/>
    <mergeCell ref="K416:P416"/>
    <mergeCell ref="K888:P888"/>
    <mergeCell ref="G888:H888"/>
    <mergeCell ref="K180:P180"/>
    <mergeCell ref="G180:H180"/>
    <mergeCell ref="K239:P239"/>
    <mergeCell ref="C180:D180"/>
    <mergeCell ref="G3:H3"/>
    <mergeCell ref="K62:P62"/>
    <mergeCell ref="C239:D239"/>
    <mergeCell ref="G239:H239"/>
    <mergeCell ref="K3:P3"/>
    <mergeCell ref="G62:H62"/>
  </mergeCells>
  <conditionalFormatting sqref="F773:F800">
    <cfRule type="containsText" dxfId="0" priority="1" operator="containsText" text="Problem">
      <formula>NOT(ISERROR(SEARCH(("Problem"),(F773))))</formula>
    </cfRule>
  </conditionalFormatting>
  <conditionalFormatting sqref="F773:F800">
    <cfRule type="containsText" dxfId="0" priority="2" operator="containsText" text="Problem">
      <formula>NOT(ISERROR(SEARCH(("Problem"),(F773))))</formula>
    </cfRule>
  </conditionalFormatting>
  <conditionalFormatting sqref="F773:F800">
    <cfRule type="containsText" dxfId="0" priority="3" operator="containsText" text="Problem">
      <formula>NOT(ISERROR(SEARCH(("Problem"),(F773))))</formula>
    </cfRule>
  </conditionalFormatting>
  <conditionalFormatting sqref="F596:F623">
    <cfRule type="containsText" dxfId="0" priority="4" operator="containsText" text="Problem">
      <formula>NOT(ISERROR(SEARCH(("Problem"),(F596))))</formula>
    </cfRule>
  </conditionalFormatting>
  <conditionalFormatting sqref="F596:F623">
    <cfRule type="containsText" dxfId="0" priority="5" operator="containsText" text="Problem">
      <formula>NOT(ISERROR(SEARCH(("Problem"),(F596))))</formula>
    </cfRule>
  </conditionalFormatting>
  <conditionalFormatting sqref="F596:F623">
    <cfRule type="containsText" dxfId="0" priority="6" operator="containsText" text="Problem">
      <formula>NOT(ISERROR(SEARCH(("Problem"),(F596))))</formula>
    </cfRule>
  </conditionalFormatting>
  <conditionalFormatting sqref="E359">
    <cfRule type="containsText" dxfId="0" priority="7" operator="containsText" text="Problem">
      <formula>NOT(ISERROR(SEARCH(("Problem"),(E359))))</formula>
    </cfRule>
  </conditionalFormatting>
  <conditionalFormatting sqref="E359">
    <cfRule type="containsText" dxfId="0" priority="8" operator="containsText" text="Problem">
      <formula>NOT(ISERROR(SEARCH(("Problem"),(E359))))</formula>
    </cfRule>
  </conditionalFormatting>
  <conditionalFormatting sqref="E359">
    <cfRule type="containsText" dxfId="0" priority="9" operator="containsText" text="Problem">
      <formula>NOT(ISERROR(SEARCH(("Problem"),(E359))))</formula>
    </cfRule>
  </conditionalFormatting>
  <conditionalFormatting sqref="E182">
    <cfRule type="containsText" dxfId="0" priority="10" operator="containsText" text="Problem">
      <formula>NOT(ISERROR(SEARCH(("Problem"),(E182))))</formula>
    </cfRule>
  </conditionalFormatting>
  <conditionalFormatting sqref="E182">
    <cfRule type="containsText" dxfId="0" priority="11" operator="containsText" text="Problem">
      <formula>NOT(ISERROR(SEARCH(("Problem"),(E182))))</formula>
    </cfRule>
  </conditionalFormatting>
  <conditionalFormatting sqref="E182">
    <cfRule type="containsText" dxfId="0" priority="12" operator="containsText" text="Problem">
      <formula>NOT(ISERROR(SEARCH(("Problem"),(E182))))</formula>
    </cfRule>
  </conditionalFormatting>
  <conditionalFormatting sqref="A182:A237">
    <cfRule type="containsText" dxfId="0" priority="13" operator="containsText" text="Problem">
      <formula>NOT(ISERROR(SEARCH(("Problem"),(A182))))</formula>
    </cfRule>
  </conditionalFormatting>
  <conditionalFormatting sqref="A182:A237">
    <cfRule type="containsText" dxfId="0" priority="14" operator="containsText" text="Problem">
      <formula>NOT(ISERROR(SEARCH(("Problem"),(A182))))</formula>
    </cfRule>
  </conditionalFormatting>
  <conditionalFormatting sqref="A182:A237">
    <cfRule type="containsText" dxfId="0" priority="15" operator="containsText" text="Problem">
      <formula>NOT(ISERROR(SEARCH(("Problem"),(A182))))</formula>
    </cfRule>
  </conditionalFormatting>
  <conditionalFormatting sqref="F772">
    <cfRule type="containsText" dxfId="0" priority="16" operator="containsText" text="Problem">
      <formula>NOT(ISERROR(SEARCH(("Problem"),(F772))))</formula>
    </cfRule>
  </conditionalFormatting>
  <conditionalFormatting sqref="F772">
    <cfRule type="containsText" dxfId="0" priority="17" operator="containsText" text="Problem">
      <formula>NOT(ISERROR(SEARCH(("Problem"),(F772))))</formula>
    </cfRule>
  </conditionalFormatting>
  <conditionalFormatting sqref="F772">
    <cfRule type="containsText" dxfId="0" priority="18" operator="containsText" text="Problem">
      <formula>NOT(ISERROR(SEARCH(("Problem"),(F772))))</formula>
    </cfRule>
  </conditionalFormatting>
  <conditionalFormatting sqref="F713">
    <cfRule type="containsText" dxfId="0" priority="19" operator="containsText" text="Problem">
      <formula>NOT(ISERROR(SEARCH(("Problem"),(F713))))</formula>
    </cfRule>
  </conditionalFormatting>
  <conditionalFormatting sqref="F713">
    <cfRule type="containsText" dxfId="0" priority="20" operator="containsText" text="Problem">
      <formula>NOT(ISERROR(SEARCH(("Problem"),(F713))))</formula>
    </cfRule>
  </conditionalFormatting>
  <conditionalFormatting sqref="F713">
    <cfRule type="containsText" dxfId="0" priority="21" operator="containsText" text="Problem">
      <formula>NOT(ISERROR(SEARCH(("Problem"),(F713))))</formula>
    </cfRule>
  </conditionalFormatting>
  <conditionalFormatting sqref="D5">
    <cfRule type="containsText" dxfId="0" priority="22" operator="containsText" text="Problem">
      <formula>NOT(ISERROR(SEARCH(("Problem"),(D5))))</formula>
    </cfRule>
  </conditionalFormatting>
  <conditionalFormatting sqref="D5">
    <cfRule type="containsText" dxfId="0" priority="23" operator="containsText" text="Problem">
      <formula>NOT(ISERROR(SEARCH(("Problem"),(D5))))</formula>
    </cfRule>
  </conditionalFormatting>
  <conditionalFormatting sqref="D5">
    <cfRule type="containsText" dxfId="0" priority="24" operator="containsText" text="Problem">
      <formula>NOT(ISERROR(SEARCH(("Problem"),(D5))))</formula>
    </cfRule>
  </conditionalFormatting>
  <conditionalFormatting sqref="H537:H564">
    <cfRule type="containsText" dxfId="0" priority="25" operator="containsText" text="Problem">
      <formula>NOT(ISERROR(SEARCH(("Problem"),(H537))))</formula>
    </cfRule>
  </conditionalFormatting>
  <conditionalFormatting sqref="H537:H564">
    <cfRule type="containsText" dxfId="0" priority="26" operator="containsText" text="Problem">
      <formula>NOT(ISERROR(SEARCH(("Problem"),(H537))))</formula>
    </cfRule>
  </conditionalFormatting>
  <conditionalFormatting sqref="H537:H564">
    <cfRule type="containsText" dxfId="0" priority="27" operator="containsText" text="Problem">
      <formula>NOT(ISERROR(SEARCH(("Problem"),(H537))))</formula>
    </cfRule>
  </conditionalFormatting>
  <conditionalFormatting sqref="G537:G564">
    <cfRule type="containsText" dxfId="0" priority="28" operator="containsText" text="Problem">
      <formula>NOT(ISERROR(SEARCH(("Problem"),(G537))))</formula>
    </cfRule>
  </conditionalFormatting>
  <conditionalFormatting sqref="G537:G564">
    <cfRule type="containsText" dxfId="0" priority="29" operator="containsText" text="Problem">
      <formula>NOT(ISERROR(SEARCH(("Problem"),(G537))))</formula>
    </cfRule>
  </conditionalFormatting>
  <conditionalFormatting sqref="G537:G564">
    <cfRule type="containsText" dxfId="0" priority="30" operator="containsText" text="Problem">
      <formula>NOT(ISERROR(SEARCH(("Problem"),(G537))))</formula>
    </cfRule>
  </conditionalFormatting>
  <conditionalFormatting sqref="H5">
    <cfRule type="containsText" dxfId="0" priority="31" operator="containsText" text="Problem">
      <formula>NOT(ISERROR(SEARCH(("Problem"),(H5))))</formula>
    </cfRule>
  </conditionalFormatting>
  <conditionalFormatting sqref="H5">
    <cfRule type="containsText" dxfId="0" priority="32" operator="containsText" text="Problem">
      <formula>NOT(ISERROR(SEARCH(("Problem"),(H5))))</formula>
    </cfRule>
  </conditionalFormatting>
  <conditionalFormatting sqref="H5">
    <cfRule type="containsText" dxfId="0" priority="33" operator="containsText" text="Problem">
      <formula>NOT(ISERROR(SEARCH(("Problem"),(H5))))</formula>
    </cfRule>
  </conditionalFormatting>
  <conditionalFormatting sqref="G832:G859">
    <cfRule type="containsText" dxfId="0" priority="34" operator="containsText" text="Problem">
      <formula>NOT(ISERROR(SEARCH(("Problem"),(G832))))</formula>
    </cfRule>
  </conditionalFormatting>
  <conditionalFormatting sqref="G832:G859">
    <cfRule type="containsText" dxfId="0" priority="35" operator="containsText" text="Problem">
      <formula>NOT(ISERROR(SEARCH(("Problem"),(G832))))</formula>
    </cfRule>
  </conditionalFormatting>
  <conditionalFormatting sqref="G832:G859">
    <cfRule type="containsText" dxfId="0" priority="36" operator="containsText" text="Problem">
      <formula>NOT(ISERROR(SEARCH(("Problem"),(G832))))</formula>
    </cfRule>
  </conditionalFormatting>
  <conditionalFormatting sqref="C888">
    <cfRule type="containsText" dxfId="0" priority="37" operator="containsText" text="Problem">
      <formula>NOT(ISERROR(SEARCH(("Problem"),(C888))))</formula>
    </cfRule>
  </conditionalFormatting>
  <conditionalFormatting sqref="C888">
    <cfRule type="containsText" dxfId="0" priority="38" operator="containsText" text="Problem">
      <formula>NOT(ISERROR(SEARCH(("Problem"),(C888))))</formula>
    </cfRule>
  </conditionalFormatting>
  <conditionalFormatting sqref="C888">
    <cfRule type="containsText" dxfId="0" priority="39" operator="containsText" text="Problem">
      <formula>NOT(ISERROR(SEARCH(("Problem"),(C888))))</formula>
    </cfRule>
  </conditionalFormatting>
  <conditionalFormatting sqref="H418">
    <cfRule type="containsText" dxfId="0" priority="40" operator="containsText" text="Problem">
      <formula>NOT(ISERROR(SEARCH(("Problem"),(H418))))</formula>
    </cfRule>
  </conditionalFormatting>
  <conditionalFormatting sqref="H418">
    <cfRule type="containsText" dxfId="0" priority="41" operator="containsText" text="Problem">
      <formula>NOT(ISERROR(SEARCH(("Problem"),(H418))))</formula>
    </cfRule>
  </conditionalFormatting>
  <conditionalFormatting sqref="H418">
    <cfRule type="containsText" dxfId="0" priority="42" operator="containsText" text="Problem">
      <formula>NOT(ISERROR(SEARCH(("Problem"),(H418))))</formula>
    </cfRule>
  </conditionalFormatting>
  <conditionalFormatting sqref="I242:I269">
    <cfRule type="containsText" dxfId="0" priority="43" operator="containsText" text="Problem">
      <formula>NOT(ISERROR(SEARCH(("Problem"),(I242))))</formula>
    </cfRule>
  </conditionalFormatting>
  <conditionalFormatting sqref="I242:I269">
    <cfRule type="containsText" dxfId="0" priority="44" operator="containsText" text="Problem">
      <formula>NOT(ISERROR(SEARCH(("Problem"),(I242))))</formula>
    </cfRule>
  </conditionalFormatting>
  <conditionalFormatting sqref="I242:I269">
    <cfRule type="containsText" dxfId="0" priority="45" operator="containsText" text="Problem">
      <formula>NOT(ISERROR(SEARCH(("Problem"),(I242))))</formula>
    </cfRule>
  </conditionalFormatting>
  <conditionalFormatting sqref="I242:I269">
    <cfRule type="containsText" dxfId="0" priority="46" operator="containsText" text="Problem">
      <formula>NOT(ISERROR(SEARCH(("Problem"),(I242))))</formula>
    </cfRule>
  </conditionalFormatting>
  <conditionalFormatting sqref="D6:D34">
    <cfRule type="containsText" dxfId="0" priority="47" operator="containsText" text="Problem">
      <formula>NOT(ISERROR(SEARCH(("Problem"),(D6))))</formula>
    </cfRule>
  </conditionalFormatting>
  <conditionalFormatting sqref="D6:D34">
    <cfRule type="containsText" dxfId="0" priority="48" operator="containsText" text="Problem">
      <formula>NOT(ISERROR(SEARCH(("Problem"),(D6))))</formula>
    </cfRule>
  </conditionalFormatting>
  <conditionalFormatting sqref="D6:D34">
    <cfRule type="containsText" dxfId="0" priority="49" operator="containsText" text="Problem">
      <formula>NOT(ISERROR(SEARCH(("Problem"),(D6))))</formula>
    </cfRule>
  </conditionalFormatting>
  <conditionalFormatting sqref="D6:D34">
    <cfRule type="containsText" dxfId="0" priority="50" operator="containsText" text="Problem">
      <formula>NOT(ISERROR(SEARCH(("Problem"),(D6))))</formula>
    </cfRule>
  </conditionalFormatting>
  <conditionalFormatting sqref="D6:D34">
    <cfRule type="containsText" dxfId="0" priority="51" operator="containsText" text="Problem">
      <formula>NOT(ISERROR(SEARCH(("Problem"),(D6))))</formula>
    </cfRule>
  </conditionalFormatting>
  <conditionalFormatting sqref="D6:D34">
    <cfRule type="containsText" dxfId="0" priority="52" operator="containsText" text="Problem">
      <formula>NOT(ISERROR(SEARCH(("Problem"),(D6))))</formula>
    </cfRule>
  </conditionalFormatting>
  <conditionalFormatting sqref="D528:D530">
    <cfRule type="containsText" dxfId="0" priority="53" operator="containsText" text="Problem">
      <formula>NOT(ISERROR(SEARCH(("Problem"),(D528))))</formula>
    </cfRule>
  </conditionalFormatting>
  <conditionalFormatting sqref="D528:D530">
    <cfRule type="containsText" dxfId="0" priority="54" operator="containsText" text="Problem">
      <formula>NOT(ISERROR(SEARCH(("Problem"),(D528))))</formula>
    </cfRule>
  </conditionalFormatting>
  <conditionalFormatting sqref="D65:D92">
    <cfRule type="containsText" dxfId="0" priority="55" operator="containsText" text="Problem">
      <formula>NOT(ISERROR(SEARCH(("Problem"),(D65))))</formula>
    </cfRule>
  </conditionalFormatting>
  <conditionalFormatting sqref="D65:D92">
    <cfRule type="containsText" dxfId="0" priority="56" operator="containsText" text="Problem">
      <formula>NOT(ISERROR(SEARCH(("Problem"),(D65))))</formula>
    </cfRule>
  </conditionalFormatting>
  <conditionalFormatting sqref="D65:D92">
    <cfRule type="containsText" dxfId="0" priority="57" operator="containsText" text="Problem">
      <formula>NOT(ISERROR(SEARCH(("Problem"),(D65))))</formula>
    </cfRule>
  </conditionalFormatting>
  <conditionalFormatting sqref="F654">
    <cfRule type="containsText" dxfId="0" priority="58" operator="containsText" text="Problem">
      <formula>NOT(ISERROR(SEARCH(("Problem"),(F654))))</formula>
    </cfRule>
  </conditionalFormatting>
  <conditionalFormatting sqref="F654">
    <cfRule type="containsText" dxfId="0" priority="59" operator="containsText" text="Problem">
      <formula>NOT(ISERROR(SEARCH(("Problem"),(F654))))</formula>
    </cfRule>
  </conditionalFormatting>
  <conditionalFormatting sqref="F654">
    <cfRule type="containsText" dxfId="0" priority="60" operator="containsText" text="Problem">
      <formula>NOT(ISERROR(SEARCH(("Problem"),(F654))))</formula>
    </cfRule>
  </conditionalFormatting>
  <conditionalFormatting sqref="E124:E151">
    <cfRule type="containsText" dxfId="0" priority="61" operator="containsText" text="Problem">
      <formula>NOT(ISERROR(SEARCH(("Problem"),(E124))))</formula>
    </cfRule>
  </conditionalFormatting>
  <conditionalFormatting sqref="E124:E151">
    <cfRule type="containsText" dxfId="0" priority="62" operator="containsText" text="Problem">
      <formula>NOT(ISERROR(SEARCH(("Problem"),(E124))))</formula>
    </cfRule>
  </conditionalFormatting>
  <conditionalFormatting sqref="E124:E151">
    <cfRule type="containsText" dxfId="0" priority="63" operator="containsText" text="Problem">
      <formula>NOT(ISERROR(SEARCH(("Problem"),(E124))))</formula>
    </cfRule>
  </conditionalFormatting>
  <conditionalFormatting sqref="E183:E210">
    <cfRule type="containsText" dxfId="0" priority="64" operator="containsText" text="Problem">
      <formula>NOT(ISERROR(SEARCH(("Problem"),(E183))))</formula>
    </cfRule>
  </conditionalFormatting>
  <conditionalFormatting sqref="E183:E210">
    <cfRule type="containsText" dxfId="0" priority="65" operator="containsText" text="Problem">
      <formula>NOT(ISERROR(SEARCH(("Problem"),(E183))))</formula>
    </cfRule>
  </conditionalFormatting>
  <conditionalFormatting sqref="E183:E210">
    <cfRule type="containsText" dxfId="0" priority="66" operator="containsText" text="Problem">
      <formula>NOT(ISERROR(SEARCH(("Problem"),(E183))))</formula>
    </cfRule>
  </conditionalFormatting>
  <conditionalFormatting sqref="A241:A296">
    <cfRule type="containsText" dxfId="0" priority="67" operator="containsText" text="Problem">
      <formula>NOT(ISERROR(SEARCH(("Problem"),(A241))))</formula>
    </cfRule>
  </conditionalFormatting>
  <conditionalFormatting sqref="A241:A296">
    <cfRule type="containsText" dxfId="0" priority="68" operator="containsText" text="Problem">
      <formula>NOT(ISERROR(SEARCH(("Problem"),(A241))))</formula>
    </cfRule>
  </conditionalFormatting>
  <conditionalFormatting sqref="A241:A296">
    <cfRule type="containsText" dxfId="0" priority="69" operator="containsText" text="Problem">
      <formula>NOT(ISERROR(SEARCH(("Problem"),(A241))))</formula>
    </cfRule>
  </conditionalFormatting>
  <conditionalFormatting sqref="H596:H623">
    <cfRule type="containsText" dxfId="0" priority="70" operator="containsText" text="Problem">
      <formula>NOT(ISERROR(SEARCH(("Problem"),(H596))))</formula>
    </cfRule>
  </conditionalFormatting>
  <conditionalFormatting sqref="H596:H623">
    <cfRule type="containsText" dxfId="0" priority="71" operator="containsText" text="Problem">
      <formula>NOT(ISERROR(SEARCH(("Problem"),(H596))))</formula>
    </cfRule>
  </conditionalFormatting>
  <conditionalFormatting sqref="H596:H623">
    <cfRule type="containsText" dxfId="0" priority="72" operator="containsText" text="Problem">
      <formula>NOT(ISERROR(SEARCH(("Problem"),(H596))))</formula>
    </cfRule>
  </conditionalFormatting>
  <conditionalFormatting sqref="D118:D119 E93:H119">
    <cfRule type="containsText" dxfId="0" priority="73" operator="containsText" text="Problem">
      <formula>NOT(ISERROR(SEARCH(("Problem"),(D118))))</formula>
    </cfRule>
  </conditionalFormatting>
  <conditionalFormatting sqref="D118:D119 E93:H119">
    <cfRule type="containsText" dxfId="0" priority="74" operator="containsText" text="Problem">
      <formula>NOT(ISERROR(SEARCH(("Problem"),(D118))))</formula>
    </cfRule>
  </conditionalFormatting>
  <conditionalFormatting sqref="D118:D119 E93:H119">
    <cfRule type="containsText" dxfId="0" priority="75" operator="containsText" text="Problem">
      <formula>NOT(ISERROR(SEARCH(("Problem"),(D118))))</formula>
    </cfRule>
  </conditionalFormatting>
  <conditionalFormatting sqref="F832:F859">
    <cfRule type="containsText" dxfId="0" priority="76" operator="containsText" text="Problem">
      <formula>NOT(ISERROR(SEARCH(("Problem"),(F832))))</formula>
    </cfRule>
  </conditionalFormatting>
  <conditionalFormatting sqref="F832:F859">
    <cfRule type="containsText" dxfId="0" priority="77" operator="containsText" text="Problem">
      <formula>NOT(ISERROR(SEARCH(("Problem"),(F832))))</formula>
    </cfRule>
  </conditionalFormatting>
  <conditionalFormatting sqref="F832:F859">
    <cfRule type="containsText" dxfId="0" priority="78" operator="containsText" text="Problem">
      <formula>NOT(ISERROR(SEARCH(("Problem"),(F832))))</formula>
    </cfRule>
  </conditionalFormatting>
  <conditionalFormatting sqref="F183:F210">
    <cfRule type="containsText" dxfId="0" priority="79" operator="containsText" text="Problem">
      <formula>NOT(ISERROR(SEARCH(("Problem"),(F183))))</formula>
    </cfRule>
  </conditionalFormatting>
  <conditionalFormatting sqref="F183:F210">
    <cfRule type="containsText" dxfId="0" priority="80" operator="containsText" text="Problem">
      <formula>NOT(ISERROR(SEARCH(("Problem"),(F183))))</formula>
    </cfRule>
  </conditionalFormatting>
  <conditionalFormatting sqref="F183:F210">
    <cfRule type="containsText" dxfId="0" priority="81" operator="containsText" text="Problem">
      <formula>NOT(ISERROR(SEARCH(("Problem"),(F183))))</formula>
    </cfRule>
  </conditionalFormatting>
  <conditionalFormatting sqref="C711 E711:I711">
    <cfRule type="containsText" dxfId="0" priority="82" operator="containsText" text="Problem">
      <formula>NOT(ISERROR(SEARCH(("Problem"),(C711))))</formula>
    </cfRule>
  </conditionalFormatting>
  <conditionalFormatting sqref="C711 E711:I711">
    <cfRule type="containsText" dxfId="0" priority="83" operator="containsText" text="Problem">
      <formula>NOT(ISERROR(SEARCH(("Problem"),(C711))))</formula>
    </cfRule>
  </conditionalFormatting>
  <conditionalFormatting sqref="C711 E711:I711">
    <cfRule type="containsText" dxfId="0" priority="84" operator="containsText" text="Problem">
      <formula>NOT(ISERROR(SEARCH(("Problem"),(C711))))</formula>
    </cfRule>
  </conditionalFormatting>
  <conditionalFormatting sqref="G359">
    <cfRule type="containsText" dxfId="0" priority="85" operator="containsText" text="Problem">
      <formula>NOT(ISERROR(SEARCH(("Problem"),(G359))))</formula>
    </cfRule>
  </conditionalFormatting>
  <conditionalFormatting sqref="G359">
    <cfRule type="containsText" dxfId="0" priority="86" operator="containsText" text="Problem">
      <formula>NOT(ISERROR(SEARCH(("Problem"),(G359))))</formula>
    </cfRule>
  </conditionalFormatting>
  <conditionalFormatting sqref="G359">
    <cfRule type="containsText" dxfId="0" priority="87" operator="containsText" text="Problem">
      <formula>NOT(ISERROR(SEARCH(("Problem"),(G359))))</formula>
    </cfRule>
  </conditionalFormatting>
  <conditionalFormatting sqref="F5">
    <cfRule type="containsText" dxfId="0" priority="88" operator="containsText" text="Problem">
      <formula>NOT(ISERROR(SEARCH(("Problem"),(F5))))</formula>
    </cfRule>
  </conditionalFormatting>
  <conditionalFormatting sqref="F5">
    <cfRule type="containsText" dxfId="0" priority="89" operator="containsText" text="Problem">
      <formula>NOT(ISERROR(SEARCH(("Problem"),(F5))))</formula>
    </cfRule>
  </conditionalFormatting>
  <conditionalFormatting sqref="F5">
    <cfRule type="containsText" dxfId="0" priority="90" operator="containsText" text="Problem">
      <formula>NOT(ISERROR(SEARCH(("Problem"),(F5))))</formula>
    </cfRule>
  </conditionalFormatting>
  <conditionalFormatting sqref="E419:E446">
    <cfRule type="containsText" dxfId="0" priority="91" operator="containsText" text="Problem">
      <formula>NOT(ISERROR(SEARCH(("Problem"),(E419))))</formula>
    </cfRule>
  </conditionalFormatting>
  <conditionalFormatting sqref="E419:E446">
    <cfRule type="containsText" dxfId="0" priority="92" operator="containsText" text="Problem">
      <formula>NOT(ISERROR(SEARCH(("Problem"),(E419))))</formula>
    </cfRule>
  </conditionalFormatting>
  <conditionalFormatting sqref="E419:E446">
    <cfRule type="containsText" dxfId="0" priority="93" operator="containsText" text="Problem">
      <formula>NOT(ISERROR(SEARCH(("Problem"),(E419))))</formula>
    </cfRule>
  </conditionalFormatting>
  <conditionalFormatting sqref="F359">
    <cfRule type="containsText" dxfId="0" priority="94" operator="containsText" text="Problem">
      <formula>NOT(ISERROR(SEARCH(("Problem"),(F359))))</formula>
    </cfRule>
  </conditionalFormatting>
  <conditionalFormatting sqref="F359">
    <cfRule type="containsText" dxfId="0" priority="95" operator="containsText" text="Problem">
      <formula>NOT(ISERROR(SEARCH(("Problem"),(F359))))</formula>
    </cfRule>
  </conditionalFormatting>
  <conditionalFormatting sqref="F359">
    <cfRule type="containsText" dxfId="0" priority="96" operator="containsText" text="Problem">
      <formula>NOT(ISERROR(SEARCH(("Problem"),(F359))))</formula>
    </cfRule>
  </conditionalFormatting>
  <conditionalFormatting sqref="A712:I712 A769:H769 I742:I769 J712:P769">
    <cfRule type="containsText" dxfId="0" priority="97" operator="containsText" text="Problem">
      <formula>NOT(ISERROR(SEARCH(("Problem"),(A712))))</formula>
    </cfRule>
  </conditionalFormatting>
  <conditionalFormatting sqref="A712:I712 A769:H769 I742:I769 J712:P769">
    <cfRule type="containsText" dxfId="0" priority="98" operator="containsText" text="Problem">
      <formula>NOT(ISERROR(SEARCH(("Problem"),(A712))))</formula>
    </cfRule>
  </conditionalFormatting>
  <conditionalFormatting sqref="A712:I712 A769:H769 I742:I769 J712:P769">
    <cfRule type="containsText" dxfId="0" priority="99" operator="containsText" text="Problem">
      <formula>NOT(ISERROR(SEARCH(("Problem"),(A712))))</formula>
    </cfRule>
  </conditionalFormatting>
  <conditionalFormatting sqref="E595">
    <cfRule type="containsText" dxfId="0" priority="100" operator="containsText" text="Problem">
      <formula>NOT(ISERROR(SEARCH(("Problem"),(E595))))</formula>
    </cfRule>
  </conditionalFormatting>
  <conditionalFormatting sqref="E595">
    <cfRule type="containsText" dxfId="0" priority="101" operator="containsText" text="Problem">
      <formula>NOT(ISERROR(SEARCH(("Problem"),(E595))))</formula>
    </cfRule>
  </conditionalFormatting>
  <conditionalFormatting sqref="E595">
    <cfRule type="containsText" dxfId="0" priority="102" operator="containsText" text="Problem">
      <formula>NOT(ISERROR(SEARCH(("Problem"),(E595))))</formula>
    </cfRule>
  </conditionalFormatting>
  <conditionalFormatting sqref="I5">
    <cfRule type="containsText" dxfId="0" priority="103" operator="containsText" text="Problem">
      <formula>NOT(ISERROR(SEARCH(("Problem"),(I5))))</formula>
    </cfRule>
  </conditionalFormatting>
  <conditionalFormatting sqref="I5">
    <cfRule type="containsText" dxfId="0" priority="104" operator="containsText" text="Problem">
      <formula>NOT(ISERROR(SEARCH(("Problem"),(I5))))</formula>
    </cfRule>
  </conditionalFormatting>
  <conditionalFormatting sqref="I5">
    <cfRule type="containsText" dxfId="0" priority="105" operator="containsText" text="Problem">
      <formula>NOT(ISERROR(SEARCH(("Problem"),(I5))))</formula>
    </cfRule>
  </conditionalFormatting>
  <conditionalFormatting sqref="E891:I945">
    <cfRule type="containsText" dxfId="0" priority="106" operator="containsText" text="Problem">
      <formula>NOT(ISERROR(SEARCH(("Problem"),(E891))))</formula>
    </cfRule>
  </conditionalFormatting>
  <conditionalFormatting sqref="E891:I945">
    <cfRule type="containsText" dxfId="0" priority="107" operator="containsText" text="Problem">
      <formula>NOT(ISERROR(SEARCH(("Problem"),(E891))))</formula>
    </cfRule>
  </conditionalFormatting>
  <conditionalFormatting sqref="E891:I945">
    <cfRule type="containsText" dxfId="0" priority="108" operator="containsText" text="Problem">
      <formula>NOT(ISERROR(SEARCH(("Problem"),(E891))))</formula>
    </cfRule>
  </conditionalFormatting>
  <conditionalFormatting sqref="H123">
    <cfRule type="containsText" dxfId="0" priority="109" operator="containsText" text="Problem">
      <formula>NOT(ISERROR(SEARCH(("Problem"),(H123))))</formula>
    </cfRule>
  </conditionalFormatting>
  <conditionalFormatting sqref="H123">
    <cfRule type="containsText" dxfId="0" priority="110" operator="containsText" text="Problem">
      <formula>NOT(ISERROR(SEARCH(("Problem"),(H123))))</formula>
    </cfRule>
  </conditionalFormatting>
  <conditionalFormatting sqref="H123">
    <cfRule type="containsText" dxfId="0" priority="111" operator="containsText" text="Problem">
      <formula>NOT(ISERROR(SEARCH(("Problem"),(H123))))</formula>
    </cfRule>
  </conditionalFormatting>
  <conditionalFormatting sqref="D537:D539">
    <cfRule type="containsText" dxfId="0" priority="112" operator="containsText" text="Problem">
      <formula>NOT(ISERROR(SEARCH(("Problem"),(D537))))</formula>
    </cfRule>
  </conditionalFormatting>
  <conditionalFormatting sqref="D537:D539">
    <cfRule type="containsText" dxfId="0" priority="113" operator="containsText" text="Problem">
      <formula>NOT(ISERROR(SEARCH(("Problem"),(D537))))</formula>
    </cfRule>
  </conditionalFormatting>
  <conditionalFormatting sqref="D537:D539">
    <cfRule type="containsText" dxfId="0" priority="114" operator="containsText" text="Problem">
      <formula>NOT(ISERROR(SEARCH(("Problem"),(D537))))</formula>
    </cfRule>
  </conditionalFormatting>
  <conditionalFormatting sqref="I478:I505">
    <cfRule type="containsText" dxfId="0" priority="115" operator="containsText" text="Problem">
      <formula>NOT(ISERROR(SEARCH(("Problem"),(I478))))</formula>
    </cfRule>
  </conditionalFormatting>
  <conditionalFormatting sqref="I478:I505">
    <cfRule type="containsText" dxfId="0" priority="116" operator="containsText" text="Problem">
      <formula>NOT(ISERROR(SEARCH(("Problem"),(I478))))</formula>
    </cfRule>
  </conditionalFormatting>
  <conditionalFormatting sqref="I478:I505">
    <cfRule type="containsText" dxfId="0" priority="117" operator="containsText" text="Problem">
      <formula>NOT(ISERROR(SEARCH(("Problem"),(I478))))</formula>
    </cfRule>
  </conditionalFormatting>
  <conditionalFormatting sqref="I478:I505">
    <cfRule type="containsText" dxfId="0" priority="118" operator="containsText" text="Problem">
      <formula>NOT(ISERROR(SEARCH(("Problem"),(I478))))</formula>
    </cfRule>
  </conditionalFormatting>
  <conditionalFormatting sqref="E62:I62">
    <cfRule type="containsText" dxfId="0" priority="119" operator="containsText" text="Problem">
      <formula>NOT(ISERROR(SEARCH(("Problem"),(E62))))</formula>
    </cfRule>
  </conditionalFormatting>
  <conditionalFormatting sqref="E62:I62">
    <cfRule type="containsText" dxfId="0" priority="120" operator="containsText" text="Problem">
      <formula>NOT(ISERROR(SEARCH(("Problem"),(E62))))</formula>
    </cfRule>
  </conditionalFormatting>
  <conditionalFormatting sqref="E62:I62">
    <cfRule type="containsText" dxfId="0" priority="121" operator="containsText" text="Problem">
      <formula>NOT(ISERROR(SEARCH(("Problem"),(E62))))</formula>
    </cfRule>
  </conditionalFormatting>
  <conditionalFormatting sqref="A358:I358 A415:H415 I388:I415 J358:P415">
    <cfRule type="containsText" dxfId="0" priority="122" operator="containsText" text="Problem">
      <formula>NOT(ISERROR(SEARCH(("Problem"),(A358))))</formula>
    </cfRule>
  </conditionalFormatting>
  <conditionalFormatting sqref="A358:I358 A415:H415 I388:I415 J358:P415">
    <cfRule type="containsText" dxfId="0" priority="123" operator="containsText" text="Problem">
      <formula>NOT(ISERROR(SEARCH(("Problem"),(A358))))</formula>
    </cfRule>
  </conditionalFormatting>
  <conditionalFormatting sqref="A358:I358 A415:H415 I388:I415 J358:P415">
    <cfRule type="containsText" dxfId="0" priority="124" operator="containsText" text="Problem">
      <formula>NOT(ISERROR(SEARCH(("Problem"),(A358))))</formula>
    </cfRule>
  </conditionalFormatting>
  <conditionalFormatting sqref="I596:I623">
    <cfRule type="containsText" dxfId="0" priority="125" operator="containsText" text="Problem">
      <formula>NOT(ISERROR(SEARCH(("Problem"),(I596))))</formula>
    </cfRule>
  </conditionalFormatting>
  <conditionalFormatting sqref="I596:I623">
    <cfRule type="containsText" dxfId="0" priority="126" operator="containsText" text="Problem">
      <formula>NOT(ISERROR(SEARCH(("Problem"),(I596))))</formula>
    </cfRule>
  </conditionalFormatting>
  <conditionalFormatting sqref="I596:I623">
    <cfRule type="containsText" dxfId="0" priority="127" operator="containsText" text="Problem">
      <formula>NOT(ISERROR(SEARCH(("Problem"),(I596))))</formula>
    </cfRule>
  </conditionalFormatting>
  <conditionalFormatting sqref="I596:I623">
    <cfRule type="containsText" dxfId="0" priority="128" operator="containsText" text="Problem">
      <formula>NOT(ISERROR(SEARCH(("Problem"),(I596))))</formula>
    </cfRule>
  </conditionalFormatting>
  <conditionalFormatting sqref="C593 E593:I593">
    <cfRule type="containsText" dxfId="0" priority="129" operator="containsText" text="Problem">
      <formula>NOT(ISERROR(SEARCH(("Problem"),(C593))))</formula>
    </cfRule>
  </conditionalFormatting>
  <conditionalFormatting sqref="C593 E593:I593">
    <cfRule type="containsText" dxfId="0" priority="130" operator="containsText" text="Problem">
      <formula>NOT(ISERROR(SEARCH(("Problem"),(C593))))</formula>
    </cfRule>
  </conditionalFormatting>
  <conditionalFormatting sqref="C593 E593:I593">
    <cfRule type="containsText" dxfId="0" priority="131" operator="containsText" text="Problem">
      <formula>NOT(ISERROR(SEARCH(("Problem"),(C593))))</formula>
    </cfRule>
  </conditionalFormatting>
  <conditionalFormatting sqref="H359">
    <cfRule type="containsText" dxfId="0" priority="132" operator="containsText" text="Problem">
      <formula>NOT(ISERROR(SEARCH(("Problem"),(H359))))</formula>
    </cfRule>
  </conditionalFormatting>
  <conditionalFormatting sqref="H359">
    <cfRule type="containsText" dxfId="0" priority="133" operator="containsText" text="Problem">
      <formula>NOT(ISERROR(SEARCH(("Problem"),(H359))))</formula>
    </cfRule>
  </conditionalFormatting>
  <conditionalFormatting sqref="H359">
    <cfRule type="containsText" dxfId="0" priority="134" operator="containsText" text="Problem">
      <formula>NOT(ISERROR(SEARCH(("Problem"),(H359))))</formula>
    </cfRule>
  </conditionalFormatting>
  <conditionalFormatting sqref="D197:D210">
    <cfRule type="containsText" dxfId="0" priority="135" operator="containsText" text="Problem">
      <formula>NOT(ISERROR(SEARCH(("Problem"),(D197))))</formula>
    </cfRule>
  </conditionalFormatting>
  <conditionalFormatting sqref="D197:D210">
    <cfRule type="containsText" dxfId="0" priority="136" operator="containsText" text="Problem">
      <formula>NOT(ISERROR(SEARCH(("Problem"),(D197))))</formula>
    </cfRule>
  </conditionalFormatting>
  <conditionalFormatting sqref="D197:D210">
    <cfRule type="containsText" dxfId="0" priority="137" operator="containsText" text="Problem">
      <formula>NOT(ISERROR(SEARCH(("Problem"),(D197))))</formula>
    </cfRule>
  </conditionalFormatting>
  <conditionalFormatting sqref="D197:D210">
    <cfRule type="containsText" dxfId="0" priority="138" operator="containsText" text="Problem">
      <formula>NOT(ISERROR(SEARCH(("Problem"),(D197))))</formula>
    </cfRule>
  </conditionalFormatting>
  <conditionalFormatting sqref="I65:I92">
    <cfRule type="containsText" dxfId="0" priority="139" operator="containsText" text="Problem">
      <formula>NOT(ISERROR(SEARCH(("Problem"),(I65))))</formula>
    </cfRule>
  </conditionalFormatting>
  <conditionalFormatting sqref="I65:I92">
    <cfRule type="containsText" dxfId="0" priority="140" operator="containsText" text="Problem">
      <formula>NOT(ISERROR(SEARCH(("Problem"),(I65))))</formula>
    </cfRule>
  </conditionalFormatting>
  <conditionalFormatting sqref="I65:I92">
    <cfRule type="containsText" dxfId="0" priority="141" operator="containsText" text="Problem">
      <formula>NOT(ISERROR(SEARCH(("Problem"),(I65))))</formula>
    </cfRule>
  </conditionalFormatting>
  <conditionalFormatting sqref="I65:I92">
    <cfRule type="containsText" dxfId="0" priority="142" operator="containsText" text="Problem">
      <formula>NOT(ISERROR(SEARCH(("Problem"),(I65))))</formula>
    </cfRule>
  </conditionalFormatting>
  <conditionalFormatting sqref="C475 E475:I475">
    <cfRule type="containsText" dxfId="0" priority="143" operator="containsText" text="Problem">
      <formula>NOT(ISERROR(SEARCH(("Problem"),(C475))))</formula>
    </cfRule>
  </conditionalFormatting>
  <conditionalFormatting sqref="C475 E475:I475">
    <cfRule type="containsText" dxfId="0" priority="144" operator="containsText" text="Problem">
      <formula>NOT(ISERROR(SEARCH(("Problem"),(C475))))</formula>
    </cfRule>
  </conditionalFormatting>
  <conditionalFormatting sqref="C475 E475:I475">
    <cfRule type="containsText" dxfId="0" priority="145" operator="containsText" text="Problem">
      <formula>NOT(ISERROR(SEARCH(("Problem"),(C475))))</formula>
    </cfRule>
  </conditionalFormatting>
  <conditionalFormatting sqref="I182">
    <cfRule type="containsText" dxfId="0" priority="146" operator="containsText" text="Problem">
      <formula>NOT(ISERROR(SEARCH(("Problem"),(I182))))</formula>
    </cfRule>
  </conditionalFormatting>
  <conditionalFormatting sqref="I182">
    <cfRule type="containsText" dxfId="0" priority="147" operator="containsText" text="Problem">
      <formula>NOT(ISERROR(SEARCH(("Problem"),(I182))))</formula>
    </cfRule>
  </conditionalFormatting>
  <conditionalFormatting sqref="I182">
    <cfRule type="containsText" dxfId="0" priority="148" operator="containsText" text="Problem">
      <formula>NOT(ISERROR(SEARCH(("Problem"),(I182))))</formula>
    </cfRule>
  </conditionalFormatting>
  <conditionalFormatting sqref="F64">
    <cfRule type="containsText" dxfId="0" priority="149" operator="containsText" text="Problem">
      <formula>NOT(ISERROR(SEARCH(("Problem"),(F64))))</formula>
    </cfRule>
  </conditionalFormatting>
  <conditionalFormatting sqref="F64">
    <cfRule type="containsText" dxfId="0" priority="150" operator="containsText" text="Problem">
      <formula>NOT(ISERROR(SEARCH(("Problem"),(F64))))</formula>
    </cfRule>
  </conditionalFormatting>
  <conditionalFormatting sqref="F64">
    <cfRule type="containsText" dxfId="0" priority="151" operator="containsText" text="Problem">
      <formula>NOT(ISERROR(SEARCH(("Problem"),(F64))))</formula>
    </cfRule>
  </conditionalFormatting>
  <conditionalFormatting sqref="I831">
    <cfRule type="containsText" dxfId="0" priority="152" operator="containsText" text="Problem">
      <formula>NOT(ISERROR(SEARCH(("Problem"),(I831))))</formula>
    </cfRule>
  </conditionalFormatting>
  <conditionalFormatting sqref="I831">
    <cfRule type="containsText" dxfId="0" priority="153" operator="containsText" text="Problem">
      <formula>NOT(ISERROR(SEARCH(("Problem"),(I831))))</formula>
    </cfRule>
  </conditionalFormatting>
  <conditionalFormatting sqref="I831">
    <cfRule type="containsText" dxfId="0" priority="154" operator="containsText" text="Problem">
      <formula>NOT(ISERROR(SEARCH(("Problem"),(I831))))</formula>
    </cfRule>
  </conditionalFormatting>
  <conditionalFormatting sqref="B278:C278 B290:B293 B295:C296 C247:C277 C287:C293">
    <cfRule type="containsText" dxfId="0" priority="155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156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157" operator="containsText" text="Problem">
      <formula>NOT(ISERROR(SEARCH(("Problem"),(B278))))</formula>
    </cfRule>
  </conditionalFormatting>
  <conditionalFormatting sqref="E65:E92">
    <cfRule type="containsText" dxfId="0" priority="158" operator="containsText" text="Problem">
      <formula>NOT(ISERROR(SEARCH(("Problem"),(E65))))</formula>
    </cfRule>
  </conditionalFormatting>
  <conditionalFormatting sqref="E65:E92">
    <cfRule type="containsText" dxfId="0" priority="159" operator="containsText" text="Problem">
      <formula>NOT(ISERROR(SEARCH(("Problem"),(E65))))</formula>
    </cfRule>
  </conditionalFormatting>
  <conditionalFormatting sqref="E65:E92">
    <cfRule type="containsText" dxfId="0" priority="160" operator="containsText" text="Problem">
      <formula>NOT(ISERROR(SEARCH(("Problem"),(E65))))</formula>
    </cfRule>
  </conditionalFormatting>
  <conditionalFormatting sqref="A653:I653 A710:H710 I683:I710 J653:P710">
    <cfRule type="containsText" dxfId="0" priority="161" operator="containsText" text="Problem">
      <formula>NOT(ISERROR(SEARCH(("Problem"),(A653))))</formula>
    </cfRule>
  </conditionalFormatting>
  <conditionalFormatting sqref="A653:I653 A710:H710 I683:I710 J653:P710">
    <cfRule type="containsText" dxfId="0" priority="162" operator="containsText" text="Problem">
      <formula>NOT(ISERROR(SEARCH(("Problem"),(A653))))</formula>
    </cfRule>
  </conditionalFormatting>
  <conditionalFormatting sqref="A653:I653 A710:H710 I683:I710 J653:P710">
    <cfRule type="containsText" dxfId="0" priority="163" operator="containsText" text="Problem">
      <formula>NOT(ISERROR(SEARCH(("Problem"),(A653))))</formula>
    </cfRule>
  </conditionalFormatting>
  <conditionalFormatting sqref="I300">
    <cfRule type="containsText" dxfId="0" priority="164" operator="containsText" text="Problem">
      <formula>NOT(ISERROR(SEARCH(("Problem"),(I300))))</formula>
    </cfRule>
  </conditionalFormatting>
  <conditionalFormatting sqref="I300">
    <cfRule type="containsText" dxfId="0" priority="165" operator="containsText" text="Problem">
      <formula>NOT(ISERROR(SEARCH(("Problem"),(I300))))</formula>
    </cfRule>
  </conditionalFormatting>
  <conditionalFormatting sqref="I300">
    <cfRule type="containsText" dxfId="0" priority="166" operator="containsText" text="Problem">
      <formula>NOT(ISERROR(SEARCH(("Problem"),(I300))))</formula>
    </cfRule>
  </conditionalFormatting>
  <conditionalFormatting sqref="B927:C927 B939:B942 B944:C945 C896:C926 C936:C942">
    <cfRule type="containsText" dxfId="0" priority="167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168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169" operator="containsText" text="Problem">
      <formula>NOT(ISERROR(SEARCH(("Problem"),(B927))))</formula>
    </cfRule>
  </conditionalFormatting>
  <conditionalFormatting sqref="C180 E180:I180">
    <cfRule type="containsText" dxfId="0" priority="170" operator="containsText" text="Problem">
      <formula>NOT(ISERROR(SEARCH(("Problem"),(C180))))</formula>
    </cfRule>
  </conditionalFormatting>
  <conditionalFormatting sqref="C180 E180:I180">
    <cfRule type="containsText" dxfId="0" priority="171" operator="containsText" text="Problem">
      <formula>NOT(ISERROR(SEARCH(("Problem"),(C180))))</formula>
    </cfRule>
  </conditionalFormatting>
  <conditionalFormatting sqref="C180 E180:I180">
    <cfRule type="containsText" dxfId="0" priority="172" operator="containsText" text="Problem">
      <formula>NOT(ISERROR(SEARCH(("Problem"),(C180))))</formula>
    </cfRule>
  </conditionalFormatting>
  <conditionalFormatting sqref="D478:D505">
    <cfRule type="containsText" dxfId="0" priority="173" operator="containsText" text="Problem">
      <formula>NOT(ISERROR(SEARCH(("Problem"),(D478))))</formula>
    </cfRule>
  </conditionalFormatting>
  <conditionalFormatting sqref="D478:D505">
    <cfRule type="containsText" dxfId="0" priority="174" operator="containsText" text="Problem">
      <formula>NOT(ISERROR(SEARCH(("Problem"),(D478))))</formula>
    </cfRule>
  </conditionalFormatting>
  <conditionalFormatting sqref="D478:D505">
    <cfRule type="containsText" dxfId="0" priority="175" operator="containsText" text="Problem">
      <formula>NOT(ISERROR(SEARCH(("Problem"),(D478))))</formula>
    </cfRule>
  </conditionalFormatting>
  <conditionalFormatting sqref="D478:D505">
    <cfRule type="containsText" dxfId="0" priority="176" operator="containsText" text="Problem">
      <formula>NOT(ISERROR(SEARCH(("Problem"),(D478))))</formula>
    </cfRule>
  </conditionalFormatting>
  <conditionalFormatting sqref="F595">
    <cfRule type="containsText" dxfId="0" priority="177" operator="containsText" text="Problem">
      <formula>NOT(ISERROR(SEARCH(("Problem"),(F595))))</formula>
    </cfRule>
  </conditionalFormatting>
  <conditionalFormatting sqref="F595">
    <cfRule type="containsText" dxfId="0" priority="178" operator="containsText" text="Problem">
      <formula>NOT(ISERROR(SEARCH(("Problem"),(F595))))</formula>
    </cfRule>
  </conditionalFormatting>
  <conditionalFormatting sqref="F595">
    <cfRule type="containsText" dxfId="0" priority="179" operator="containsText" text="Problem">
      <formula>NOT(ISERROR(SEARCH(("Problem"),(F595))))</formula>
    </cfRule>
  </conditionalFormatting>
  <conditionalFormatting sqref="A831:A886">
    <cfRule type="containsText" dxfId="0" priority="180" operator="containsText" text="Problem">
      <formula>NOT(ISERROR(SEARCH(("Problem"),(A831))))</formula>
    </cfRule>
  </conditionalFormatting>
  <conditionalFormatting sqref="A831:A886">
    <cfRule type="containsText" dxfId="0" priority="181" operator="containsText" text="Problem">
      <formula>NOT(ISERROR(SEARCH(("Problem"),(A831))))</formula>
    </cfRule>
  </conditionalFormatting>
  <conditionalFormatting sqref="A831:A886">
    <cfRule type="containsText" dxfId="0" priority="182" operator="containsText" text="Problem">
      <formula>NOT(ISERROR(SEARCH(("Problem"),(A831))))</formula>
    </cfRule>
  </conditionalFormatting>
  <conditionalFormatting sqref="B750:C750 B762:B765 B767:C768 C719:C749 C759:C765">
    <cfRule type="containsText" dxfId="0" priority="183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184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185" operator="containsText" text="Problem">
      <formula>NOT(ISERROR(SEARCH(("Problem"),(B750))))</formula>
    </cfRule>
  </conditionalFormatting>
  <conditionalFormatting sqref="A357 J357:P357">
    <cfRule type="containsText" dxfId="0" priority="186" operator="containsText" text="Problem">
      <formula>NOT(ISERROR(SEARCH(("Problem"),(A357))))</formula>
    </cfRule>
  </conditionalFormatting>
  <conditionalFormatting sqref="A357 J357:P357">
    <cfRule type="containsText" dxfId="0" priority="187" operator="containsText" text="Problem">
      <formula>NOT(ISERROR(SEARCH(("Problem"),(A357))))</formula>
    </cfRule>
  </conditionalFormatting>
  <conditionalFormatting sqref="A357 J357:P357">
    <cfRule type="containsText" dxfId="0" priority="188" operator="containsText" text="Problem">
      <formula>NOT(ISERROR(SEARCH(("Problem"),(A357))))</formula>
    </cfRule>
  </conditionalFormatting>
  <conditionalFormatting sqref="H477">
    <cfRule type="containsText" dxfId="0" priority="189" operator="containsText" text="Problem">
      <formula>NOT(ISERROR(SEARCH(("Problem"),(H477))))</formula>
    </cfRule>
  </conditionalFormatting>
  <conditionalFormatting sqref="H477">
    <cfRule type="containsText" dxfId="0" priority="190" operator="containsText" text="Problem">
      <formula>NOT(ISERROR(SEARCH(("Problem"),(H477))))</formula>
    </cfRule>
  </conditionalFormatting>
  <conditionalFormatting sqref="H477">
    <cfRule type="containsText" dxfId="0" priority="191" operator="containsText" text="Problem">
      <formula>NOT(ISERROR(SEARCH(("Problem"),(H477))))</formula>
    </cfRule>
  </conditionalFormatting>
  <conditionalFormatting sqref="A711 J711:P711">
    <cfRule type="containsText" dxfId="0" priority="192" operator="containsText" text="Problem">
      <formula>NOT(ISERROR(SEARCH(("Problem"),(A711))))</formula>
    </cfRule>
  </conditionalFormatting>
  <conditionalFormatting sqref="A711 J711:P711">
    <cfRule type="containsText" dxfId="0" priority="193" operator="containsText" text="Problem">
      <formula>NOT(ISERROR(SEARCH(("Problem"),(A711))))</formula>
    </cfRule>
  </conditionalFormatting>
  <conditionalFormatting sqref="A711 J711:P711">
    <cfRule type="containsText" dxfId="0" priority="194" operator="containsText" text="Problem">
      <formula>NOT(ISERROR(SEARCH(("Problem"),(A711))))</formula>
    </cfRule>
  </conditionalFormatting>
  <conditionalFormatting sqref="A772:A827">
    <cfRule type="containsText" dxfId="0" priority="195" operator="containsText" text="Problem">
      <formula>NOT(ISERROR(SEARCH(("Problem"),(A772))))</formula>
    </cfRule>
  </conditionalFormatting>
  <conditionalFormatting sqref="A772:A827">
    <cfRule type="containsText" dxfId="0" priority="196" operator="containsText" text="Problem">
      <formula>NOT(ISERROR(SEARCH(("Problem"),(A772))))</formula>
    </cfRule>
  </conditionalFormatting>
  <conditionalFormatting sqref="A772:A827">
    <cfRule type="containsText" dxfId="0" priority="197" operator="containsText" text="Problem">
      <formula>NOT(ISERROR(SEARCH(("Problem"),(A772))))</formula>
    </cfRule>
  </conditionalFormatting>
  <conditionalFormatting sqref="I477">
    <cfRule type="containsText" dxfId="0" priority="198" operator="containsText" text="Problem">
      <formula>NOT(ISERROR(SEARCH(("Problem"),(I477))))</formula>
    </cfRule>
  </conditionalFormatting>
  <conditionalFormatting sqref="I477">
    <cfRule type="containsText" dxfId="0" priority="199" operator="containsText" text="Problem">
      <formula>NOT(ISERROR(SEARCH(("Problem"),(I477))))</formula>
    </cfRule>
  </conditionalFormatting>
  <conditionalFormatting sqref="I477">
    <cfRule type="containsText" dxfId="0" priority="200" operator="containsText" text="Problem">
      <formula>NOT(ISERROR(SEARCH(("Problem"),(I477))))</formula>
    </cfRule>
  </conditionalFormatting>
  <conditionalFormatting sqref="H655:H682">
    <cfRule type="containsText" dxfId="0" priority="201" operator="containsText" text="Problem">
      <formula>NOT(ISERROR(SEARCH(("Problem"),(H655))))</formula>
    </cfRule>
  </conditionalFormatting>
  <conditionalFormatting sqref="H655:H682">
    <cfRule type="containsText" dxfId="0" priority="202" operator="containsText" text="Problem">
      <formula>NOT(ISERROR(SEARCH(("Problem"),(H655))))</formula>
    </cfRule>
  </conditionalFormatting>
  <conditionalFormatting sqref="H655:H682">
    <cfRule type="containsText" dxfId="0" priority="203" operator="containsText" text="Problem">
      <formula>NOT(ISERROR(SEARCH(("Problem"),(H655))))</formula>
    </cfRule>
  </conditionalFormatting>
  <conditionalFormatting sqref="D596:D623">
    <cfRule type="containsText" dxfId="0" priority="204" operator="containsText" text="Problem">
      <formula>NOT(ISERROR(SEARCH(("Problem"),(D596))))</formula>
    </cfRule>
  </conditionalFormatting>
  <conditionalFormatting sqref="D596:D623">
    <cfRule type="containsText" dxfId="0" priority="205" operator="containsText" text="Problem">
      <formula>NOT(ISERROR(SEARCH(("Problem"),(D596))))</formula>
    </cfRule>
  </conditionalFormatting>
  <conditionalFormatting sqref="D596:D623">
    <cfRule type="containsText" dxfId="0" priority="206" operator="containsText" text="Problem">
      <formula>NOT(ISERROR(SEARCH(("Problem"),(D596))))</formula>
    </cfRule>
  </conditionalFormatting>
  <conditionalFormatting sqref="H478:H505">
    <cfRule type="containsText" dxfId="0" priority="207" operator="containsText" text="Problem">
      <formula>NOT(ISERROR(SEARCH(("Problem"),(H478))))</formula>
    </cfRule>
  </conditionalFormatting>
  <conditionalFormatting sqref="H478:H505">
    <cfRule type="containsText" dxfId="0" priority="208" operator="containsText" text="Problem">
      <formula>NOT(ISERROR(SEARCH(("Problem"),(H478))))</formula>
    </cfRule>
  </conditionalFormatting>
  <conditionalFormatting sqref="H478:H505">
    <cfRule type="containsText" dxfId="0" priority="209" operator="containsText" text="Problem">
      <formula>NOT(ISERROR(SEARCH(("Problem"),(H478))))</formula>
    </cfRule>
  </conditionalFormatting>
  <conditionalFormatting sqref="A239 J239:P239">
    <cfRule type="containsText" dxfId="0" priority="210" operator="containsText" text="Problem">
      <formula>NOT(ISERROR(SEARCH(("Problem"),(A239))))</formula>
    </cfRule>
  </conditionalFormatting>
  <conditionalFormatting sqref="A239 J239:P239">
    <cfRule type="containsText" dxfId="0" priority="211" operator="containsText" text="Problem">
      <formula>NOT(ISERROR(SEARCH(("Problem"),(A239))))</formula>
    </cfRule>
  </conditionalFormatting>
  <conditionalFormatting sqref="A239 J239:P239">
    <cfRule type="containsText" dxfId="0" priority="212" operator="containsText" text="Problem">
      <formula>NOT(ISERROR(SEARCH(("Problem"),(A239))))</formula>
    </cfRule>
  </conditionalFormatting>
  <conditionalFormatting sqref="F123">
    <cfRule type="containsText" dxfId="0" priority="213" operator="containsText" text="Problem">
      <formula>NOT(ISERROR(SEARCH(("Problem"),(F123))))</formula>
    </cfRule>
  </conditionalFormatting>
  <conditionalFormatting sqref="F123">
    <cfRule type="containsText" dxfId="0" priority="214" operator="containsText" text="Problem">
      <formula>NOT(ISERROR(SEARCH(("Problem"),(F123))))</formula>
    </cfRule>
  </conditionalFormatting>
  <conditionalFormatting sqref="F123">
    <cfRule type="containsText" dxfId="0" priority="215" operator="containsText" text="Problem">
      <formula>NOT(ISERROR(SEARCH(("Problem"),(F123))))</formula>
    </cfRule>
  </conditionalFormatting>
  <conditionalFormatting sqref="B691:C691 B703:B706 B708:C709 C660:C690 C700:C706">
    <cfRule type="containsText" dxfId="0" priority="216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217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218" operator="containsText" text="Problem">
      <formula>NOT(ISERROR(SEARCH(("Problem"),(B691))))</formula>
    </cfRule>
  </conditionalFormatting>
  <conditionalFormatting sqref="A123:A178">
    <cfRule type="containsText" dxfId="0" priority="219" operator="containsText" text="Problem">
      <formula>NOT(ISERROR(SEARCH(("Problem"),(A123))))</formula>
    </cfRule>
  </conditionalFormatting>
  <conditionalFormatting sqref="A123:A178">
    <cfRule type="containsText" dxfId="0" priority="220" operator="containsText" text="Problem">
      <formula>NOT(ISERROR(SEARCH(("Problem"),(A123))))</formula>
    </cfRule>
  </conditionalFormatting>
  <conditionalFormatting sqref="A123:A178">
    <cfRule type="containsText" dxfId="0" priority="221" operator="containsText" text="Problem">
      <formula>NOT(ISERROR(SEARCH(("Problem"),(A123))))</formula>
    </cfRule>
  </conditionalFormatting>
  <conditionalFormatting sqref="D418">
    <cfRule type="containsText" dxfId="0" priority="222" operator="containsText" text="Problem">
      <formula>NOT(ISERROR(SEARCH(("Problem"),(D418))))</formula>
    </cfRule>
  </conditionalFormatting>
  <conditionalFormatting sqref="D418">
    <cfRule type="containsText" dxfId="0" priority="223" operator="containsText" text="Problem">
      <formula>NOT(ISERROR(SEARCH(("Problem"),(D418))))</formula>
    </cfRule>
  </conditionalFormatting>
  <conditionalFormatting sqref="D418">
    <cfRule type="containsText" dxfId="0" priority="224" operator="containsText" text="Problem">
      <formula>NOT(ISERROR(SEARCH(("Problem"),(D418))))</formula>
    </cfRule>
  </conditionalFormatting>
  <conditionalFormatting sqref="B219:C219 B231:B234 B236:C237 C188:C218 C228:C234">
    <cfRule type="containsText" dxfId="0" priority="225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226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227" operator="containsText" text="Problem">
      <formula>NOT(ISERROR(SEARCH(("Problem"),(B219))))</formula>
    </cfRule>
  </conditionalFormatting>
  <conditionalFormatting sqref="A829 J829:P829">
    <cfRule type="containsText" dxfId="0" priority="228" operator="containsText" text="Problem">
      <formula>NOT(ISERROR(SEARCH(("Problem"),(A829))))</formula>
    </cfRule>
  </conditionalFormatting>
  <conditionalFormatting sqref="A829 J829:P829">
    <cfRule type="containsText" dxfId="0" priority="229" operator="containsText" text="Problem">
      <formula>NOT(ISERROR(SEARCH(("Problem"),(A829))))</formula>
    </cfRule>
  </conditionalFormatting>
  <conditionalFormatting sqref="A829 J829:P829">
    <cfRule type="containsText" dxfId="0" priority="230" operator="containsText" text="Problem">
      <formula>NOT(ISERROR(SEARCH(("Problem"),(A829))))</formula>
    </cfRule>
  </conditionalFormatting>
  <conditionalFormatting sqref="D447:D466">
    <cfRule type="containsText" dxfId="0" priority="231" operator="containsText" text="Problem">
      <formula>NOT(ISERROR(SEARCH(("Problem"),(D447))))</formula>
    </cfRule>
  </conditionalFormatting>
  <conditionalFormatting sqref="D447:D466">
    <cfRule type="containsText" dxfId="0" priority="232" operator="containsText" text="Problem">
      <formula>NOT(ISERROR(SEARCH(("Problem"),(D447))))</formula>
    </cfRule>
  </conditionalFormatting>
  <conditionalFormatting sqref="D447:D466">
    <cfRule type="containsText" dxfId="0" priority="233" operator="containsText" text="Problem">
      <formula>NOT(ISERROR(SEARCH(("Problem"),(D447))))</formula>
    </cfRule>
  </conditionalFormatting>
  <conditionalFormatting sqref="I419:I446">
    <cfRule type="containsText" dxfId="0" priority="234" operator="containsText" text="Problem">
      <formula>NOT(ISERROR(SEARCH(("Problem"),(I419))))</formula>
    </cfRule>
  </conditionalFormatting>
  <conditionalFormatting sqref="I419:I446">
    <cfRule type="containsText" dxfId="0" priority="235" operator="containsText" text="Problem">
      <formula>NOT(ISERROR(SEARCH(("Problem"),(I419))))</formula>
    </cfRule>
  </conditionalFormatting>
  <conditionalFormatting sqref="I419:I446">
    <cfRule type="containsText" dxfId="0" priority="236" operator="containsText" text="Problem">
      <formula>NOT(ISERROR(SEARCH(("Problem"),(I419))))</formula>
    </cfRule>
  </conditionalFormatting>
  <conditionalFormatting sqref="I419:I446">
    <cfRule type="containsText" dxfId="0" priority="237" operator="containsText" text="Problem">
      <formula>NOT(ISERROR(SEARCH(("Problem"),(I419))))</formula>
    </cfRule>
  </conditionalFormatting>
  <conditionalFormatting sqref="E35:H60">
    <cfRule type="containsText" dxfId="0" priority="238" operator="containsText" text="Problem">
      <formula>NOT(ISERROR(SEARCH(("Problem"),(E35))))</formula>
    </cfRule>
  </conditionalFormatting>
  <conditionalFormatting sqref="E35:H60">
    <cfRule type="containsText" dxfId="0" priority="239" operator="containsText" text="Problem">
      <formula>NOT(ISERROR(SEARCH(("Problem"),(E35))))</formula>
    </cfRule>
  </conditionalFormatting>
  <conditionalFormatting sqref="E35:H60">
    <cfRule type="containsText" dxfId="0" priority="240" operator="containsText" text="Problem">
      <formula>NOT(ISERROR(SEARCH(("Problem"),(E35))))</formula>
    </cfRule>
  </conditionalFormatting>
  <conditionalFormatting sqref="D177:D178 E152:H178">
    <cfRule type="containsText" dxfId="0" priority="241" operator="containsText" text="Problem">
      <formula>NOT(ISERROR(SEARCH(("Problem"),(D177))))</formula>
    </cfRule>
  </conditionalFormatting>
  <conditionalFormatting sqref="D177:D178 E152:H178">
    <cfRule type="containsText" dxfId="0" priority="242" operator="containsText" text="Problem">
      <formula>NOT(ISERROR(SEARCH(("Problem"),(D177))))</formula>
    </cfRule>
  </conditionalFormatting>
  <conditionalFormatting sqref="D177:D178 E152:H178">
    <cfRule type="containsText" dxfId="0" priority="243" operator="containsText" text="Problem">
      <formula>NOT(ISERROR(SEARCH(("Problem"),(D177))))</formula>
    </cfRule>
  </conditionalFormatting>
  <conditionalFormatting sqref="D577:D589">
    <cfRule type="containsText" dxfId="0" priority="244" operator="containsText" text="Problem">
      <formula>NOT(ISERROR(SEARCH(("Problem"),(D577))))</formula>
    </cfRule>
  </conditionalFormatting>
  <conditionalFormatting sqref="D577:D589">
    <cfRule type="containsText" dxfId="0" priority="245" operator="containsText" text="Problem">
      <formula>NOT(ISERROR(SEARCH(("Problem"),(D577))))</formula>
    </cfRule>
  </conditionalFormatting>
  <conditionalFormatting sqref="H6:H34">
    <cfRule type="containsText" dxfId="0" priority="246" operator="containsText" text="Problem">
      <formula>NOT(ISERROR(SEARCH(("Problem"),(H6))))</formula>
    </cfRule>
  </conditionalFormatting>
  <conditionalFormatting sqref="H6:H34">
    <cfRule type="containsText" dxfId="0" priority="247" operator="containsText" text="Problem">
      <formula>NOT(ISERROR(SEARCH(("Problem"),(H6))))</formula>
    </cfRule>
  </conditionalFormatting>
  <conditionalFormatting sqref="H6:H34">
    <cfRule type="containsText" dxfId="0" priority="248" operator="containsText" text="Problem">
      <formula>NOT(ISERROR(SEARCH(("Problem"),(H6))))</formula>
    </cfRule>
  </conditionalFormatting>
  <conditionalFormatting sqref="E773:E800">
    <cfRule type="containsText" dxfId="0" priority="249" operator="containsText" text="Problem">
      <formula>NOT(ISERROR(SEARCH(("Problem"),(E773))))</formula>
    </cfRule>
  </conditionalFormatting>
  <conditionalFormatting sqref="E773:E800">
    <cfRule type="containsText" dxfId="0" priority="250" operator="containsText" text="Problem">
      <formula>NOT(ISERROR(SEARCH(("Problem"),(E773))))</formula>
    </cfRule>
  </conditionalFormatting>
  <conditionalFormatting sqref="E773:E800">
    <cfRule type="containsText" dxfId="0" priority="251" operator="containsText" text="Problem">
      <formula>NOT(ISERROR(SEARCH(("Problem"),(E773))))</formula>
    </cfRule>
  </conditionalFormatting>
  <conditionalFormatting sqref="B868:C868 B880:B883 B885:C886 C837:C867 C877:C883">
    <cfRule type="containsText" dxfId="0" priority="252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253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254" operator="containsText" text="Problem">
      <formula>NOT(ISERROR(SEARCH(("Problem"),(B868))))</formula>
    </cfRule>
  </conditionalFormatting>
  <conditionalFormatting sqref="B455:C455 B467:B470 B472:C473 C424:C454 C464:C470">
    <cfRule type="containsText" dxfId="0" priority="255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256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257" operator="containsText" text="Problem">
      <formula>NOT(ISERROR(SEARCH(("Problem"),(B455))))</formula>
    </cfRule>
  </conditionalFormatting>
  <conditionalFormatting sqref="A536:A591">
    <cfRule type="containsText" dxfId="0" priority="258" operator="containsText" text="Problem">
      <formula>NOT(ISERROR(SEARCH(("Problem"),(A536))))</formula>
    </cfRule>
  </conditionalFormatting>
  <conditionalFormatting sqref="A536:A591">
    <cfRule type="containsText" dxfId="0" priority="259" operator="containsText" text="Problem">
      <formula>NOT(ISERROR(SEARCH(("Problem"),(A536))))</formula>
    </cfRule>
  </conditionalFormatting>
  <conditionalFormatting sqref="A536:A591">
    <cfRule type="containsText" dxfId="0" priority="260" operator="containsText" text="Problem">
      <formula>NOT(ISERROR(SEARCH(("Problem"),(A536))))</formula>
    </cfRule>
  </conditionalFormatting>
  <conditionalFormatting sqref="C829 E829:I829">
    <cfRule type="containsText" dxfId="0" priority="261" operator="containsText" text="Problem">
      <formula>NOT(ISERROR(SEARCH(("Problem"),(C829))))</formula>
    </cfRule>
  </conditionalFormatting>
  <conditionalFormatting sqref="C829 E829:I829">
    <cfRule type="containsText" dxfId="0" priority="262" operator="containsText" text="Problem">
      <formula>NOT(ISERROR(SEARCH(("Problem"),(C829))))</formula>
    </cfRule>
  </conditionalFormatting>
  <conditionalFormatting sqref="C829 E829:I829">
    <cfRule type="containsText" dxfId="0" priority="263" operator="containsText" text="Problem">
      <formula>NOT(ISERROR(SEARCH(("Problem"),(C829))))</formula>
    </cfRule>
  </conditionalFormatting>
  <conditionalFormatting sqref="D655:D682">
    <cfRule type="containsText" dxfId="0" priority="264" operator="containsText" text="Problem">
      <formula>NOT(ISERROR(SEARCH(("Problem"),(D655))))</formula>
    </cfRule>
  </conditionalFormatting>
  <conditionalFormatting sqref="D655:D682">
    <cfRule type="containsText" dxfId="0" priority="265" operator="containsText" text="Problem">
      <formula>NOT(ISERROR(SEARCH(("Problem"),(D655))))</formula>
    </cfRule>
  </conditionalFormatting>
  <conditionalFormatting sqref="D655:D682">
    <cfRule type="containsText" dxfId="0" priority="266" operator="containsText" text="Problem">
      <formula>NOT(ISERROR(SEARCH(("Problem"),(D655))))</formula>
    </cfRule>
  </conditionalFormatting>
  <conditionalFormatting sqref="C62">
    <cfRule type="containsText" dxfId="0" priority="267" operator="containsText" text="Problem">
      <formula>NOT(ISERROR(SEARCH(("Problem"),(C62))))</formula>
    </cfRule>
  </conditionalFormatting>
  <conditionalFormatting sqref="C62">
    <cfRule type="containsText" dxfId="0" priority="268" operator="containsText" text="Problem">
      <formula>NOT(ISERROR(SEARCH(("Problem"),(C62))))</formula>
    </cfRule>
  </conditionalFormatting>
  <conditionalFormatting sqref="C62">
    <cfRule type="containsText" dxfId="0" priority="269" operator="containsText" text="Problem">
      <formula>NOT(ISERROR(SEARCH(("Problem"),(C62))))</formula>
    </cfRule>
  </conditionalFormatting>
  <conditionalFormatting sqref="G419:G446">
    <cfRule type="containsText" dxfId="0" priority="270" operator="containsText" text="Problem">
      <formula>NOT(ISERROR(SEARCH(("Problem"),(G419))))</formula>
    </cfRule>
  </conditionalFormatting>
  <conditionalFormatting sqref="G419:G446">
    <cfRule type="containsText" dxfId="0" priority="271" operator="containsText" text="Problem">
      <formula>NOT(ISERROR(SEARCH(("Problem"),(G419))))</formula>
    </cfRule>
  </conditionalFormatting>
  <conditionalFormatting sqref="G419:G446">
    <cfRule type="containsText" dxfId="0" priority="272" operator="containsText" text="Problem">
      <formula>NOT(ISERROR(SEARCH(("Problem"),(G419))))</formula>
    </cfRule>
  </conditionalFormatting>
  <conditionalFormatting sqref="D772">
    <cfRule type="containsText" dxfId="0" priority="273" operator="containsText" text="Problem">
      <formula>NOT(ISERROR(SEARCH(("Problem"),(D772))))</formula>
    </cfRule>
  </conditionalFormatting>
  <conditionalFormatting sqref="A594:I594 A651:H651 I624:I651 J594:P651">
    <cfRule type="containsText" dxfId="0" priority="274" operator="containsText" text="Problem">
      <formula>NOT(ISERROR(SEARCH(("Problem"),(A594))))</formula>
    </cfRule>
  </conditionalFormatting>
  <conditionalFormatting sqref="A594:I594 A651:H651 I624:I651 J594:P651">
    <cfRule type="containsText" dxfId="0" priority="275" operator="containsText" text="Problem">
      <formula>NOT(ISERROR(SEARCH(("Problem"),(A594))))</formula>
    </cfRule>
  </conditionalFormatting>
  <conditionalFormatting sqref="A594:I594 A651:H651 I624:I651 J594:P651">
    <cfRule type="containsText" dxfId="0" priority="276" operator="containsText" text="Problem">
      <formula>NOT(ISERROR(SEARCH(("Problem"),(A594))))</formula>
    </cfRule>
  </conditionalFormatting>
  <conditionalFormatting sqref="F537:F564">
    <cfRule type="containsText" dxfId="0" priority="277" operator="containsText" text="Problem">
      <formula>NOT(ISERROR(SEARCH(("Problem"),(F537))))</formula>
    </cfRule>
  </conditionalFormatting>
  <conditionalFormatting sqref="F537:F564">
    <cfRule type="containsText" dxfId="0" priority="278" operator="containsText" text="Problem">
      <formula>NOT(ISERROR(SEARCH(("Problem"),(F537))))</formula>
    </cfRule>
  </conditionalFormatting>
  <conditionalFormatting sqref="F537:F564">
    <cfRule type="containsText" dxfId="0" priority="279" operator="containsText" text="Problem">
      <formula>NOT(ISERROR(SEARCH(("Problem"),(F537))))</formula>
    </cfRule>
  </conditionalFormatting>
  <conditionalFormatting sqref="F301:F328">
    <cfRule type="containsText" dxfId="0" priority="280" operator="containsText" text="Problem">
      <formula>NOT(ISERROR(SEARCH(("Problem"),(F301))))</formula>
    </cfRule>
  </conditionalFormatting>
  <conditionalFormatting sqref="F301:F328">
    <cfRule type="containsText" dxfId="0" priority="281" operator="containsText" text="Problem">
      <formula>NOT(ISERROR(SEARCH(("Problem"),(F301))))</formula>
    </cfRule>
  </conditionalFormatting>
  <conditionalFormatting sqref="F301:F328">
    <cfRule type="containsText" dxfId="0" priority="282" operator="containsText" text="Problem">
      <formula>NOT(ISERROR(SEARCH(("Problem"),(F301))))</formula>
    </cfRule>
  </conditionalFormatting>
  <conditionalFormatting sqref="B809:C809 B821:B824 B826:C827 C778:C808 C818:C824">
    <cfRule type="containsText" dxfId="0" priority="283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284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285" operator="containsText" text="Problem">
      <formula>NOT(ISERROR(SEARCH(("Problem"),(B809))))</formula>
    </cfRule>
  </conditionalFormatting>
  <conditionalFormatting sqref="A770 J770:P770">
    <cfRule type="containsText" dxfId="0" priority="286" operator="containsText" text="Problem">
      <formula>NOT(ISERROR(SEARCH(("Problem"),(A770))))</formula>
    </cfRule>
  </conditionalFormatting>
  <conditionalFormatting sqref="A770 J770:P770">
    <cfRule type="containsText" dxfId="0" priority="287" operator="containsText" text="Problem">
      <formula>NOT(ISERROR(SEARCH(("Problem"),(A770))))</formula>
    </cfRule>
  </conditionalFormatting>
  <conditionalFormatting sqref="A770 J770:P770">
    <cfRule type="containsText" dxfId="0" priority="288" operator="containsText" text="Problem">
      <formula>NOT(ISERROR(SEARCH(("Problem"),(A770))))</formula>
    </cfRule>
  </conditionalFormatting>
  <conditionalFormatting sqref="G183:G210">
    <cfRule type="containsText" dxfId="0" priority="289" operator="containsText" text="Problem">
      <formula>NOT(ISERROR(SEARCH(("Problem"),(G183))))</formula>
    </cfRule>
  </conditionalFormatting>
  <conditionalFormatting sqref="G183:G210">
    <cfRule type="containsText" dxfId="0" priority="290" operator="containsText" text="Problem">
      <formula>NOT(ISERROR(SEARCH(("Problem"),(G183))))</formula>
    </cfRule>
  </conditionalFormatting>
  <conditionalFormatting sqref="G183:G210">
    <cfRule type="containsText" dxfId="0" priority="291" operator="containsText" text="Problem">
      <formula>NOT(ISERROR(SEARCH(("Problem"),(G183))))</formula>
    </cfRule>
  </conditionalFormatting>
  <conditionalFormatting sqref="A475 J475:P475">
    <cfRule type="containsText" dxfId="0" priority="292" operator="containsText" text="Problem">
      <formula>NOT(ISERROR(SEARCH(("Problem"),(A475))))</formula>
    </cfRule>
  </conditionalFormatting>
  <conditionalFormatting sqref="A475 J475:P475">
    <cfRule type="containsText" dxfId="0" priority="293" operator="containsText" text="Problem">
      <formula>NOT(ISERROR(SEARCH(("Problem"),(A475))))</formula>
    </cfRule>
  </conditionalFormatting>
  <conditionalFormatting sqref="A475 J475:P475">
    <cfRule type="containsText" dxfId="0" priority="294" operator="containsText" text="Problem">
      <formula>NOT(ISERROR(SEARCH(("Problem"),(A475))))</formula>
    </cfRule>
  </conditionalFormatting>
  <conditionalFormatting sqref="I773:I800">
    <cfRule type="containsText" dxfId="0" priority="295" operator="containsText" text="Problem">
      <formula>NOT(ISERROR(SEARCH(("Problem"),(I773))))</formula>
    </cfRule>
  </conditionalFormatting>
  <conditionalFormatting sqref="I773:I800">
    <cfRule type="containsText" dxfId="0" priority="296" operator="containsText" text="Problem">
      <formula>NOT(ISERROR(SEARCH(("Problem"),(I773))))</formula>
    </cfRule>
  </conditionalFormatting>
  <conditionalFormatting sqref="I773:I800">
    <cfRule type="containsText" dxfId="0" priority="297" operator="containsText" text="Problem">
      <formula>NOT(ISERROR(SEARCH(("Problem"),(I773))))</formula>
    </cfRule>
  </conditionalFormatting>
  <conditionalFormatting sqref="I773:I800">
    <cfRule type="containsText" dxfId="0" priority="298" operator="containsText" text="Problem">
      <formula>NOT(ISERROR(SEARCH(("Problem"),(I773))))</formula>
    </cfRule>
  </conditionalFormatting>
  <conditionalFormatting sqref="D472:D473 E447:H473">
    <cfRule type="containsText" dxfId="0" priority="299" operator="containsText" text="Problem">
      <formula>NOT(ISERROR(SEARCH(("Problem"),(D472))))</formula>
    </cfRule>
  </conditionalFormatting>
  <conditionalFormatting sqref="D472:D473 E447:H473">
    <cfRule type="containsText" dxfId="0" priority="300" operator="containsText" text="Problem">
      <formula>NOT(ISERROR(SEARCH(("Problem"),(D472))))</formula>
    </cfRule>
  </conditionalFormatting>
  <conditionalFormatting sqref="D472:D473 E447:H473">
    <cfRule type="containsText" dxfId="0" priority="301" operator="containsText" text="Problem">
      <formula>NOT(ISERROR(SEARCH(("Problem"),(D472))))</formula>
    </cfRule>
  </conditionalFormatting>
  <conditionalFormatting sqref="I183:I210">
    <cfRule type="containsText" dxfId="0" priority="302" operator="containsText" text="Problem">
      <formula>NOT(ISERROR(SEARCH(("Problem"),(I183))))</formula>
    </cfRule>
  </conditionalFormatting>
  <conditionalFormatting sqref="I183:I210">
    <cfRule type="containsText" dxfId="0" priority="303" operator="containsText" text="Problem">
      <formula>NOT(ISERROR(SEARCH(("Problem"),(I183))))</formula>
    </cfRule>
  </conditionalFormatting>
  <conditionalFormatting sqref="I183:I210">
    <cfRule type="containsText" dxfId="0" priority="304" operator="containsText" text="Problem">
      <formula>NOT(ISERROR(SEARCH(("Problem"),(I183))))</formula>
    </cfRule>
  </conditionalFormatting>
  <conditionalFormatting sqref="I183:I210">
    <cfRule type="containsText" dxfId="0" priority="305" operator="containsText" text="Problem">
      <formula>NOT(ISERROR(SEARCH(("Problem"),(I183))))</formula>
    </cfRule>
  </conditionalFormatting>
  <conditionalFormatting sqref="B4 C3:C4 D4 D61:H61 E3:I4 K917:P918">
    <cfRule type="containsText" dxfId="0" priority="306" operator="containsText" text="Problem">
      <formula>NOT(ISERROR(SEARCH(("Problem"),(B4))))</formula>
    </cfRule>
  </conditionalFormatting>
  <conditionalFormatting sqref="B4 C3:C4 D4 D61:H61 E3:I4 K917:P918">
    <cfRule type="containsText" dxfId="0" priority="307" operator="containsText" text="Problem">
      <formula>NOT(ISERROR(SEARCH(("Problem"),(B4))))</formula>
    </cfRule>
  </conditionalFormatting>
  <conditionalFormatting sqref="B4 C3:C4 D4 D61:H61 E3:I4 K917:P918">
    <cfRule type="containsText" dxfId="0" priority="308" operator="containsText" text="Problem">
      <formula>NOT(ISERROR(SEARCH(("Problem"),(B4))))</formula>
    </cfRule>
  </conditionalFormatting>
  <conditionalFormatting sqref="D183:D196">
    <cfRule type="containsText" dxfId="0" priority="309" operator="containsText" text="Problem">
      <formula>NOT(ISERROR(SEARCH(("Problem"),(D183))))</formula>
    </cfRule>
  </conditionalFormatting>
  <conditionalFormatting sqref="D183:D196">
    <cfRule type="containsText" dxfId="0" priority="310" operator="containsText" text="Problem">
      <formula>NOT(ISERROR(SEARCH(("Problem"),(D183))))</formula>
    </cfRule>
  </conditionalFormatting>
  <conditionalFormatting sqref="D183:D196">
    <cfRule type="containsText" dxfId="0" priority="311" operator="containsText" text="Problem">
      <formula>NOT(ISERROR(SEARCH(("Problem"),(D183))))</formula>
    </cfRule>
  </conditionalFormatting>
  <conditionalFormatting sqref="I301:I328">
    <cfRule type="containsText" dxfId="0" priority="312" operator="containsText" text="Problem">
      <formula>NOT(ISERROR(SEARCH(("Problem"),(I301))))</formula>
    </cfRule>
  </conditionalFormatting>
  <conditionalFormatting sqref="I301:I328">
    <cfRule type="containsText" dxfId="0" priority="313" operator="containsText" text="Problem">
      <formula>NOT(ISERROR(SEARCH(("Problem"),(I301))))</formula>
    </cfRule>
  </conditionalFormatting>
  <conditionalFormatting sqref="I301:I328">
    <cfRule type="containsText" dxfId="0" priority="314" operator="containsText" text="Problem">
      <formula>NOT(ISERROR(SEARCH(("Problem"),(I301))))</formula>
    </cfRule>
  </conditionalFormatting>
  <conditionalFormatting sqref="I301:I328">
    <cfRule type="containsText" dxfId="0" priority="315" operator="containsText" text="Problem">
      <formula>NOT(ISERROR(SEARCH(("Problem"),(I301))))</formula>
    </cfRule>
  </conditionalFormatting>
  <conditionalFormatting sqref="E6:E34">
    <cfRule type="containsText" dxfId="0" priority="316" operator="containsText" text="Problem">
      <formula>NOT(ISERROR(SEARCH(("Problem"),(E6))))</formula>
    </cfRule>
  </conditionalFormatting>
  <conditionalFormatting sqref="E6:E34">
    <cfRule type="containsText" dxfId="0" priority="317" operator="containsText" text="Problem">
      <formula>NOT(ISERROR(SEARCH(("Problem"),(E6))))</formula>
    </cfRule>
  </conditionalFormatting>
  <conditionalFormatting sqref="E6:E34">
    <cfRule type="containsText" dxfId="0" priority="318" operator="containsText" text="Problem">
      <formula>NOT(ISERROR(SEARCH(("Problem"),(E6))))</formula>
    </cfRule>
  </conditionalFormatting>
  <conditionalFormatting sqref="A62 J62:P62">
    <cfRule type="containsText" dxfId="0" priority="319" operator="containsText" text="Problem">
      <formula>NOT(ISERROR(SEARCH(("Problem"),(A62))))</formula>
    </cfRule>
  </conditionalFormatting>
  <conditionalFormatting sqref="A62 J62:P62">
    <cfRule type="containsText" dxfId="0" priority="320" operator="containsText" text="Problem">
      <formula>NOT(ISERROR(SEARCH(("Problem"),(A62))))</formula>
    </cfRule>
  </conditionalFormatting>
  <conditionalFormatting sqref="A62 J62:P62">
    <cfRule type="containsText" dxfId="0" priority="321" operator="containsText" text="Problem">
      <formula>NOT(ISERROR(SEARCH(("Problem"),(A62))))</formula>
    </cfRule>
  </conditionalFormatting>
  <conditionalFormatting sqref="H64">
    <cfRule type="containsText" dxfId="0" priority="322" operator="containsText" text="Problem">
      <formula>NOT(ISERROR(SEARCH(("Problem"),(H64))))</formula>
    </cfRule>
  </conditionalFormatting>
  <conditionalFormatting sqref="H64">
    <cfRule type="containsText" dxfId="0" priority="323" operator="containsText" text="Problem">
      <formula>NOT(ISERROR(SEARCH(("Problem"),(H64))))</formula>
    </cfRule>
  </conditionalFormatting>
  <conditionalFormatting sqref="H64">
    <cfRule type="containsText" dxfId="0" priority="324" operator="containsText" text="Problem">
      <formula>NOT(ISERROR(SEARCH(("Problem"),(H64))))</formula>
    </cfRule>
  </conditionalFormatting>
  <conditionalFormatting sqref="E241">
    <cfRule type="containsText" dxfId="0" priority="325" operator="containsText" text="Problem">
      <formula>NOT(ISERROR(SEARCH(("Problem"),(E241))))</formula>
    </cfRule>
  </conditionalFormatting>
  <conditionalFormatting sqref="E241">
    <cfRule type="containsText" dxfId="0" priority="326" operator="containsText" text="Problem">
      <formula>NOT(ISERROR(SEARCH(("Problem"),(E241))))</formula>
    </cfRule>
  </conditionalFormatting>
  <conditionalFormatting sqref="E241">
    <cfRule type="containsText" dxfId="0" priority="327" operator="containsText" text="Problem">
      <formula>NOT(ISERROR(SEARCH(("Problem"),(E241))))</formula>
    </cfRule>
  </conditionalFormatting>
  <conditionalFormatting sqref="D767:D768 E742:H768">
    <cfRule type="containsText" dxfId="0" priority="328" operator="containsText" text="Problem">
      <formula>NOT(ISERROR(SEARCH(("Problem"),(D767))))</formula>
    </cfRule>
  </conditionalFormatting>
  <conditionalFormatting sqref="D767:D768 E742:H768">
    <cfRule type="containsText" dxfId="0" priority="329" operator="containsText" text="Problem">
      <formula>NOT(ISERROR(SEARCH(("Problem"),(D767))))</formula>
    </cfRule>
  </conditionalFormatting>
  <conditionalFormatting sqref="D767:D768 E742:H768">
    <cfRule type="containsText" dxfId="0" priority="330" operator="containsText" text="Problem">
      <formula>NOT(ISERROR(SEARCH(("Problem"),(D767))))</formula>
    </cfRule>
  </conditionalFormatting>
  <conditionalFormatting sqref="E596:E623">
    <cfRule type="containsText" dxfId="0" priority="331" operator="containsText" text="Problem">
      <formula>NOT(ISERROR(SEARCH(("Problem"),(E596))))</formula>
    </cfRule>
  </conditionalFormatting>
  <conditionalFormatting sqref="E596:E623">
    <cfRule type="containsText" dxfId="0" priority="332" operator="containsText" text="Problem">
      <formula>NOT(ISERROR(SEARCH(("Problem"),(E596))))</formula>
    </cfRule>
  </conditionalFormatting>
  <conditionalFormatting sqref="E596:E623">
    <cfRule type="containsText" dxfId="0" priority="333" operator="containsText" text="Problem">
      <formula>NOT(ISERROR(SEARCH(("Problem"),(E596))))</formula>
    </cfRule>
  </conditionalFormatting>
  <conditionalFormatting sqref="A240:I240 A297:H297 I270:I297 J240:P297">
    <cfRule type="containsText" dxfId="0" priority="334" operator="containsText" text="Problem">
      <formula>NOT(ISERROR(SEARCH(("Problem"),(A240))))</formula>
    </cfRule>
  </conditionalFormatting>
  <conditionalFormatting sqref="A240:I240 A297:H297 I270:I297 J240:P297">
    <cfRule type="containsText" dxfId="0" priority="335" operator="containsText" text="Problem">
      <formula>NOT(ISERROR(SEARCH(("Problem"),(A240))))</formula>
    </cfRule>
  </conditionalFormatting>
  <conditionalFormatting sqref="A240:I240 A297:H297 I270:I297 J240:P297">
    <cfRule type="containsText" dxfId="0" priority="336" operator="containsText" text="Problem">
      <formula>NOT(ISERROR(SEARCH(("Problem"),(A240))))</formula>
    </cfRule>
  </conditionalFormatting>
  <conditionalFormatting sqref="F831">
    <cfRule type="containsText" dxfId="0" priority="337" operator="containsText" text="Problem">
      <formula>NOT(ISERROR(SEARCH(("Problem"),(F831))))</formula>
    </cfRule>
  </conditionalFormatting>
  <conditionalFormatting sqref="F831">
    <cfRule type="containsText" dxfId="0" priority="338" operator="containsText" text="Problem">
      <formula>NOT(ISERROR(SEARCH(("Problem"),(F831))))</formula>
    </cfRule>
  </conditionalFormatting>
  <conditionalFormatting sqref="F831">
    <cfRule type="containsText" dxfId="0" priority="339" operator="containsText" text="Problem">
      <formula>NOT(ISERROR(SEARCH(("Problem"),(F831))))</formula>
    </cfRule>
  </conditionalFormatting>
  <conditionalFormatting sqref="D773:D800">
    <cfRule type="containsText" dxfId="0" priority="340" operator="containsText" text="Problem">
      <formula>NOT(ISERROR(SEARCH(("Problem"),(D773))))</formula>
    </cfRule>
  </conditionalFormatting>
  <conditionalFormatting sqref="D773:D800">
    <cfRule type="containsText" dxfId="0" priority="341" operator="containsText" text="Problem">
      <formula>NOT(ISERROR(SEARCH(("Problem"),(D773))))</formula>
    </cfRule>
  </conditionalFormatting>
  <conditionalFormatting sqref="D773:D800">
    <cfRule type="containsText" dxfId="0" priority="342" operator="containsText" text="Problem">
      <formula>NOT(ISERROR(SEARCH(("Problem"),(D773))))</formula>
    </cfRule>
  </conditionalFormatting>
  <conditionalFormatting sqref="I359">
    <cfRule type="containsText" dxfId="0" priority="343" operator="containsText" text="Problem">
      <formula>NOT(ISERROR(SEARCH(("Problem"),(I359))))</formula>
    </cfRule>
  </conditionalFormatting>
  <conditionalFormatting sqref="I359">
    <cfRule type="containsText" dxfId="0" priority="344" operator="containsText" text="Problem">
      <formula>NOT(ISERROR(SEARCH(("Problem"),(I359))))</formula>
    </cfRule>
  </conditionalFormatting>
  <conditionalFormatting sqref="I359">
    <cfRule type="containsText" dxfId="0" priority="345" operator="containsText" text="Problem">
      <formula>NOT(ISERROR(SEARCH(("Problem"),(I359))))</formula>
    </cfRule>
  </conditionalFormatting>
  <conditionalFormatting sqref="E300">
    <cfRule type="containsText" dxfId="0" priority="346" operator="containsText" text="Problem">
      <formula>NOT(ISERROR(SEARCH(("Problem"),(E300))))</formula>
    </cfRule>
  </conditionalFormatting>
  <conditionalFormatting sqref="E300">
    <cfRule type="containsText" dxfId="0" priority="347" operator="containsText" text="Problem">
      <formula>NOT(ISERROR(SEARCH(("Problem"),(E300))))</formula>
    </cfRule>
  </conditionalFormatting>
  <conditionalFormatting sqref="E300">
    <cfRule type="containsText" dxfId="0" priority="348" operator="containsText" text="Problem">
      <formula>NOT(ISERROR(SEARCH(("Problem"),(E300))))</formula>
    </cfRule>
  </conditionalFormatting>
  <conditionalFormatting sqref="A417:I417 A474:H474 I447:I474 J417:P474">
    <cfRule type="containsText" dxfId="0" priority="349" operator="containsText" text="Problem">
      <formula>NOT(ISERROR(SEARCH(("Problem"),(A417))))</formula>
    </cfRule>
  </conditionalFormatting>
  <conditionalFormatting sqref="A417:I417 A474:H474 I447:I474 J417:P474">
    <cfRule type="containsText" dxfId="0" priority="350" operator="containsText" text="Problem">
      <formula>NOT(ISERROR(SEARCH(("Problem"),(A417))))</formula>
    </cfRule>
  </conditionalFormatting>
  <conditionalFormatting sqref="A417:I417 A474:H474 I447:I474 J417:P474">
    <cfRule type="containsText" dxfId="0" priority="351" operator="containsText" text="Problem">
      <formula>NOT(ISERROR(SEARCH(("Problem"),(A417))))</formula>
    </cfRule>
  </conditionalFormatting>
  <conditionalFormatting sqref="H242:H269">
    <cfRule type="containsText" dxfId="0" priority="352" operator="containsText" text="Problem">
      <formula>NOT(ISERROR(SEARCH(("Problem"),(H242))))</formula>
    </cfRule>
  </conditionalFormatting>
  <conditionalFormatting sqref="H242:H269">
    <cfRule type="containsText" dxfId="0" priority="353" operator="containsText" text="Problem">
      <formula>NOT(ISERROR(SEARCH(("Problem"),(H242))))</formula>
    </cfRule>
  </conditionalFormatting>
  <conditionalFormatting sqref="H242:H269">
    <cfRule type="containsText" dxfId="0" priority="354" operator="containsText" text="Problem">
      <formula>NOT(ISERROR(SEARCH(("Problem"),(H242))))</formula>
    </cfRule>
  </conditionalFormatting>
  <conditionalFormatting sqref="H241">
    <cfRule type="containsText" dxfId="0" priority="355" operator="containsText" text="Problem">
      <formula>NOT(ISERROR(SEARCH(("Problem"),(H241))))</formula>
    </cfRule>
  </conditionalFormatting>
  <conditionalFormatting sqref="H241">
    <cfRule type="containsText" dxfId="0" priority="356" operator="containsText" text="Problem">
      <formula>NOT(ISERROR(SEARCH(("Problem"),(H241))))</formula>
    </cfRule>
  </conditionalFormatting>
  <conditionalFormatting sqref="H241">
    <cfRule type="containsText" dxfId="0" priority="357" operator="containsText" text="Problem">
      <formula>NOT(ISERROR(SEARCH(("Problem"),(H241))))</formula>
    </cfRule>
  </conditionalFormatting>
  <conditionalFormatting sqref="G242:G269">
    <cfRule type="containsText" dxfId="0" priority="358" operator="containsText" text="Problem">
      <formula>NOT(ISERROR(SEARCH(("Problem"),(G242))))</formula>
    </cfRule>
  </conditionalFormatting>
  <conditionalFormatting sqref="G242:G269">
    <cfRule type="containsText" dxfId="0" priority="359" operator="containsText" text="Problem">
      <formula>NOT(ISERROR(SEARCH(("Problem"),(G242))))</formula>
    </cfRule>
  </conditionalFormatting>
  <conditionalFormatting sqref="G242:G269">
    <cfRule type="containsText" dxfId="0" priority="360" operator="containsText" text="Problem">
      <formula>NOT(ISERROR(SEARCH(("Problem"),(G242))))</formula>
    </cfRule>
  </conditionalFormatting>
  <conditionalFormatting sqref="G124:G151">
    <cfRule type="containsText" dxfId="0" priority="361" operator="containsText" text="Problem">
      <formula>NOT(ISERROR(SEARCH(("Problem"),(G124))))</formula>
    </cfRule>
  </conditionalFormatting>
  <conditionalFormatting sqref="G124:G151">
    <cfRule type="containsText" dxfId="0" priority="362" operator="containsText" text="Problem">
      <formula>NOT(ISERROR(SEARCH(("Problem"),(G124))))</formula>
    </cfRule>
  </conditionalFormatting>
  <conditionalFormatting sqref="G124:G151">
    <cfRule type="containsText" dxfId="0" priority="363" operator="containsText" text="Problem">
      <formula>NOT(ISERROR(SEARCH(("Problem"),(G124))))</formula>
    </cfRule>
  </conditionalFormatting>
  <conditionalFormatting sqref="F241">
    <cfRule type="containsText" dxfId="0" priority="364" operator="containsText" text="Problem">
      <formula>NOT(ISERROR(SEARCH(("Problem"),(F241))))</formula>
    </cfRule>
  </conditionalFormatting>
  <conditionalFormatting sqref="F241">
    <cfRule type="containsText" dxfId="0" priority="365" operator="containsText" text="Problem">
      <formula>NOT(ISERROR(SEARCH(("Problem"),(F241))))</formula>
    </cfRule>
  </conditionalFormatting>
  <conditionalFormatting sqref="F241">
    <cfRule type="containsText" dxfId="0" priority="366" operator="containsText" text="Problem">
      <formula>NOT(ISERROR(SEARCH(("Problem"),(F241))))</formula>
    </cfRule>
  </conditionalFormatting>
  <conditionalFormatting sqref="F360:F387">
    <cfRule type="containsText" dxfId="0" priority="367" operator="containsText" text="Problem">
      <formula>NOT(ISERROR(SEARCH(("Problem"),(F360))))</formula>
    </cfRule>
  </conditionalFormatting>
  <conditionalFormatting sqref="F360:F387">
    <cfRule type="containsText" dxfId="0" priority="368" operator="containsText" text="Problem">
      <formula>NOT(ISERROR(SEARCH(("Problem"),(F360))))</formula>
    </cfRule>
  </conditionalFormatting>
  <conditionalFormatting sqref="F360:F387">
    <cfRule type="containsText" dxfId="0" priority="369" operator="containsText" text="Problem">
      <formula>NOT(ISERROR(SEARCH(("Problem"),(F360))))</formula>
    </cfRule>
  </conditionalFormatting>
  <conditionalFormatting sqref="D123">
    <cfRule type="containsText" dxfId="0" priority="370" operator="containsText" text="Problem">
      <formula>NOT(ISERROR(SEARCH(("Problem"),(D123))))</formula>
    </cfRule>
  </conditionalFormatting>
  <conditionalFormatting sqref="A477:A532">
    <cfRule type="containsText" dxfId="0" priority="371" operator="containsText" text="Problem">
      <formula>NOT(ISERROR(SEARCH(("Problem"),(A477))))</formula>
    </cfRule>
  </conditionalFormatting>
  <conditionalFormatting sqref="A477:A532">
    <cfRule type="containsText" dxfId="0" priority="372" operator="containsText" text="Problem">
      <formula>NOT(ISERROR(SEARCH(("Problem"),(A477))))</formula>
    </cfRule>
  </conditionalFormatting>
  <conditionalFormatting sqref="A477:A532">
    <cfRule type="containsText" dxfId="0" priority="373" operator="containsText" text="Problem">
      <formula>NOT(ISERROR(SEARCH(("Problem"),(A477))))</formula>
    </cfRule>
  </conditionalFormatting>
  <conditionalFormatting sqref="G773:G800">
    <cfRule type="containsText" dxfId="0" priority="374" operator="containsText" text="Problem">
      <formula>NOT(ISERROR(SEARCH(("Problem"),(G773))))</formula>
    </cfRule>
  </conditionalFormatting>
  <conditionalFormatting sqref="G773:G800">
    <cfRule type="containsText" dxfId="0" priority="375" operator="containsText" text="Problem">
      <formula>NOT(ISERROR(SEARCH(("Problem"),(G773))))</formula>
    </cfRule>
  </conditionalFormatting>
  <conditionalFormatting sqref="G773:G800">
    <cfRule type="containsText" dxfId="0" priority="376" operator="containsText" text="Problem">
      <formula>NOT(ISERROR(SEARCH(("Problem"),(G773))))</formula>
    </cfRule>
  </conditionalFormatting>
  <conditionalFormatting sqref="I537:I564">
    <cfRule type="containsText" dxfId="0" priority="377" operator="containsText" text="Problem">
      <formula>NOT(ISERROR(SEARCH(("Problem"),(I537))))</formula>
    </cfRule>
  </conditionalFormatting>
  <conditionalFormatting sqref="I537:I564">
    <cfRule type="containsText" dxfId="0" priority="378" operator="containsText" text="Problem">
      <formula>NOT(ISERROR(SEARCH(("Problem"),(I537))))</formula>
    </cfRule>
  </conditionalFormatting>
  <conditionalFormatting sqref="I537:I564">
    <cfRule type="containsText" dxfId="0" priority="379" operator="containsText" text="Problem">
      <formula>NOT(ISERROR(SEARCH(("Problem"),(I537))))</formula>
    </cfRule>
  </conditionalFormatting>
  <conditionalFormatting sqref="I537:I564">
    <cfRule type="containsText" dxfId="0" priority="380" operator="containsText" text="Problem">
      <formula>NOT(ISERROR(SEARCH(("Problem"),(I537))))</formula>
    </cfRule>
  </conditionalFormatting>
  <conditionalFormatting sqref="A652 J652:P652">
    <cfRule type="containsText" dxfId="0" priority="381" operator="containsText" text="Problem">
      <formula>NOT(ISERROR(SEARCH(("Problem"),(A652))))</formula>
    </cfRule>
  </conditionalFormatting>
  <conditionalFormatting sqref="A652 J652:P652">
    <cfRule type="containsText" dxfId="0" priority="382" operator="containsText" text="Problem">
      <formula>NOT(ISERROR(SEARCH(("Problem"),(A652))))</formula>
    </cfRule>
  </conditionalFormatting>
  <conditionalFormatting sqref="A652 J652:P652">
    <cfRule type="containsText" dxfId="0" priority="383" operator="containsText" text="Problem">
      <formula>NOT(ISERROR(SEARCH(("Problem"),(A652))))</formula>
    </cfRule>
  </conditionalFormatting>
  <conditionalFormatting sqref="D300">
    <cfRule type="containsText" dxfId="0" priority="384" operator="containsText" text="Problem">
      <formula>NOT(ISERROR(SEARCH(("Problem"),(D300))))</formula>
    </cfRule>
  </conditionalFormatting>
  <conditionalFormatting sqref="C534 E534:I534">
    <cfRule type="containsText" dxfId="0" priority="385" operator="containsText" text="Problem">
      <formula>NOT(ISERROR(SEARCH(("Problem"),(C534))))</formula>
    </cfRule>
  </conditionalFormatting>
  <conditionalFormatting sqref="C534 E534:I534">
    <cfRule type="containsText" dxfId="0" priority="386" operator="containsText" text="Problem">
      <formula>NOT(ISERROR(SEARCH(("Problem"),(C534))))</formula>
    </cfRule>
  </conditionalFormatting>
  <conditionalFormatting sqref="C534 E534:I534">
    <cfRule type="containsText" dxfId="0" priority="387" operator="containsText" text="Problem">
      <formula>NOT(ISERROR(SEARCH(("Problem"),(C534))))</formula>
    </cfRule>
  </conditionalFormatting>
  <conditionalFormatting sqref="D595">
    <cfRule type="containsText" dxfId="0" priority="388" operator="containsText" text="Problem">
      <formula>NOT(ISERROR(SEARCH(("Problem"),(D595))))</formula>
    </cfRule>
  </conditionalFormatting>
  <conditionalFormatting sqref="H360:H387">
    <cfRule type="containsText" dxfId="0" priority="389" operator="containsText" text="Problem">
      <formula>NOT(ISERROR(SEARCH(("Problem"),(H360))))</formula>
    </cfRule>
  </conditionalFormatting>
  <conditionalFormatting sqref="H360:H387">
    <cfRule type="containsText" dxfId="0" priority="390" operator="containsText" text="Problem">
      <formula>NOT(ISERROR(SEARCH(("Problem"),(H360))))</formula>
    </cfRule>
  </conditionalFormatting>
  <conditionalFormatting sqref="H360:H387">
    <cfRule type="containsText" dxfId="0" priority="391" operator="containsText" text="Problem">
      <formula>NOT(ISERROR(SEARCH(("Problem"),(H360))))</formula>
    </cfRule>
  </conditionalFormatting>
  <conditionalFormatting sqref="H182">
    <cfRule type="containsText" dxfId="0" priority="392" operator="containsText" text="Problem">
      <formula>NOT(ISERROR(SEARCH(("Problem"),(H182))))</formula>
    </cfRule>
  </conditionalFormatting>
  <conditionalFormatting sqref="H182">
    <cfRule type="containsText" dxfId="0" priority="393" operator="containsText" text="Problem">
      <formula>NOT(ISERROR(SEARCH(("Problem"),(H182))))</formula>
    </cfRule>
  </conditionalFormatting>
  <conditionalFormatting sqref="H182">
    <cfRule type="containsText" dxfId="0" priority="394" operator="containsText" text="Problem">
      <formula>NOT(ISERROR(SEARCH(("Problem"),(H182))))</formula>
    </cfRule>
  </conditionalFormatting>
  <conditionalFormatting sqref="D590:D591 E565:H591">
    <cfRule type="containsText" dxfId="0" priority="395" operator="containsText" text="Problem">
      <formula>NOT(ISERROR(SEARCH(("Problem"),(D590))))</formula>
    </cfRule>
  </conditionalFormatting>
  <conditionalFormatting sqref="D590:D591 E565:H591">
    <cfRule type="containsText" dxfId="0" priority="396" operator="containsText" text="Problem">
      <formula>NOT(ISERROR(SEARCH(("Problem"),(D590))))</formula>
    </cfRule>
  </conditionalFormatting>
  <conditionalFormatting sqref="D590:D591 E565:H591">
    <cfRule type="containsText" dxfId="0" priority="397" operator="containsText" text="Problem">
      <formula>NOT(ISERROR(SEARCH(("Problem"),(D590))))</formula>
    </cfRule>
  </conditionalFormatting>
  <conditionalFormatting sqref="G596:G623">
    <cfRule type="containsText" dxfId="0" priority="398" operator="containsText" text="Problem">
      <formula>NOT(ISERROR(SEARCH(("Problem"),(G596))))</formula>
    </cfRule>
  </conditionalFormatting>
  <conditionalFormatting sqref="G596:G623">
    <cfRule type="containsText" dxfId="0" priority="399" operator="containsText" text="Problem">
      <formula>NOT(ISERROR(SEARCH(("Problem"),(G596))))</formula>
    </cfRule>
  </conditionalFormatting>
  <conditionalFormatting sqref="G596:G623">
    <cfRule type="containsText" dxfId="0" priority="400" operator="containsText" text="Problem">
      <formula>NOT(ISERROR(SEARCH(("Problem"),(G596))))</formula>
    </cfRule>
  </conditionalFormatting>
  <conditionalFormatting sqref="D565:D576">
    <cfRule type="containsText" dxfId="0" priority="401" operator="containsText" text="Problem">
      <formula>NOT(ISERROR(SEARCH(("Problem"),(D565))))</formula>
    </cfRule>
  </conditionalFormatting>
  <conditionalFormatting sqref="D565:D576">
    <cfRule type="containsText" dxfId="0" priority="402" operator="containsText" text="Problem">
      <formula>NOT(ISERROR(SEARCH(("Problem"),(D565))))</formula>
    </cfRule>
  </conditionalFormatting>
  <conditionalFormatting sqref="D565:D576">
    <cfRule type="containsText" dxfId="0" priority="403" operator="containsText" text="Problem">
      <formula>NOT(ISERROR(SEARCH(("Problem"),(D565))))</formula>
    </cfRule>
  </conditionalFormatting>
  <conditionalFormatting sqref="I64">
    <cfRule type="containsText" dxfId="0" priority="404" operator="containsText" text="Problem">
      <formula>NOT(ISERROR(SEARCH(("Problem"),(I64))))</formula>
    </cfRule>
  </conditionalFormatting>
  <conditionalFormatting sqref="I64">
    <cfRule type="containsText" dxfId="0" priority="405" operator="containsText" text="Problem">
      <formula>NOT(ISERROR(SEARCH(("Problem"),(I64))))</formula>
    </cfRule>
  </conditionalFormatting>
  <conditionalFormatting sqref="I64">
    <cfRule type="containsText" dxfId="0" priority="406" operator="containsText" text="Problem">
      <formula>NOT(ISERROR(SEARCH(("Problem"),(I64))))</formula>
    </cfRule>
  </conditionalFormatting>
  <conditionalFormatting sqref="B514:C514 B526:B529 B531:C532 C483:C513 C523:C529">
    <cfRule type="containsText" dxfId="0" priority="407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408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409" operator="containsText" text="Problem">
      <formula>NOT(ISERROR(SEARCH(("Problem"),(B514))))</formula>
    </cfRule>
  </conditionalFormatting>
  <conditionalFormatting sqref="F478:F505">
    <cfRule type="containsText" dxfId="0" priority="410" operator="containsText" text="Problem">
      <formula>NOT(ISERROR(SEARCH(("Problem"),(F478))))</formula>
    </cfRule>
  </conditionalFormatting>
  <conditionalFormatting sqref="F478:F505">
    <cfRule type="containsText" dxfId="0" priority="411" operator="containsText" text="Problem">
      <formula>NOT(ISERROR(SEARCH(("Problem"),(F478))))</formula>
    </cfRule>
  </conditionalFormatting>
  <conditionalFormatting sqref="F478:F505">
    <cfRule type="containsText" dxfId="0" priority="412" operator="containsText" text="Problem">
      <formula>NOT(ISERROR(SEARCH(("Problem"),(F478))))</formula>
    </cfRule>
  </conditionalFormatting>
  <conditionalFormatting sqref="A3:A61 B42:C42 B54:B57 B59:C61 C11:C41 C51:C57 I35:I61 J3:P61">
    <cfRule type="containsText" dxfId="0" priority="413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414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415" operator="containsText" text="Problem">
      <formula>NOT(ISERROR(SEARCH(("Problem"),(A3))))</formula>
    </cfRule>
  </conditionalFormatting>
  <conditionalFormatting sqref="D359">
    <cfRule type="containsText" dxfId="0" priority="416" operator="containsText" text="Problem">
      <formula>NOT(ISERROR(SEARCH(("Problem"),(D359))))</formula>
    </cfRule>
  </conditionalFormatting>
  <conditionalFormatting sqref="F242:F269">
    <cfRule type="containsText" dxfId="0" priority="417" operator="containsText" text="Problem">
      <formula>NOT(ISERROR(SEARCH(("Problem"),(F242))))</formula>
    </cfRule>
  </conditionalFormatting>
  <conditionalFormatting sqref="F242:F269">
    <cfRule type="containsText" dxfId="0" priority="418" operator="containsText" text="Problem">
      <formula>NOT(ISERROR(SEARCH(("Problem"),(F242))))</formula>
    </cfRule>
  </conditionalFormatting>
  <conditionalFormatting sqref="F242:F269">
    <cfRule type="containsText" dxfId="0" priority="419" operator="containsText" text="Problem">
      <formula>NOT(ISERROR(SEARCH(("Problem"),(F242))))</formula>
    </cfRule>
  </conditionalFormatting>
  <conditionalFormatting sqref="B337:C337 B349:B352 B354:C355 C306:C336 C346:C352">
    <cfRule type="containsText" dxfId="0" priority="420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21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22" operator="containsText" text="Problem">
      <formula>NOT(ISERROR(SEARCH(("Problem"),(B337))))</formula>
    </cfRule>
  </conditionalFormatting>
  <conditionalFormatting sqref="I6:I34">
    <cfRule type="containsText" dxfId="0" priority="423" operator="containsText" text="Problem">
      <formula>NOT(ISERROR(SEARCH(("Problem"),(I6))))</formula>
    </cfRule>
  </conditionalFormatting>
  <conditionalFormatting sqref="I6:I34">
    <cfRule type="containsText" dxfId="0" priority="424" operator="containsText" text="Problem">
      <formula>NOT(ISERROR(SEARCH(("Problem"),(I6))))</formula>
    </cfRule>
  </conditionalFormatting>
  <conditionalFormatting sqref="I6:I34">
    <cfRule type="containsText" dxfId="0" priority="425" operator="containsText" text="Problem">
      <formula>NOT(ISERROR(SEARCH(("Problem"),(I6))))</formula>
    </cfRule>
  </conditionalFormatting>
  <conditionalFormatting sqref="I6:I34">
    <cfRule type="containsText" dxfId="0" priority="426" operator="containsText" text="Problem">
      <formula>NOT(ISERROR(SEARCH(("Problem"),(I6))))</formula>
    </cfRule>
  </conditionalFormatting>
  <conditionalFormatting sqref="I6:I34">
    <cfRule type="containsText" dxfId="0" priority="427" operator="containsText" text="Problem">
      <formula>NOT(ISERROR(SEARCH(("Problem"),(I6))))</formula>
    </cfRule>
  </conditionalFormatting>
  <conditionalFormatting sqref="I6:I34">
    <cfRule type="containsText" dxfId="0" priority="428" operator="containsText" text="Problem">
      <formula>NOT(ISERROR(SEARCH(("Problem"),(I6))))</formula>
    </cfRule>
  </conditionalFormatting>
  <conditionalFormatting sqref="D124">
    <cfRule type="containsText" dxfId="0" priority="429" operator="containsText" text="Problem">
      <formula>NOT(ISERROR(SEARCH(("Problem"),(D124))))</formula>
    </cfRule>
  </conditionalFormatting>
  <conditionalFormatting sqref="D124">
    <cfRule type="containsText" dxfId="0" priority="430" operator="containsText" text="Problem">
      <formula>NOT(ISERROR(SEARCH(("Problem"),(D124))))</formula>
    </cfRule>
  </conditionalFormatting>
  <conditionalFormatting sqref="D124">
    <cfRule type="containsText" dxfId="0" priority="431" operator="containsText" text="Problem">
      <formula>NOT(ISERROR(SEARCH(("Problem"),(D124))))</formula>
    </cfRule>
  </conditionalFormatting>
  <conditionalFormatting sqref="H773:H800">
    <cfRule type="containsText" dxfId="0" priority="432" operator="containsText" text="Problem">
      <formula>NOT(ISERROR(SEARCH(("Problem"),(H773))))</formula>
    </cfRule>
  </conditionalFormatting>
  <conditionalFormatting sqref="H773:H800">
    <cfRule type="containsText" dxfId="0" priority="433" operator="containsText" text="Problem">
      <formula>NOT(ISERROR(SEARCH(("Problem"),(H773))))</formula>
    </cfRule>
  </conditionalFormatting>
  <conditionalFormatting sqref="H773:H800">
    <cfRule type="containsText" dxfId="0" priority="434" operator="containsText" text="Problem">
      <formula>NOT(ISERROR(SEARCH(("Problem"),(H773))))</formula>
    </cfRule>
  </conditionalFormatting>
  <conditionalFormatting sqref="D125:D151">
    <cfRule type="containsText" dxfId="0" priority="435" operator="containsText" text="Problem">
      <formula>NOT(ISERROR(SEARCH(("Problem"),(D125))))</formula>
    </cfRule>
  </conditionalFormatting>
  <conditionalFormatting sqref="D125:D151">
    <cfRule type="containsText" dxfId="0" priority="436" operator="containsText" text="Problem">
      <formula>NOT(ISERROR(SEARCH(("Problem"),(D125))))</formula>
    </cfRule>
  </conditionalFormatting>
  <conditionalFormatting sqref="D125:D151">
    <cfRule type="containsText" dxfId="0" priority="437" operator="containsText" text="Problem">
      <formula>NOT(ISERROR(SEARCH(("Problem"),(D125))))</formula>
    </cfRule>
  </conditionalFormatting>
  <conditionalFormatting sqref="D125:D151">
    <cfRule type="containsText" dxfId="0" priority="438" operator="containsText" text="Problem">
      <formula>NOT(ISERROR(SEARCH(("Problem"),(D125))))</formula>
    </cfRule>
  </conditionalFormatting>
  <conditionalFormatting sqref="D393:D412">
    <cfRule type="containsText" dxfId="0" priority="439" operator="containsText" text="Problem">
      <formula>NOT(ISERROR(SEARCH(("Problem"),(D393))))</formula>
    </cfRule>
  </conditionalFormatting>
  <conditionalFormatting sqref="D393:D412">
    <cfRule type="containsText" dxfId="0" priority="440" operator="containsText" text="Problem">
      <formula>NOT(ISERROR(SEARCH(("Problem"),(D393))))</formula>
    </cfRule>
  </conditionalFormatting>
  <conditionalFormatting sqref="E478:E505">
    <cfRule type="containsText" dxfId="0" priority="441" operator="containsText" text="Problem">
      <formula>NOT(ISERROR(SEARCH(("Problem"),(E478))))</formula>
    </cfRule>
  </conditionalFormatting>
  <conditionalFormatting sqref="E478:E505">
    <cfRule type="containsText" dxfId="0" priority="442" operator="containsText" text="Problem">
      <formula>NOT(ISERROR(SEARCH(("Problem"),(E478))))</formula>
    </cfRule>
  </conditionalFormatting>
  <conditionalFormatting sqref="E478:E505">
    <cfRule type="containsText" dxfId="0" priority="443" operator="containsText" text="Problem">
      <formula>NOT(ISERROR(SEARCH(("Problem"),(E478))))</formula>
    </cfRule>
  </conditionalFormatting>
  <conditionalFormatting sqref="A890:A945">
    <cfRule type="containsText" dxfId="0" priority="444" operator="containsText" text="Problem">
      <formula>NOT(ISERROR(SEARCH(("Problem"),(A890))))</formula>
    </cfRule>
  </conditionalFormatting>
  <conditionalFormatting sqref="A890:A945">
    <cfRule type="containsText" dxfId="0" priority="445" operator="containsText" text="Problem">
      <formula>NOT(ISERROR(SEARCH(("Problem"),(A890))))</formula>
    </cfRule>
  </conditionalFormatting>
  <conditionalFormatting sqref="A890:A945">
    <cfRule type="containsText" dxfId="0" priority="446" operator="containsText" text="Problem">
      <formula>NOT(ISERROR(SEARCH(("Problem"),(A890))))</formula>
    </cfRule>
  </conditionalFormatting>
  <conditionalFormatting sqref="I124:I151">
    <cfRule type="containsText" dxfId="0" priority="447" operator="containsText" text="Problem">
      <formula>NOT(ISERROR(SEARCH(("Problem"),(I124))))</formula>
    </cfRule>
  </conditionalFormatting>
  <conditionalFormatting sqref="I124:I151">
    <cfRule type="containsText" dxfId="0" priority="448" operator="containsText" text="Problem">
      <formula>NOT(ISERROR(SEARCH(("Problem"),(I124))))</formula>
    </cfRule>
  </conditionalFormatting>
  <conditionalFormatting sqref="I124:I151">
    <cfRule type="containsText" dxfId="0" priority="449" operator="containsText" text="Problem">
      <formula>NOT(ISERROR(SEARCH(("Problem"),(I124))))</formula>
    </cfRule>
  </conditionalFormatting>
  <conditionalFormatting sqref="I124:I151">
    <cfRule type="containsText" dxfId="0" priority="450" operator="containsText" text="Problem">
      <formula>NOT(ISERROR(SEARCH(("Problem"),(I124))))</formula>
    </cfRule>
  </conditionalFormatting>
  <conditionalFormatting sqref="F536">
    <cfRule type="containsText" dxfId="0" priority="451" operator="containsText" text="Problem">
      <formula>NOT(ISERROR(SEARCH(("Problem"),(F536))))</formula>
    </cfRule>
  </conditionalFormatting>
  <conditionalFormatting sqref="F536">
    <cfRule type="containsText" dxfId="0" priority="452" operator="containsText" text="Problem">
      <formula>NOT(ISERROR(SEARCH(("Problem"),(F536))))</formula>
    </cfRule>
  </conditionalFormatting>
  <conditionalFormatting sqref="F536">
    <cfRule type="containsText" dxfId="0" priority="453" operator="containsText" text="Problem">
      <formula>NOT(ISERROR(SEARCH(("Problem"),(F536))))</formula>
    </cfRule>
  </conditionalFormatting>
  <conditionalFormatting sqref="E536">
    <cfRule type="containsText" dxfId="0" priority="454" operator="containsText" text="Problem">
      <formula>NOT(ISERROR(SEARCH(("Problem"),(E536))))</formula>
    </cfRule>
  </conditionalFormatting>
  <conditionalFormatting sqref="E536">
    <cfRule type="containsText" dxfId="0" priority="455" operator="containsText" text="Problem">
      <formula>NOT(ISERROR(SEARCH(("Problem"),(E536))))</formula>
    </cfRule>
  </conditionalFormatting>
  <conditionalFormatting sqref="E536">
    <cfRule type="containsText" dxfId="0" priority="456" operator="containsText" text="Problem">
      <formula>NOT(ISERROR(SEARCH(("Problem"),(E536))))</formula>
    </cfRule>
  </conditionalFormatting>
  <conditionalFormatting sqref="G241">
    <cfRule type="containsText" dxfId="0" priority="457" operator="containsText" text="Problem">
      <formula>NOT(ISERROR(SEARCH(("Problem"),(G241))))</formula>
    </cfRule>
  </conditionalFormatting>
  <conditionalFormatting sqref="G241">
    <cfRule type="containsText" dxfId="0" priority="458" operator="containsText" text="Problem">
      <formula>NOT(ISERROR(SEARCH(("Problem"),(G241))))</formula>
    </cfRule>
  </conditionalFormatting>
  <conditionalFormatting sqref="G241">
    <cfRule type="containsText" dxfId="0" priority="459" operator="containsText" text="Problem">
      <formula>NOT(ISERROR(SEARCH(("Problem"),(G241))))</formula>
    </cfRule>
  </conditionalFormatting>
  <conditionalFormatting sqref="B396:C396 B408:B411 B413:C414 C365:C395 C405:C411">
    <cfRule type="containsText" dxfId="0" priority="460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461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462" operator="containsText" text="Problem">
      <formula>NOT(ISERROR(SEARCH(("Problem"),(B396))))</formula>
    </cfRule>
  </conditionalFormatting>
  <conditionalFormatting sqref="D467:D471">
    <cfRule type="containsText" dxfId="0" priority="463" operator="containsText" text="Problem">
      <formula>NOT(ISERROR(SEARCH(("Problem"),(D467))))</formula>
    </cfRule>
  </conditionalFormatting>
  <conditionalFormatting sqref="D467:D471">
    <cfRule type="containsText" dxfId="0" priority="464" operator="containsText" text="Problem">
      <formula>NOT(ISERROR(SEARCH(("Problem"),(D467))))</formula>
    </cfRule>
  </conditionalFormatting>
  <conditionalFormatting sqref="I832:I859">
    <cfRule type="containsText" dxfId="0" priority="465" operator="containsText" text="Problem">
      <formula>NOT(ISERROR(SEARCH(("Problem"),(I832))))</formula>
    </cfRule>
  </conditionalFormatting>
  <conditionalFormatting sqref="I832:I859">
    <cfRule type="containsText" dxfId="0" priority="466" operator="containsText" text="Problem">
      <formula>NOT(ISERROR(SEARCH(("Problem"),(I832))))</formula>
    </cfRule>
  </conditionalFormatting>
  <conditionalFormatting sqref="I832:I859">
    <cfRule type="containsText" dxfId="0" priority="467" operator="containsText" text="Problem">
      <formula>NOT(ISERROR(SEARCH(("Problem"),(I832))))</formula>
    </cfRule>
  </conditionalFormatting>
  <conditionalFormatting sqref="I832:I859">
    <cfRule type="containsText" dxfId="0" priority="468" operator="containsText" text="Problem">
      <formula>NOT(ISERROR(SEARCH(("Problem"),(I832))))</formula>
    </cfRule>
  </conditionalFormatting>
  <conditionalFormatting sqref="E654">
    <cfRule type="containsText" dxfId="0" priority="469" operator="containsText" text="Problem">
      <formula>NOT(ISERROR(SEARCH(("Problem"),(E654))))</formula>
    </cfRule>
  </conditionalFormatting>
  <conditionalFormatting sqref="E654">
    <cfRule type="containsText" dxfId="0" priority="470" operator="containsText" text="Problem">
      <formula>NOT(ISERROR(SEARCH(("Problem"),(E654))))</formula>
    </cfRule>
  </conditionalFormatting>
  <conditionalFormatting sqref="E654">
    <cfRule type="containsText" dxfId="0" priority="471" operator="containsText" text="Problem">
      <formula>NOT(ISERROR(SEARCH(("Problem"),(E654))))</formula>
    </cfRule>
  </conditionalFormatting>
  <conditionalFormatting sqref="D649:D650 E624:H650">
    <cfRule type="containsText" dxfId="0" priority="472" operator="containsText" text="Problem">
      <formula>NOT(ISERROR(SEARCH(("Problem"),(D649))))</formula>
    </cfRule>
  </conditionalFormatting>
  <conditionalFormatting sqref="D649:D650 E624:H650">
    <cfRule type="containsText" dxfId="0" priority="473" operator="containsText" text="Problem">
      <formula>NOT(ISERROR(SEARCH(("Problem"),(D649))))</formula>
    </cfRule>
  </conditionalFormatting>
  <conditionalFormatting sqref="D649:D650 E624:H650">
    <cfRule type="containsText" dxfId="0" priority="474" operator="containsText" text="Problem">
      <formula>NOT(ISERROR(SEARCH(("Problem"),(D649))))</formula>
    </cfRule>
  </conditionalFormatting>
  <conditionalFormatting sqref="H714:H741">
    <cfRule type="containsText" dxfId="0" priority="475" operator="containsText" text="Problem">
      <formula>NOT(ISERROR(SEARCH(("Problem"),(H714))))</formula>
    </cfRule>
  </conditionalFormatting>
  <conditionalFormatting sqref="H714:H741">
    <cfRule type="containsText" dxfId="0" priority="476" operator="containsText" text="Problem">
      <formula>NOT(ISERROR(SEARCH(("Problem"),(H714))))</formula>
    </cfRule>
  </conditionalFormatting>
  <conditionalFormatting sqref="H714:H741">
    <cfRule type="containsText" dxfId="0" priority="477" operator="containsText" text="Problem">
      <formula>NOT(ISERROR(SEARCH(("Problem"),(H714))))</formula>
    </cfRule>
  </conditionalFormatting>
  <conditionalFormatting sqref="D301:D311">
    <cfRule type="containsText" dxfId="0" priority="478" operator="containsText" text="Problem">
      <formula>NOT(ISERROR(SEARCH(("Problem"),(D301))))</formula>
    </cfRule>
  </conditionalFormatting>
  <conditionalFormatting sqref="D301:D311">
    <cfRule type="containsText" dxfId="0" priority="479" operator="containsText" text="Problem">
      <formula>NOT(ISERROR(SEARCH(("Problem"),(D301))))</formula>
    </cfRule>
  </conditionalFormatting>
  <conditionalFormatting sqref="D301:D311">
    <cfRule type="containsText" dxfId="0" priority="480" operator="containsText" text="Problem">
      <formula>NOT(ISERROR(SEARCH(("Problem"),(D301))))</formula>
    </cfRule>
  </conditionalFormatting>
  <conditionalFormatting sqref="C770 E770:I770">
    <cfRule type="containsText" dxfId="0" priority="481" operator="containsText" text="Problem">
      <formula>NOT(ISERROR(SEARCH(("Problem"),(C770))))</formula>
    </cfRule>
  </conditionalFormatting>
  <conditionalFormatting sqref="C770 E770:I770">
    <cfRule type="containsText" dxfId="0" priority="482" operator="containsText" text="Problem">
      <formula>NOT(ISERROR(SEARCH(("Problem"),(C770))))</formula>
    </cfRule>
  </conditionalFormatting>
  <conditionalFormatting sqref="C770 E770:I770">
    <cfRule type="containsText" dxfId="0" priority="483" operator="containsText" text="Problem">
      <formula>NOT(ISERROR(SEARCH(("Problem"),(C770))))</formula>
    </cfRule>
  </conditionalFormatting>
  <conditionalFormatting sqref="F65:F92">
    <cfRule type="containsText" dxfId="0" priority="484" operator="containsText" text="Problem">
      <formula>NOT(ISERROR(SEARCH(("Problem"),(F65))))</formula>
    </cfRule>
  </conditionalFormatting>
  <conditionalFormatting sqref="F65:F92">
    <cfRule type="containsText" dxfId="0" priority="485" operator="containsText" text="Problem">
      <formula>NOT(ISERROR(SEARCH(("Problem"),(F65))))</formula>
    </cfRule>
  </conditionalFormatting>
  <conditionalFormatting sqref="F65:F92">
    <cfRule type="containsText" dxfId="0" priority="486" operator="containsText" text="Problem">
      <formula>NOT(ISERROR(SEARCH(("Problem"),(F65))))</formula>
    </cfRule>
  </conditionalFormatting>
  <conditionalFormatting sqref="D708:D709 E683:H709">
    <cfRule type="containsText" dxfId="0" priority="487" operator="containsText" text="Problem">
      <formula>NOT(ISERROR(SEARCH(("Problem"),(D708))))</formula>
    </cfRule>
  </conditionalFormatting>
  <conditionalFormatting sqref="D708:D709 E683:H709">
    <cfRule type="containsText" dxfId="0" priority="488" operator="containsText" text="Problem">
      <formula>NOT(ISERROR(SEARCH(("Problem"),(D708))))</formula>
    </cfRule>
  </conditionalFormatting>
  <conditionalFormatting sqref="D708:D709 E683:H709">
    <cfRule type="containsText" dxfId="0" priority="489" operator="containsText" text="Problem">
      <formula>NOT(ISERROR(SEARCH(("Problem"),(D708))))</formula>
    </cfRule>
  </conditionalFormatting>
  <conditionalFormatting sqref="E64">
    <cfRule type="containsText" dxfId="0" priority="490" operator="containsText" text="Problem">
      <formula>NOT(ISERROR(SEARCH(("Problem"),(E64))))</formula>
    </cfRule>
  </conditionalFormatting>
  <conditionalFormatting sqref="E64">
    <cfRule type="containsText" dxfId="0" priority="491" operator="containsText" text="Problem">
      <formula>NOT(ISERROR(SEARCH(("Problem"),(E64))))</formula>
    </cfRule>
  </conditionalFormatting>
  <conditionalFormatting sqref="E64">
    <cfRule type="containsText" dxfId="0" priority="492" operator="containsText" text="Problem">
      <formula>NOT(ISERROR(SEARCH(("Problem"),(E64))))</formula>
    </cfRule>
  </conditionalFormatting>
  <conditionalFormatting sqref="G714:G741">
    <cfRule type="containsText" dxfId="0" priority="493" operator="containsText" text="Problem">
      <formula>NOT(ISERROR(SEARCH(("Problem"),(G714))))</formula>
    </cfRule>
  </conditionalFormatting>
  <conditionalFormatting sqref="G714:G741">
    <cfRule type="containsText" dxfId="0" priority="494" operator="containsText" text="Problem">
      <formula>NOT(ISERROR(SEARCH(("Problem"),(G714))))</formula>
    </cfRule>
  </conditionalFormatting>
  <conditionalFormatting sqref="G714:G741">
    <cfRule type="containsText" dxfId="0" priority="495" operator="containsText" text="Problem">
      <formula>NOT(ISERROR(SEARCH(("Problem"),(G714))))</formula>
    </cfRule>
  </conditionalFormatting>
  <conditionalFormatting sqref="E301:E328">
    <cfRule type="containsText" dxfId="0" priority="496" operator="containsText" text="Problem">
      <formula>NOT(ISERROR(SEARCH(("Problem"),(E301))))</formula>
    </cfRule>
  </conditionalFormatting>
  <conditionalFormatting sqref="E301:E328">
    <cfRule type="containsText" dxfId="0" priority="497" operator="containsText" text="Problem">
      <formula>NOT(ISERROR(SEARCH(("Problem"),(E301))))</formula>
    </cfRule>
  </conditionalFormatting>
  <conditionalFormatting sqref="E301:E328">
    <cfRule type="containsText" dxfId="0" priority="498" operator="containsText" text="Problem">
      <formula>NOT(ISERROR(SEARCH(("Problem"),(E301))))</formula>
    </cfRule>
  </conditionalFormatting>
  <conditionalFormatting sqref="E714:E741">
    <cfRule type="containsText" dxfId="0" priority="499" operator="containsText" text="Problem">
      <formula>NOT(ISERROR(SEARCH(("Problem"),(E714))))</formula>
    </cfRule>
  </conditionalFormatting>
  <conditionalFormatting sqref="E714:E741">
    <cfRule type="containsText" dxfId="0" priority="500" operator="containsText" text="Problem">
      <formula>NOT(ISERROR(SEARCH(("Problem"),(E714))))</formula>
    </cfRule>
  </conditionalFormatting>
  <conditionalFormatting sqref="E714:E741">
    <cfRule type="containsText" dxfId="0" priority="501" operator="containsText" text="Problem">
      <formula>NOT(ISERROR(SEARCH(("Problem"),(E714))))</formula>
    </cfRule>
  </conditionalFormatting>
  <conditionalFormatting sqref="D329:D338">
    <cfRule type="containsText" dxfId="0" priority="502" operator="containsText" text="Problem">
      <formula>NOT(ISERROR(SEARCH(("Problem"),(D329))))</formula>
    </cfRule>
  </conditionalFormatting>
  <conditionalFormatting sqref="D329:D338">
    <cfRule type="containsText" dxfId="0" priority="503" operator="containsText" text="Problem">
      <formula>NOT(ISERROR(SEARCH(("Problem"),(D329))))</formula>
    </cfRule>
  </conditionalFormatting>
  <conditionalFormatting sqref="D329:D338">
    <cfRule type="containsText" dxfId="0" priority="504" operator="containsText" text="Problem">
      <formula>NOT(ISERROR(SEARCH(("Problem"),(D329))))</formula>
    </cfRule>
  </conditionalFormatting>
  <conditionalFormatting sqref="A180 J180:P180">
    <cfRule type="containsText" dxfId="0" priority="505" operator="containsText" text="Problem">
      <formula>NOT(ISERROR(SEARCH(("Problem"),(A180))))</formula>
    </cfRule>
  </conditionalFormatting>
  <conditionalFormatting sqref="A180 J180:P180">
    <cfRule type="containsText" dxfId="0" priority="506" operator="containsText" text="Problem">
      <formula>NOT(ISERROR(SEARCH(("Problem"),(A180))))</formula>
    </cfRule>
  </conditionalFormatting>
  <conditionalFormatting sqref="A180 J180:P180">
    <cfRule type="containsText" dxfId="0" priority="507" operator="containsText" text="Problem">
      <formula>NOT(ISERROR(SEARCH(("Problem"),(A180))))</formula>
    </cfRule>
  </conditionalFormatting>
  <conditionalFormatting sqref="I772">
    <cfRule type="containsText" dxfId="0" priority="508" operator="containsText" text="Problem">
      <formula>NOT(ISERROR(SEARCH(("Problem"),(I772))))</formula>
    </cfRule>
  </conditionalFormatting>
  <conditionalFormatting sqref="I772">
    <cfRule type="containsText" dxfId="0" priority="509" operator="containsText" text="Problem">
      <formula>NOT(ISERROR(SEARCH(("Problem"),(I772))))</formula>
    </cfRule>
  </conditionalFormatting>
  <conditionalFormatting sqref="I772">
    <cfRule type="containsText" dxfId="0" priority="510" operator="containsText" text="Problem">
      <formula>NOT(ISERROR(SEARCH(("Problem"),(I772))))</formula>
    </cfRule>
  </conditionalFormatting>
  <conditionalFormatting sqref="C416 E416:I416">
    <cfRule type="containsText" dxfId="0" priority="511" operator="containsText" text="Problem">
      <formula>NOT(ISERROR(SEARCH(("Problem"),(C416))))</formula>
    </cfRule>
  </conditionalFormatting>
  <conditionalFormatting sqref="C416 E416:I416">
    <cfRule type="containsText" dxfId="0" priority="512" operator="containsText" text="Problem">
      <formula>NOT(ISERROR(SEARCH(("Problem"),(C416))))</formula>
    </cfRule>
  </conditionalFormatting>
  <conditionalFormatting sqref="C416 E416:I416">
    <cfRule type="containsText" dxfId="0" priority="513" operator="containsText" text="Problem">
      <formula>NOT(ISERROR(SEARCH(("Problem"),(C416))))</formula>
    </cfRule>
  </conditionalFormatting>
  <conditionalFormatting sqref="G713">
    <cfRule type="containsText" dxfId="0" priority="514" operator="containsText" text="Problem">
      <formula>NOT(ISERROR(SEARCH(("Problem"),(G713))))</formula>
    </cfRule>
  </conditionalFormatting>
  <conditionalFormatting sqref="G713">
    <cfRule type="containsText" dxfId="0" priority="515" operator="containsText" text="Problem">
      <formula>NOT(ISERROR(SEARCH(("Problem"),(G713))))</formula>
    </cfRule>
  </conditionalFormatting>
  <conditionalFormatting sqref="G713">
    <cfRule type="containsText" dxfId="0" priority="516" operator="containsText" text="Problem">
      <formula>NOT(ISERROR(SEARCH(("Problem"),(G713))))</formula>
    </cfRule>
  </conditionalFormatting>
  <conditionalFormatting sqref="E360:E387">
    <cfRule type="containsText" dxfId="0" priority="517" operator="containsText" text="Problem">
      <formula>NOT(ISERROR(SEARCH(("Problem"),(E360))))</formula>
    </cfRule>
  </conditionalFormatting>
  <conditionalFormatting sqref="E360:E387">
    <cfRule type="containsText" dxfId="0" priority="518" operator="containsText" text="Problem">
      <formula>NOT(ISERROR(SEARCH(("Problem"),(E360))))</formula>
    </cfRule>
  </conditionalFormatting>
  <conditionalFormatting sqref="E360:E387">
    <cfRule type="containsText" dxfId="0" priority="519" operator="containsText" text="Problem">
      <formula>NOT(ISERROR(SEARCH(("Problem"),(E360))))</formula>
    </cfRule>
  </conditionalFormatting>
  <conditionalFormatting sqref="D419:D446">
    <cfRule type="containsText" dxfId="0" priority="520" operator="containsText" text="Problem">
      <formula>NOT(ISERROR(SEARCH(("Problem"),(D419))))</formula>
    </cfRule>
  </conditionalFormatting>
  <conditionalFormatting sqref="D419:D446">
    <cfRule type="containsText" dxfId="0" priority="521" operator="containsText" text="Problem">
      <formula>NOT(ISERROR(SEARCH(("Problem"),(D419))))</formula>
    </cfRule>
  </conditionalFormatting>
  <conditionalFormatting sqref="D419:D446">
    <cfRule type="containsText" dxfId="0" priority="522" operator="containsText" text="Problem">
      <formula>NOT(ISERROR(SEARCH(("Problem"),(D419))))</formula>
    </cfRule>
  </conditionalFormatting>
  <conditionalFormatting sqref="D419:D446">
    <cfRule type="containsText" dxfId="0" priority="523" operator="containsText" text="Problem">
      <formula>NOT(ISERROR(SEARCH(("Problem"),(D419))))</formula>
    </cfRule>
  </conditionalFormatting>
  <conditionalFormatting sqref="C652 E652:I652">
    <cfRule type="containsText" dxfId="0" priority="524" operator="containsText" text="Problem">
      <formula>NOT(ISERROR(SEARCH(("Problem"),(C652))))</formula>
    </cfRule>
  </conditionalFormatting>
  <conditionalFormatting sqref="C652 E652:I652">
    <cfRule type="containsText" dxfId="0" priority="525" operator="containsText" text="Problem">
      <formula>NOT(ISERROR(SEARCH(("Problem"),(C652))))</formula>
    </cfRule>
  </conditionalFormatting>
  <conditionalFormatting sqref="C652 E652:I652">
    <cfRule type="containsText" dxfId="0" priority="526" operator="containsText" text="Problem">
      <formula>NOT(ISERROR(SEARCH(("Problem"),(C652))))</formula>
    </cfRule>
  </conditionalFormatting>
  <conditionalFormatting sqref="F300">
    <cfRule type="containsText" dxfId="0" priority="527" operator="containsText" text="Problem">
      <formula>NOT(ISERROR(SEARCH(("Problem"),(F300))))</formula>
    </cfRule>
  </conditionalFormatting>
  <conditionalFormatting sqref="F300">
    <cfRule type="containsText" dxfId="0" priority="528" operator="containsText" text="Problem">
      <formula>NOT(ISERROR(SEARCH(("Problem"),(F300))))</formula>
    </cfRule>
  </conditionalFormatting>
  <conditionalFormatting sqref="F300">
    <cfRule type="containsText" dxfId="0" priority="529" operator="containsText" text="Problem">
      <formula>NOT(ISERROR(SEARCH(("Problem"),(F300))))</formula>
    </cfRule>
  </conditionalFormatting>
  <conditionalFormatting sqref="D506:D527">
    <cfRule type="containsText" dxfId="0" priority="530" operator="containsText" text="Problem">
      <formula>NOT(ISERROR(SEARCH(("Problem"),(D506))))</formula>
    </cfRule>
  </conditionalFormatting>
  <conditionalFormatting sqref="D506:D527">
    <cfRule type="containsText" dxfId="0" priority="531" operator="containsText" text="Problem">
      <formula>NOT(ISERROR(SEARCH(("Problem"),(D506))))</formula>
    </cfRule>
  </conditionalFormatting>
  <conditionalFormatting sqref="D506:D527">
    <cfRule type="containsText" dxfId="0" priority="532" operator="containsText" text="Problem">
      <formula>NOT(ISERROR(SEARCH(("Problem"),(D506))))</formula>
    </cfRule>
  </conditionalFormatting>
  <conditionalFormatting sqref="A888 E888:P888">
    <cfRule type="containsText" dxfId="0" priority="533" operator="containsText" text="Problem">
      <formula>NOT(ISERROR(SEARCH(("Problem"),(A888))))</formula>
    </cfRule>
  </conditionalFormatting>
  <conditionalFormatting sqref="A888 E888:P888">
    <cfRule type="containsText" dxfId="0" priority="534" operator="containsText" text="Problem">
      <formula>NOT(ISERROR(SEARCH(("Problem"),(A888))))</formula>
    </cfRule>
  </conditionalFormatting>
  <conditionalFormatting sqref="A888 E888:P888">
    <cfRule type="containsText" dxfId="0" priority="535" operator="containsText" text="Problem">
      <formula>NOT(ISERROR(SEARCH(("Problem"),(A888))))</formula>
    </cfRule>
  </conditionalFormatting>
  <conditionalFormatting sqref="I714:I741">
    <cfRule type="containsText" dxfId="0" priority="536" operator="containsText" text="Problem">
      <formula>NOT(ISERROR(SEARCH(("Problem"),(I714))))</formula>
    </cfRule>
  </conditionalFormatting>
  <conditionalFormatting sqref="I714:I741">
    <cfRule type="containsText" dxfId="0" priority="537" operator="containsText" text="Problem">
      <formula>NOT(ISERROR(SEARCH(("Problem"),(I714))))</formula>
    </cfRule>
  </conditionalFormatting>
  <conditionalFormatting sqref="I714:I741">
    <cfRule type="containsText" dxfId="0" priority="538" operator="containsText" text="Problem">
      <formula>NOT(ISERROR(SEARCH(("Problem"),(I714))))</formula>
    </cfRule>
  </conditionalFormatting>
  <conditionalFormatting sqref="I714:I741">
    <cfRule type="containsText" dxfId="0" priority="539" operator="containsText" text="Problem">
      <formula>NOT(ISERROR(SEARCH(("Problem"),(I714))))</formula>
    </cfRule>
  </conditionalFormatting>
  <conditionalFormatting sqref="H713">
    <cfRule type="containsText" dxfId="0" priority="540" operator="containsText" text="Problem">
      <formula>NOT(ISERROR(SEARCH(("Problem"),(H713))))</formula>
    </cfRule>
  </conditionalFormatting>
  <conditionalFormatting sqref="H713">
    <cfRule type="containsText" dxfId="0" priority="541" operator="containsText" text="Problem">
      <formula>NOT(ISERROR(SEARCH(("Problem"),(H713))))</formula>
    </cfRule>
  </conditionalFormatting>
  <conditionalFormatting sqref="H713">
    <cfRule type="containsText" dxfId="0" priority="542" operator="containsText" text="Problem">
      <formula>NOT(ISERROR(SEARCH(("Problem"),(H713))))</formula>
    </cfRule>
  </conditionalFormatting>
  <conditionalFormatting sqref="D270:D278">
    <cfRule type="containsText" dxfId="0" priority="543" operator="containsText" text="Problem">
      <formula>NOT(ISERROR(SEARCH(("Problem"),(D270))))</formula>
    </cfRule>
  </conditionalFormatting>
  <conditionalFormatting sqref="D270:D278">
    <cfRule type="containsText" dxfId="0" priority="544" operator="containsText" text="Problem">
      <formula>NOT(ISERROR(SEARCH(("Problem"),(D270))))</formula>
    </cfRule>
  </conditionalFormatting>
  <conditionalFormatting sqref="D270:D278">
    <cfRule type="containsText" dxfId="0" priority="545" operator="containsText" text="Problem">
      <formula>NOT(ISERROR(SEARCH(("Problem"),(D270))))</formula>
    </cfRule>
  </conditionalFormatting>
  <conditionalFormatting sqref="D35:D60">
    <cfRule type="containsText" dxfId="0" priority="546" operator="containsText" text="Problem">
      <formula>NOT(ISERROR(SEARCH(("Problem"),(D35))))</formula>
    </cfRule>
  </conditionalFormatting>
  <conditionalFormatting sqref="D35:D60">
    <cfRule type="containsText" dxfId="0" priority="547" operator="containsText" text="Problem">
      <formula>NOT(ISERROR(SEARCH(("Problem"),(D35))))</formula>
    </cfRule>
  </conditionalFormatting>
  <conditionalFormatting sqref="D35:D60">
    <cfRule type="containsText" dxfId="0" priority="548" operator="containsText" text="Problem">
      <formula>NOT(ISERROR(SEARCH(("Problem"),(D35))))</formula>
    </cfRule>
  </conditionalFormatting>
  <conditionalFormatting sqref="G831">
    <cfRule type="containsText" dxfId="0" priority="549" operator="containsText" text="Problem">
      <formula>NOT(ISERROR(SEARCH(("Problem"),(G831))))</formula>
    </cfRule>
  </conditionalFormatting>
  <conditionalFormatting sqref="G831">
    <cfRule type="containsText" dxfId="0" priority="550" operator="containsText" text="Problem">
      <formula>NOT(ISERROR(SEARCH(("Problem"),(G831))))</formula>
    </cfRule>
  </conditionalFormatting>
  <conditionalFormatting sqref="G831">
    <cfRule type="containsText" dxfId="0" priority="551" operator="containsText" text="Problem">
      <formula>NOT(ISERROR(SEARCH(("Problem"),(G831))))</formula>
    </cfRule>
  </conditionalFormatting>
  <conditionalFormatting sqref="E123">
    <cfRule type="containsText" dxfId="0" priority="552" operator="containsText" text="Problem">
      <formula>NOT(ISERROR(SEARCH(("Problem"),(E123))))</formula>
    </cfRule>
  </conditionalFormatting>
  <conditionalFormatting sqref="E123">
    <cfRule type="containsText" dxfId="0" priority="553" operator="containsText" text="Problem">
      <formula>NOT(ISERROR(SEARCH(("Problem"),(E123))))</formula>
    </cfRule>
  </conditionalFormatting>
  <conditionalFormatting sqref="E123">
    <cfRule type="containsText" dxfId="0" priority="554" operator="containsText" text="Problem">
      <formula>NOT(ISERROR(SEARCH(("Problem"),(E123))))</formula>
    </cfRule>
  </conditionalFormatting>
  <conditionalFormatting sqref="F655:F682">
    <cfRule type="containsText" dxfId="0" priority="555" operator="containsText" text="Problem">
      <formula>NOT(ISERROR(SEARCH(("Problem"),(F655))))</formula>
    </cfRule>
  </conditionalFormatting>
  <conditionalFormatting sqref="F655:F682">
    <cfRule type="containsText" dxfId="0" priority="556" operator="containsText" text="Problem">
      <formula>NOT(ISERROR(SEARCH(("Problem"),(F655))))</formula>
    </cfRule>
  </conditionalFormatting>
  <conditionalFormatting sqref="F655:F682">
    <cfRule type="containsText" dxfId="0" priority="557" operator="containsText" text="Problem">
      <formula>NOT(ISERROR(SEARCH(("Problem"),(F655))))</formula>
    </cfRule>
  </conditionalFormatting>
  <conditionalFormatting sqref="F124:F151">
    <cfRule type="containsText" dxfId="0" priority="558" operator="containsText" text="Problem">
      <formula>NOT(ISERROR(SEARCH(("Problem"),(F124))))</formula>
    </cfRule>
  </conditionalFormatting>
  <conditionalFormatting sqref="F124:F151">
    <cfRule type="containsText" dxfId="0" priority="559" operator="containsText" text="Problem">
      <formula>NOT(ISERROR(SEARCH(("Problem"),(F124))))</formula>
    </cfRule>
  </conditionalFormatting>
  <conditionalFormatting sqref="F124:F151">
    <cfRule type="containsText" dxfId="0" priority="560" operator="containsText" text="Problem">
      <formula>NOT(ISERROR(SEARCH(("Problem"),(F124))))</formula>
    </cfRule>
  </conditionalFormatting>
  <conditionalFormatting sqref="B632:C632 B644:B647 B649:C650 C601:C631 C641:C647">
    <cfRule type="containsText" dxfId="0" priority="561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562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563" operator="containsText" text="Problem">
      <formula>NOT(ISERROR(SEARCH(("Problem"),(B632))))</formula>
    </cfRule>
  </conditionalFormatting>
  <conditionalFormatting sqref="I123">
    <cfRule type="containsText" dxfId="0" priority="564" operator="containsText" text="Problem">
      <formula>NOT(ISERROR(SEARCH(("Problem"),(I123))))</formula>
    </cfRule>
  </conditionalFormatting>
  <conditionalFormatting sqref="I123">
    <cfRule type="containsText" dxfId="0" priority="565" operator="containsText" text="Problem">
      <formula>NOT(ISERROR(SEARCH(("Problem"),(I123))))</formula>
    </cfRule>
  </conditionalFormatting>
  <conditionalFormatting sqref="I123">
    <cfRule type="containsText" dxfId="0" priority="566" operator="containsText" text="Problem">
      <formula>NOT(ISERROR(SEARCH(("Problem"),(I123))))</formula>
    </cfRule>
  </conditionalFormatting>
  <conditionalFormatting sqref="A181:P181 A238:H238 I211:I238 J182:M238 O182:P238">
    <cfRule type="containsText" dxfId="0" priority="567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568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569" operator="containsText" text="Problem">
      <formula>NOT(ISERROR(SEARCH(("Problem"),(A181))))</formula>
    </cfRule>
  </conditionalFormatting>
  <conditionalFormatting sqref="E832:E859">
    <cfRule type="containsText" dxfId="0" priority="570" operator="containsText" text="Problem">
      <formula>NOT(ISERROR(SEARCH(("Problem"),(E832))))</formula>
    </cfRule>
  </conditionalFormatting>
  <conditionalFormatting sqref="E832:E859">
    <cfRule type="containsText" dxfId="0" priority="571" operator="containsText" text="Problem">
      <formula>NOT(ISERROR(SEARCH(("Problem"),(E832))))</formula>
    </cfRule>
  </conditionalFormatting>
  <conditionalFormatting sqref="E832:E859">
    <cfRule type="containsText" dxfId="0" priority="572" operator="containsText" text="Problem">
      <formula>NOT(ISERROR(SEARCH(("Problem"),(E832))))</formula>
    </cfRule>
  </conditionalFormatting>
  <conditionalFormatting sqref="G6:G34">
    <cfRule type="containsText" dxfId="0" priority="573" operator="containsText" text="Problem">
      <formula>NOT(ISERROR(SEARCH(("Problem"),(G6))))</formula>
    </cfRule>
  </conditionalFormatting>
  <conditionalFormatting sqref="G6:G34">
    <cfRule type="containsText" dxfId="0" priority="574" operator="containsText" text="Problem">
      <formula>NOT(ISERROR(SEARCH(("Problem"),(G6))))</formula>
    </cfRule>
  </conditionalFormatting>
  <conditionalFormatting sqref="G6:G34">
    <cfRule type="containsText" dxfId="0" priority="575" operator="containsText" text="Problem">
      <formula>NOT(ISERROR(SEARCH(("Problem"),(G6))))</formula>
    </cfRule>
  </conditionalFormatting>
  <conditionalFormatting sqref="E242:E269">
    <cfRule type="containsText" dxfId="0" priority="576" operator="containsText" text="Problem">
      <formula>NOT(ISERROR(SEARCH(("Problem"),(E242))))</formula>
    </cfRule>
  </conditionalFormatting>
  <conditionalFormatting sqref="E242:E269">
    <cfRule type="containsText" dxfId="0" priority="577" operator="containsText" text="Problem">
      <formula>NOT(ISERROR(SEARCH(("Problem"),(E242))))</formula>
    </cfRule>
  </conditionalFormatting>
  <conditionalFormatting sqref="E242:E269">
    <cfRule type="containsText" dxfId="0" priority="578" operator="containsText" text="Problem">
      <formula>NOT(ISERROR(SEARCH(("Problem"),(E242))))</formula>
    </cfRule>
  </conditionalFormatting>
  <conditionalFormatting sqref="D801:D825">
    <cfRule type="containsText" dxfId="0" priority="579" operator="containsText" text="Problem">
      <formula>NOT(ISERROR(SEARCH(("Problem"),(D801))))</formula>
    </cfRule>
  </conditionalFormatting>
  <conditionalFormatting sqref="D801:D825">
    <cfRule type="containsText" dxfId="0" priority="580" operator="containsText" text="Problem">
      <formula>NOT(ISERROR(SEARCH(("Problem"),(D801))))</formula>
    </cfRule>
  </conditionalFormatting>
  <conditionalFormatting sqref="I595">
    <cfRule type="containsText" dxfId="0" priority="581" operator="containsText" text="Problem">
      <formula>NOT(ISERROR(SEARCH(("Problem"),(I595))))</formula>
    </cfRule>
  </conditionalFormatting>
  <conditionalFormatting sqref="I595">
    <cfRule type="containsText" dxfId="0" priority="582" operator="containsText" text="Problem">
      <formula>NOT(ISERROR(SEARCH(("Problem"),(I595))))</formula>
    </cfRule>
  </conditionalFormatting>
  <conditionalFormatting sqref="I595">
    <cfRule type="containsText" dxfId="0" priority="583" operator="containsText" text="Problem">
      <formula>NOT(ISERROR(SEARCH(("Problem"),(I595))))</formula>
    </cfRule>
  </conditionalFormatting>
  <conditionalFormatting sqref="I536">
    <cfRule type="containsText" dxfId="0" priority="584" operator="containsText" text="Problem">
      <formula>NOT(ISERROR(SEARCH(("Problem"),(I536))))</formula>
    </cfRule>
  </conditionalFormatting>
  <conditionalFormatting sqref="I536">
    <cfRule type="containsText" dxfId="0" priority="585" operator="containsText" text="Problem">
      <formula>NOT(ISERROR(SEARCH(("Problem"),(I536))))</formula>
    </cfRule>
  </conditionalFormatting>
  <conditionalFormatting sqref="I536">
    <cfRule type="containsText" dxfId="0" priority="586" operator="containsText" text="Problem">
      <formula>NOT(ISERROR(SEARCH(("Problem"),(I536))))</formula>
    </cfRule>
  </conditionalFormatting>
  <conditionalFormatting sqref="D714:D741">
    <cfRule type="containsText" dxfId="0" priority="587" operator="containsText" text="Problem">
      <formula>NOT(ISERROR(SEARCH(("Problem"),(D714))))</formula>
    </cfRule>
  </conditionalFormatting>
  <conditionalFormatting sqref="D714:D741">
    <cfRule type="containsText" dxfId="0" priority="588" operator="containsText" text="Problem">
      <formula>NOT(ISERROR(SEARCH(("Problem"),(D714))))</formula>
    </cfRule>
  </conditionalFormatting>
  <conditionalFormatting sqref="D714:D741">
    <cfRule type="containsText" dxfId="0" priority="589" operator="containsText" text="Problem">
      <formula>NOT(ISERROR(SEARCH(("Problem"),(D714))))</formula>
    </cfRule>
  </conditionalFormatting>
  <conditionalFormatting sqref="H301:H328">
    <cfRule type="containsText" dxfId="0" priority="590" operator="containsText" text="Problem">
      <formula>NOT(ISERROR(SEARCH(("Problem"),(H301))))</formula>
    </cfRule>
  </conditionalFormatting>
  <conditionalFormatting sqref="H301:H328">
    <cfRule type="containsText" dxfId="0" priority="591" operator="containsText" text="Problem">
      <formula>NOT(ISERROR(SEARCH(("Problem"),(H301))))</formula>
    </cfRule>
  </conditionalFormatting>
  <conditionalFormatting sqref="H301:H328">
    <cfRule type="containsText" dxfId="0" priority="592" operator="containsText" text="Problem">
      <formula>NOT(ISERROR(SEARCH(("Problem"),(H301))))</formula>
    </cfRule>
  </conditionalFormatting>
  <conditionalFormatting sqref="G360:G387">
    <cfRule type="containsText" dxfId="0" priority="593" operator="containsText" text="Problem">
      <formula>NOT(ISERROR(SEARCH(("Problem"),(G360))))</formula>
    </cfRule>
  </conditionalFormatting>
  <conditionalFormatting sqref="G360:G387">
    <cfRule type="containsText" dxfId="0" priority="594" operator="containsText" text="Problem">
      <formula>NOT(ISERROR(SEARCH(("Problem"),(G360))))</formula>
    </cfRule>
  </conditionalFormatting>
  <conditionalFormatting sqref="G360:G387">
    <cfRule type="containsText" dxfId="0" priority="595" operator="containsText" text="Problem">
      <formula>NOT(ISERROR(SEARCH(("Problem"),(G360))))</formula>
    </cfRule>
  </conditionalFormatting>
  <conditionalFormatting sqref="E772">
    <cfRule type="containsText" dxfId="0" priority="596" operator="containsText" text="Problem">
      <formula>NOT(ISERROR(SEARCH(("Problem"),(E772))))</formula>
    </cfRule>
  </conditionalFormatting>
  <conditionalFormatting sqref="E772">
    <cfRule type="containsText" dxfId="0" priority="597" operator="containsText" text="Problem">
      <formula>NOT(ISERROR(SEARCH(("Problem"),(E772))))</formula>
    </cfRule>
  </conditionalFormatting>
  <conditionalFormatting sqref="E772">
    <cfRule type="containsText" dxfId="0" priority="598" operator="containsText" text="Problem">
      <formula>NOT(ISERROR(SEARCH(("Problem"),(E772))))</formula>
    </cfRule>
  </conditionalFormatting>
  <conditionalFormatting sqref="H536">
    <cfRule type="containsText" dxfId="0" priority="599" operator="containsText" text="Problem">
      <formula>NOT(ISERROR(SEARCH(("Problem"),(H536))))</formula>
    </cfRule>
  </conditionalFormatting>
  <conditionalFormatting sqref="H536">
    <cfRule type="containsText" dxfId="0" priority="600" operator="containsText" text="Problem">
      <formula>NOT(ISERROR(SEARCH(("Problem"),(H536))))</formula>
    </cfRule>
  </conditionalFormatting>
  <conditionalFormatting sqref="H536">
    <cfRule type="containsText" dxfId="0" priority="601" operator="containsText" text="Problem">
      <formula>NOT(ISERROR(SEARCH(("Problem"),(H536))))</formula>
    </cfRule>
  </conditionalFormatting>
  <conditionalFormatting sqref="A713:A768">
    <cfRule type="containsText" dxfId="0" priority="602" operator="containsText" text="Problem">
      <formula>NOT(ISERROR(SEARCH(("Problem"),(A713))))</formula>
    </cfRule>
  </conditionalFormatting>
  <conditionalFormatting sqref="A713:A768">
    <cfRule type="containsText" dxfId="0" priority="603" operator="containsText" text="Problem">
      <formula>NOT(ISERROR(SEARCH(("Problem"),(A713))))</formula>
    </cfRule>
  </conditionalFormatting>
  <conditionalFormatting sqref="A713:A768">
    <cfRule type="containsText" dxfId="0" priority="604" operator="containsText" text="Problem">
      <formula>NOT(ISERROR(SEARCH(("Problem"),(A713))))</formula>
    </cfRule>
  </conditionalFormatting>
  <conditionalFormatting sqref="I654">
    <cfRule type="containsText" dxfId="0" priority="605" operator="containsText" text="Problem">
      <formula>NOT(ISERROR(SEARCH(("Problem"),(I654))))</formula>
    </cfRule>
  </conditionalFormatting>
  <conditionalFormatting sqref="I654">
    <cfRule type="containsText" dxfId="0" priority="606" operator="containsText" text="Problem">
      <formula>NOT(ISERROR(SEARCH(("Problem"),(I654))))</formula>
    </cfRule>
  </conditionalFormatting>
  <conditionalFormatting sqref="I654">
    <cfRule type="containsText" dxfId="0" priority="607" operator="containsText" text="Problem">
      <formula>NOT(ISERROR(SEARCH(("Problem"),(I654))))</formula>
    </cfRule>
  </conditionalFormatting>
  <conditionalFormatting sqref="A593 J593:P593">
    <cfRule type="containsText" dxfId="0" priority="608" operator="containsText" text="Problem">
      <formula>NOT(ISERROR(SEARCH(("Problem"),(A593))))</formula>
    </cfRule>
  </conditionalFormatting>
  <conditionalFormatting sqref="A593 J593:P593">
    <cfRule type="containsText" dxfId="0" priority="609" operator="containsText" text="Problem">
      <formula>NOT(ISERROR(SEARCH(("Problem"),(A593))))</formula>
    </cfRule>
  </conditionalFormatting>
  <conditionalFormatting sqref="A593 J593:P593">
    <cfRule type="containsText" dxfId="0" priority="610" operator="containsText" text="Problem">
      <formula>NOT(ISERROR(SEARCH(("Problem"),(A593))))</formula>
    </cfRule>
  </conditionalFormatting>
  <conditionalFormatting sqref="D531:D532 E506:H532">
    <cfRule type="containsText" dxfId="0" priority="611" operator="containsText" text="Problem">
      <formula>NOT(ISERROR(SEARCH(("Problem"),(D531))))</formula>
    </cfRule>
  </conditionalFormatting>
  <conditionalFormatting sqref="D531:D532 E506:H532">
    <cfRule type="containsText" dxfId="0" priority="612" operator="containsText" text="Problem">
      <formula>NOT(ISERROR(SEARCH(("Problem"),(D531))))</formula>
    </cfRule>
  </conditionalFormatting>
  <conditionalFormatting sqref="D531:D532 E506:H532">
    <cfRule type="containsText" dxfId="0" priority="613" operator="containsText" text="Problem">
      <formula>NOT(ISERROR(SEARCH(("Problem"),(D531))))</formula>
    </cfRule>
  </conditionalFormatting>
  <conditionalFormatting sqref="G123">
    <cfRule type="containsText" dxfId="0" priority="614" operator="containsText" text="Problem">
      <formula>NOT(ISERROR(SEARCH(("Problem"),(G123))))</formula>
    </cfRule>
  </conditionalFormatting>
  <conditionalFormatting sqref="G123">
    <cfRule type="containsText" dxfId="0" priority="615" operator="containsText" text="Problem">
      <formula>NOT(ISERROR(SEARCH(("Problem"),(G123))))</formula>
    </cfRule>
  </conditionalFormatting>
  <conditionalFormatting sqref="G123">
    <cfRule type="containsText" dxfId="0" priority="616" operator="containsText" text="Problem">
      <formula>NOT(ISERROR(SEARCH(("Problem"),(G123))))</formula>
    </cfRule>
  </conditionalFormatting>
  <conditionalFormatting sqref="D372:D387">
    <cfRule type="containsText" dxfId="0" priority="617" operator="containsText" text="Problem">
      <formula>NOT(ISERROR(SEARCH(("Problem"),(D372))))</formula>
    </cfRule>
  </conditionalFormatting>
  <conditionalFormatting sqref="D372:D387">
    <cfRule type="containsText" dxfId="0" priority="618" operator="containsText" text="Problem">
      <formula>NOT(ISERROR(SEARCH(("Problem"),(D372))))</formula>
    </cfRule>
  </conditionalFormatting>
  <conditionalFormatting sqref="D372:D387">
    <cfRule type="containsText" dxfId="0" priority="619" operator="containsText" text="Problem">
      <formula>NOT(ISERROR(SEARCH(("Problem"),(D372))))</formula>
    </cfRule>
  </conditionalFormatting>
  <conditionalFormatting sqref="D372:D387">
    <cfRule type="containsText" dxfId="0" priority="620" operator="containsText" text="Problem">
      <formula>NOT(ISERROR(SEARCH(("Problem"),(D372))))</formula>
    </cfRule>
  </conditionalFormatting>
  <conditionalFormatting sqref="A889:C889 A946:P946 D889:D890 E889:I889 J889:P890 K891:P945">
    <cfRule type="containsText" dxfId="0" priority="621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622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623" operator="containsText" text="Problem">
      <formula>NOT(ISERROR(SEARCH(("Problem"),(A889))))</formula>
    </cfRule>
  </conditionalFormatting>
  <conditionalFormatting sqref="A418:A473">
    <cfRule type="containsText" dxfId="0" priority="624" operator="containsText" text="Problem">
      <formula>NOT(ISERROR(SEARCH(("Problem"),(A418))))</formula>
    </cfRule>
  </conditionalFormatting>
  <conditionalFormatting sqref="A418:A473">
    <cfRule type="containsText" dxfId="0" priority="625" operator="containsText" text="Problem">
      <formula>NOT(ISERROR(SEARCH(("Problem"),(A418))))</formula>
    </cfRule>
  </conditionalFormatting>
  <conditionalFormatting sqref="A418:A473">
    <cfRule type="containsText" dxfId="0" priority="626" operator="containsText" text="Problem">
      <formula>NOT(ISERROR(SEARCH(("Problem"),(A418))))</formula>
    </cfRule>
  </conditionalFormatting>
  <conditionalFormatting sqref="A121 J121:P121">
    <cfRule type="containsText" dxfId="0" priority="627" operator="containsText" text="Problem">
      <formula>NOT(ISERROR(SEARCH(("Problem"),(A121))))</formula>
    </cfRule>
  </conditionalFormatting>
  <conditionalFormatting sqref="A121 J121:P121">
    <cfRule type="containsText" dxfId="0" priority="628" operator="containsText" text="Problem">
      <formula>NOT(ISERROR(SEARCH(("Problem"),(A121))))</formula>
    </cfRule>
  </conditionalFormatting>
  <conditionalFormatting sqref="A121 J121:P121">
    <cfRule type="containsText" dxfId="0" priority="629" operator="containsText" text="Problem">
      <formula>NOT(ISERROR(SEARCH(("Problem"),(A121))))</formula>
    </cfRule>
  </conditionalFormatting>
  <conditionalFormatting sqref="E890:I890">
    <cfRule type="containsText" dxfId="0" priority="630" operator="containsText" text="Problem">
      <formula>NOT(ISERROR(SEARCH(("Problem"),(E890))))</formula>
    </cfRule>
  </conditionalFormatting>
  <conditionalFormatting sqref="E890:I890">
    <cfRule type="containsText" dxfId="0" priority="631" operator="containsText" text="Problem">
      <formula>NOT(ISERROR(SEARCH(("Problem"),(E890))))</formula>
    </cfRule>
  </conditionalFormatting>
  <conditionalFormatting sqref="E890:I890">
    <cfRule type="containsText" dxfId="0" priority="632" operator="containsText" text="Problem">
      <formula>NOT(ISERROR(SEARCH(("Problem"),(E890))))</formula>
    </cfRule>
  </conditionalFormatting>
  <conditionalFormatting sqref="A535:I535 A592:H592 I565:I592 J535:P592">
    <cfRule type="containsText" dxfId="0" priority="633" operator="containsText" text="Problem">
      <formula>NOT(ISERROR(SEARCH(("Problem"),(A535))))</formula>
    </cfRule>
  </conditionalFormatting>
  <conditionalFormatting sqref="A535:I535 A592:H592 I565:I592 J535:P592">
    <cfRule type="containsText" dxfId="0" priority="634" operator="containsText" text="Problem">
      <formula>NOT(ISERROR(SEARCH(("Problem"),(A535))))</formula>
    </cfRule>
  </conditionalFormatting>
  <conditionalFormatting sqref="A535:I535 A592:H592 I565:I592 J535:P592">
    <cfRule type="containsText" dxfId="0" priority="635" operator="containsText" text="Problem">
      <formula>NOT(ISERROR(SEARCH(("Problem"),(A535))))</formula>
    </cfRule>
  </conditionalFormatting>
  <conditionalFormatting sqref="G300">
    <cfRule type="containsText" dxfId="0" priority="636" operator="containsText" text="Problem">
      <formula>NOT(ISERROR(SEARCH(("Problem"),(G300))))</formula>
    </cfRule>
  </conditionalFormatting>
  <conditionalFormatting sqref="G300">
    <cfRule type="containsText" dxfId="0" priority="637" operator="containsText" text="Problem">
      <formula>NOT(ISERROR(SEARCH(("Problem"),(G300))))</formula>
    </cfRule>
  </conditionalFormatting>
  <conditionalFormatting sqref="G300">
    <cfRule type="containsText" dxfId="0" priority="638" operator="containsText" text="Problem">
      <formula>NOT(ISERROR(SEARCH(("Problem"),(G300))))</formula>
    </cfRule>
  </conditionalFormatting>
  <conditionalFormatting sqref="H419:H446">
    <cfRule type="containsText" dxfId="0" priority="639" operator="containsText" text="Problem">
      <formula>NOT(ISERROR(SEARCH(("Problem"),(H419))))</formula>
    </cfRule>
  </conditionalFormatting>
  <conditionalFormatting sqref="H419:H446">
    <cfRule type="containsText" dxfId="0" priority="640" operator="containsText" text="Problem">
      <formula>NOT(ISERROR(SEARCH(("Problem"),(H419))))</formula>
    </cfRule>
  </conditionalFormatting>
  <conditionalFormatting sqref="H419:H446">
    <cfRule type="containsText" dxfId="0" priority="641" operator="containsText" text="Problem">
      <formula>NOT(ISERROR(SEARCH(("Problem"),(H419))))</formula>
    </cfRule>
  </conditionalFormatting>
  <conditionalFormatting sqref="A359:A414">
    <cfRule type="containsText" dxfId="0" priority="642" operator="containsText" text="Problem">
      <formula>NOT(ISERROR(SEARCH(("Problem"),(A359))))</formula>
    </cfRule>
  </conditionalFormatting>
  <conditionalFormatting sqref="A359:A414">
    <cfRule type="containsText" dxfId="0" priority="643" operator="containsText" text="Problem">
      <formula>NOT(ISERROR(SEARCH(("Problem"),(A359))))</formula>
    </cfRule>
  </conditionalFormatting>
  <conditionalFormatting sqref="A359:A414">
    <cfRule type="containsText" dxfId="0" priority="644" operator="containsText" text="Problem">
      <formula>NOT(ISERROR(SEARCH(("Problem"),(A359))))</formula>
    </cfRule>
  </conditionalFormatting>
  <conditionalFormatting sqref="A654:A709">
    <cfRule type="containsText" dxfId="0" priority="645" operator="containsText" text="Problem">
      <formula>NOT(ISERROR(SEARCH(("Problem"),(A654))))</formula>
    </cfRule>
  </conditionalFormatting>
  <conditionalFormatting sqref="A654:A709">
    <cfRule type="containsText" dxfId="0" priority="646" operator="containsText" text="Problem">
      <formula>NOT(ISERROR(SEARCH(("Problem"),(A654))))</formula>
    </cfRule>
  </conditionalFormatting>
  <conditionalFormatting sqref="A654:A709">
    <cfRule type="containsText" dxfId="0" priority="647" operator="containsText" text="Problem">
      <formula>NOT(ISERROR(SEARCH(("Problem"),(A654))))</formula>
    </cfRule>
  </conditionalFormatting>
  <conditionalFormatting sqref="A64:A119">
    <cfRule type="containsText" dxfId="0" priority="648" operator="containsText" text="Problem">
      <formula>NOT(ISERROR(SEARCH(("Problem"),(A64))))</formula>
    </cfRule>
  </conditionalFormatting>
  <conditionalFormatting sqref="A64:A119">
    <cfRule type="containsText" dxfId="0" priority="649" operator="containsText" text="Problem">
      <formula>NOT(ISERROR(SEARCH(("Problem"),(A64))))</formula>
    </cfRule>
  </conditionalFormatting>
  <conditionalFormatting sqref="A64:A119">
    <cfRule type="containsText" dxfId="0" priority="650" operator="containsText" text="Problem">
      <formula>NOT(ISERROR(SEARCH(("Problem"),(A64))))</formula>
    </cfRule>
  </conditionalFormatting>
  <conditionalFormatting sqref="D236:D237 E211:H237">
    <cfRule type="containsText" dxfId="0" priority="651" operator="containsText" text="Problem">
      <formula>NOT(ISERROR(SEARCH(("Problem"),(D236))))</formula>
    </cfRule>
  </conditionalFormatting>
  <conditionalFormatting sqref="D236:D237 E211:H237">
    <cfRule type="containsText" dxfId="0" priority="652" operator="containsText" text="Problem">
      <formula>NOT(ISERROR(SEARCH(("Problem"),(D236))))</formula>
    </cfRule>
  </conditionalFormatting>
  <conditionalFormatting sqref="D236:D237 E211:H237">
    <cfRule type="containsText" dxfId="0" priority="653" operator="containsText" text="Problem">
      <formula>NOT(ISERROR(SEARCH(("Problem"),(D236))))</formula>
    </cfRule>
  </conditionalFormatting>
  <conditionalFormatting sqref="H124:H151">
    <cfRule type="containsText" dxfId="0" priority="654" operator="containsText" text="Problem">
      <formula>NOT(ISERROR(SEARCH(("Problem"),(H124))))</formula>
    </cfRule>
  </conditionalFormatting>
  <conditionalFormatting sqref="H124:H151">
    <cfRule type="containsText" dxfId="0" priority="655" operator="containsText" text="Problem">
      <formula>NOT(ISERROR(SEARCH(("Problem"),(H124))))</formula>
    </cfRule>
  </conditionalFormatting>
  <conditionalFormatting sqref="H124:H151">
    <cfRule type="containsText" dxfId="0" priority="656" operator="containsText" text="Problem">
      <formula>NOT(ISERROR(SEARCH(("Problem"),(H124))))</formula>
    </cfRule>
  </conditionalFormatting>
  <conditionalFormatting sqref="D354:D355 E329:H355">
    <cfRule type="containsText" dxfId="0" priority="657" operator="containsText" text="Problem">
      <formula>NOT(ISERROR(SEARCH(("Problem"),(D354))))</formula>
    </cfRule>
  </conditionalFormatting>
  <conditionalFormatting sqref="D354:D355 E329:H355">
    <cfRule type="containsText" dxfId="0" priority="658" operator="containsText" text="Problem">
      <formula>NOT(ISERROR(SEARCH(("Problem"),(D354))))</formula>
    </cfRule>
  </conditionalFormatting>
  <conditionalFormatting sqref="D354:D355 E329:H355">
    <cfRule type="containsText" dxfId="0" priority="659" operator="containsText" text="Problem">
      <formula>NOT(ISERROR(SEARCH(("Problem"),(D354))))</formula>
    </cfRule>
  </conditionalFormatting>
  <conditionalFormatting sqref="D312:D328">
    <cfRule type="containsText" dxfId="0" priority="660" operator="containsText" text="Problem">
      <formula>NOT(ISERROR(SEARCH(("Problem"),(D312))))</formula>
    </cfRule>
  </conditionalFormatting>
  <conditionalFormatting sqref="D312:D328">
    <cfRule type="containsText" dxfId="0" priority="661" operator="containsText" text="Problem">
      <formula>NOT(ISERROR(SEARCH(("Problem"),(D312))))</formula>
    </cfRule>
  </conditionalFormatting>
  <conditionalFormatting sqref="D312:D328">
    <cfRule type="containsText" dxfId="0" priority="662" operator="containsText" text="Problem">
      <formula>NOT(ISERROR(SEARCH(("Problem"),(D312))))</formula>
    </cfRule>
  </conditionalFormatting>
  <conditionalFormatting sqref="D312:D328">
    <cfRule type="containsText" dxfId="0" priority="663" operator="containsText" text="Problem">
      <formula>NOT(ISERROR(SEARCH(("Problem"),(D312))))</formula>
    </cfRule>
  </conditionalFormatting>
  <conditionalFormatting sqref="D64">
    <cfRule type="containsText" dxfId="0" priority="664" operator="containsText" text="Problem">
      <formula>NOT(ISERROR(SEARCH(("Problem"),(D64))))</formula>
    </cfRule>
  </conditionalFormatting>
  <conditionalFormatting sqref="C357 E357:I357">
    <cfRule type="containsText" dxfId="0" priority="665" operator="containsText" text="Problem">
      <formula>NOT(ISERROR(SEARCH(("Problem"),(C357))))</formula>
    </cfRule>
  </conditionalFormatting>
  <conditionalFormatting sqref="C357 E357:I357">
    <cfRule type="containsText" dxfId="0" priority="666" operator="containsText" text="Problem">
      <formula>NOT(ISERROR(SEARCH(("Problem"),(C357))))</formula>
    </cfRule>
  </conditionalFormatting>
  <conditionalFormatting sqref="C357 E357:I357">
    <cfRule type="containsText" dxfId="0" priority="667" operator="containsText" text="Problem">
      <formula>NOT(ISERROR(SEARCH(("Problem"),(C357))))</formula>
    </cfRule>
  </conditionalFormatting>
  <conditionalFormatting sqref="I418">
    <cfRule type="containsText" dxfId="0" priority="668" operator="containsText" text="Problem">
      <formula>NOT(ISERROR(SEARCH(("Problem"),(I418))))</formula>
    </cfRule>
  </conditionalFormatting>
  <conditionalFormatting sqref="I418">
    <cfRule type="containsText" dxfId="0" priority="669" operator="containsText" text="Problem">
      <formula>NOT(ISERROR(SEARCH(("Problem"),(I418))))</formula>
    </cfRule>
  </conditionalFormatting>
  <conditionalFormatting sqref="I418">
    <cfRule type="containsText" dxfId="0" priority="670" operator="containsText" text="Problem">
      <formula>NOT(ISERROR(SEARCH(("Problem"),(I418))))</formula>
    </cfRule>
  </conditionalFormatting>
  <conditionalFormatting sqref="A300:A355">
    <cfRule type="containsText" dxfId="0" priority="671" operator="containsText" text="Problem">
      <formula>NOT(ISERROR(SEARCH(("Problem"),(A300))))</formula>
    </cfRule>
  </conditionalFormatting>
  <conditionalFormatting sqref="A300:A355">
    <cfRule type="containsText" dxfId="0" priority="672" operator="containsText" text="Problem">
      <formula>NOT(ISERROR(SEARCH(("Problem"),(A300))))</formula>
    </cfRule>
  </conditionalFormatting>
  <conditionalFormatting sqref="A300:A355">
    <cfRule type="containsText" dxfId="0" priority="673" operator="containsText" text="Problem">
      <formula>NOT(ISERROR(SEARCH(("Problem"),(A300))))</formula>
    </cfRule>
  </conditionalFormatting>
  <conditionalFormatting sqref="D244:D269">
    <cfRule type="containsText" dxfId="0" priority="674" operator="containsText" text="Problem">
      <formula>NOT(ISERROR(SEARCH(("Problem"),(D244))))</formula>
    </cfRule>
  </conditionalFormatting>
  <conditionalFormatting sqref="D244:D269">
    <cfRule type="containsText" dxfId="0" priority="675" operator="containsText" text="Problem">
      <formula>NOT(ISERROR(SEARCH(("Problem"),(D244))))</formula>
    </cfRule>
  </conditionalFormatting>
  <conditionalFormatting sqref="D244:D269">
    <cfRule type="containsText" dxfId="0" priority="676" operator="containsText" text="Problem">
      <formula>NOT(ISERROR(SEARCH(("Problem"),(D244))))</formula>
    </cfRule>
  </conditionalFormatting>
  <conditionalFormatting sqref="D244:D269">
    <cfRule type="containsText" dxfId="0" priority="677" operator="containsText" text="Problem">
      <formula>NOT(ISERROR(SEARCH(("Problem"),(D244))))</formula>
    </cfRule>
  </conditionalFormatting>
  <conditionalFormatting sqref="D182">
    <cfRule type="containsText" dxfId="0" priority="678" operator="containsText" text="Problem">
      <formula>NOT(ISERROR(SEARCH(("Problem"),(D182))))</formula>
    </cfRule>
  </conditionalFormatting>
  <conditionalFormatting sqref="G477">
    <cfRule type="containsText" dxfId="0" priority="679" operator="containsText" text="Problem">
      <formula>NOT(ISERROR(SEARCH(("Problem"),(G477))))</formula>
    </cfRule>
  </conditionalFormatting>
  <conditionalFormatting sqref="G477">
    <cfRule type="containsText" dxfId="0" priority="680" operator="containsText" text="Problem">
      <formula>NOT(ISERROR(SEARCH(("Problem"),(G477))))</formula>
    </cfRule>
  </conditionalFormatting>
  <conditionalFormatting sqref="G477">
    <cfRule type="containsText" dxfId="0" priority="681" operator="containsText" text="Problem">
      <formula>NOT(ISERROR(SEARCH(("Problem"),(G477))))</formula>
    </cfRule>
  </conditionalFormatting>
  <conditionalFormatting sqref="D860:D884">
    <cfRule type="containsText" dxfId="0" priority="682" operator="containsText" text="Problem">
      <formula>NOT(ISERROR(SEARCH(("Problem"),(D860))))</formula>
    </cfRule>
  </conditionalFormatting>
  <conditionalFormatting sqref="D860:D884">
    <cfRule type="containsText" dxfId="0" priority="683" operator="containsText" text="Problem">
      <formula>NOT(ISERROR(SEARCH(("Problem"),(D860))))</formula>
    </cfRule>
  </conditionalFormatting>
  <conditionalFormatting sqref="D413:D414 E388:H414">
    <cfRule type="containsText" dxfId="0" priority="684" operator="containsText" text="Problem">
      <formula>NOT(ISERROR(SEARCH(("Problem"),(D413))))</formula>
    </cfRule>
  </conditionalFormatting>
  <conditionalFormatting sqref="D413:D414 E388:H414">
    <cfRule type="containsText" dxfId="0" priority="685" operator="containsText" text="Problem">
      <formula>NOT(ISERROR(SEARCH(("Problem"),(D413))))</formula>
    </cfRule>
  </conditionalFormatting>
  <conditionalFormatting sqref="D413:D414 E388:H414">
    <cfRule type="containsText" dxfId="0" priority="686" operator="containsText" text="Problem">
      <formula>NOT(ISERROR(SEARCH(("Problem"),(D413))))</formula>
    </cfRule>
  </conditionalFormatting>
  <conditionalFormatting sqref="A771:I771 A828:H828 I801:I828 J771:P828">
    <cfRule type="containsText" dxfId="0" priority="687" operator="containsText" text="Problem">
      <formula>NOT(ISERROR(SEARCH(("Problem"),(A771))))</formula>
    </cfRule>
  </conditionalFormatting>
  <conditionalFormatting sqref="A771:I771 A828:H828 I801:I828 J771:P828">
    <cfRule type="containsText" dxfId="0" priority="688" operator="containsText" text="Problem">
      <formula>NOT(ISERROR(SEARCH(("Problem"),(A771))))</formula>
    </cfRule>
  </conditionalFormatting>
  <conditionalFormatting sqref="A771:I771 A828:H828 I801:I828 J771:P828">
    <cfRule type="containsText" dxfId="0" priority="689" operator="containsText" text="Problem">
      <formula>NOT(ISERROR(SEARCH(("Problem"),(A771))))</formula>
    </cfRule>
  </conditionalFormatting>
  <conditionalFormatting sqref="F418">
    <cfRule type="containsText" dxfId="0" priority="690" operator="containsText" text="Problem">
      <formula>NOT(ISERROR(SEARCH(("Problem"),(F418))))</formula>
    </cfRule>
  </conditionalFormatting>
  <conditionalFormatting sqref="F418">
    <cfRule type="containsText" dxfId="0" priority="691" operator="containsText" text="Problem">
      <formula>NOT(ISERROR(SEARCH(("Problem"),(F418))))</formula>
    </cfRule>
  </conditionalFormatting>
  <conditionalFormatting sqref="F418">
    <cfRule type="containsText" dxfId="0" priority="692" operator="containsText" text="Problem">
      <formula>NOT(ISERROR(SEARCH(("Problem"),(F418))))</formula>
    </cfRule>
  </conditionalFormatting>
  <conditionalFormatting sqref="I360:I387">
    <cfRule type="containsText" dxfId="0" priority="693" operator="containsText" text="Problem">
      <formula>NOT(ISERROR(SEARCH(("Problem"),(I360))))</formula>
    </cfRule>
  </conditionalFormatting>
  <conditionalFormatting sqref="I360:I387">
    <cfRule type="containsText" dxfId="0" priority="694" operator="containsText" text="Problem">
      <formula>NOT(ISERROR(SEARCH(("Problem"),(I360))))</formula>
    </cfRule>
  </conditionalFormatting>
  <conditionalFormatting sqref="I360:I387">
    <cfRule type="containsText" dxfId="0" priority="695" operator="containsText" text="Problem">
      <formula>NOT(ISERROR(SEARCH(("Problem"),(I360))))</formula>
    </cfRule>
  </conditionalFormatting>
  <conditionalFormatting sqref="I360:I387">
    <cfRule type="containsText" dxfId="0" priority="696" operator="containsText" text="Problem">
      <formula>NOT(ISERROR(SEARCH(("Problem"),(I360))))</formula>
    </cfRule>
  </conditionalFormatting>
  <conditionalFormatting sqref="E477">
    <cfRule type="containsText" dxfId="0" priority="697" operator="containsText" text="Problem">
      <formula>NOT(ISERROR(SEARCH(("Problem"),(E477))))</formula>
    </cfRule>
  </conditionalFormatting>
  <conditionalFormatting sqref="E477">
    <cfRule type="containsText" dxfId="0" priority="698" operator="containsText" text="Problem">
      <formula>NOT(ISERROR(SEARCH(("Problem"),(E477))))</formula>
    </cfRule>
  </conditionalFormatting>
  <conditionalFormatting sqref="E477">
    <cfRule type="containsText" dxfId="0" priority="699" operator="containsText" text="Problem">
      <formula>NOT(ISERROR(SEARCH(("Problem"),(E477))))</formula>
    </cfRule>
  </conditionalFormatting>
  <conditionalFormatting sqref="D388:D392">
    <cfRule type="containsText" dxfId="0" priority="700" operator="containsText" text="Problem">
      <formula>NOT(ISERROR(SEARCH(("Problem"),(D388))))</formula>
    </cfRule>
  </conditionalFormatting>
  <conditionalFormatting sqref="D388:D392">
    <cfRule type="containsText" dxfId="0" priority="701" operator="containsText" text="Problem">
      <formula>NOT(ISERROR(SEARCH(("Problem"),(D388))))</formula>
    </cfRule>
  </conditionalFormatting>
  <conditionalFormatting sqref="D388:D392">
    <cfRule type="containsText" dxfId="0" priority="702" operator="containsText" text="Problem">
      <formula>NOT(ISERROR(SEARCH(("Problem"),(D388))))</formula>
    </cfRule>
  </conditionalFormatting>
  <conditionalFormatting sqref="A63:I63 A120:H120 I93:I120 J63:P120">
    <cfRule type="containsText" dxfId="0" priority="703" operator="containsText" text="Problem">
      <formula>NOT(ISERROR(SEARCH(("Problem"),(A63))))</formula>
    </cfRule>
  </conditionalFormatting>
  <conditionalFormatting sqref="A63:I63 A120:H120 I93:I120 J63:P120">
    <cfRule type="containsText" dxfId="0" priority="704" operator="containsText" text="Problem">
      <formula>NOT(ISERROR(SEARCH(("Problem"),(A63))))</formula>
    </cfRule>
  </conditionalFormatting>
  <conditionalFormatting sqref="A63:I63 A120:H120 I93:I120 J63:P120">
    <cfRule type="containsText" dxfId="0" priority="705" operator="containsText" text="Problem">
      <formula>NOT(ISERROR(SEARCH(("Problem"),(A63))))</formula>
    </cfRule>
  </conditionalFormatting>
  <conditionalFormatting sqref="E418">
    <cfRule type="containsText" dxfId="0" priority="706" operator="containsText" text="Problem">
      <formula>NOT(ISERROR(SEARCH(("Problem"),(E418))))</formula>
    </cfRule>
  </conditionalFormatting>
  <conditionalFormatting sqref="E418">
    <cfRule type="containsText" dxfId="0" priority="707" operator="containsText" text="Problem">
      <formula>NOT(ISERROR(SEARCH(("Problem"),(E418))))</formula>
    </cfRule>
  </conditionalFormatting>
  <conditionalFormatting sqref="E418">
    <cfRule type="containsText" dxfId="0" priority="708" operator="containsText" text="Problem">
      <formula>NOT(ISERROR(SEARCH(("Problem"),(E418))))</formula>
    </cfRule>
  </conditionalFormatting>
  <conditionalFormatting sqref="A830:I830 A887:H887 I860:I887 J830:P887">
    <cfRule type="containsText" dxfId="0" priority="709" operator="containsText" text="Problem">
      <formula>NOT(ISERROR(SEARCH(("Problem"),(A830))))</formula>
    </cfRule>
  </conditionalFormatting>
  <conditionalFormatting sqref="A830:I830 A887:H887 I860:I887 J830:P887">
    <cfRule type="containsText" dxfId="0" priority="710" operator="containsText" text="Problem">
      <formula>NOT(ISERROR(SEARCH(("Problem"),(A830))))</formula>
    </cfRule>
  </conditionalFormatting>
  <conditionalFormatting sqref="A830:I830 A887:H887 I860:I887 J830:P887">
    <cfRule type="containsText" dxfId="0" priority="711" operator="containsText" text="Problem">
      <formula>NOT(ISERROR(SEARCH(("Problem"),(A830))))</formula>
    </cfRule>
  </conditionalFormatting>
  <conditionalFormatting sqref="A416 J416:P416">
    <cfRule type="containsText" dxfId="0" priority="712" operator="containsText" text="Problem">
      <formula>NOT(ISERROR(SEARCH(("Problem"),(A416))))</formula>
    </cfRule>
  </conditionalFormatting>
  <conditionalFormatting sqref="A416 J416:P416">
    <cfRule type="containsText" dxfId="0" priority="713" operator="containsText" text="Problem">
      <formula>NOT(ISERROR(SEARCH(("Problem"),(A416))))</formula>
    </cfRule>
  </conditionalFormatting>
  <conditionalFormatting sqref="A416 J416:P416">
    <cfRule type="containsText" dxfId="0" priority="714" operator="containsText" text="Problem">
      <formula>NOT(ISERROR(SEARCH(("Problem"),(A416))))</formula>
    </cfRule>
  </conditionalFormatting>
  <conditionalFormatting sqref="G65:G92">
    <cfRule type="containsText" dxfId="0" priority="715" operator="containsText" text="Problem">
      <formula>NOT(ISERROR(SEARCH(("Problem"),(G65))))</formula>
    </cfRule>
  </conditionalFormatting>
  <conditionalFormatting sqref="G65:G92">
    <cfRule type="containsText" dxfId="0" priority="716" operator="containsText" text="Problem">
      <formula>NOT(ISERROR(SEARCH(("Problem"),(G65))))</formula>
    </cfRule>
  </conditionalFormatting>
  <conditionalFormatting sqref="G65:G92">
    <cfRule type="containsText" dxfId="0" priority="717" operator="containsText" text="Problem">
      <formula>NOT(ISERROR(SEARCH(("Problem"),(G65))))</formula>
    </cfRule>
  </conditionalFormatting>
  <conditionalFormatting sqref="G64">
    <cfRule type="containsText" dxfId="0" priority="718" operator="containsText" text="Problem">
      <formula>NOT(ISERROR(SEARCH(("Problem"),(G64))))</formula>
    </cfRule>
  </conditionalFormatting>
  <conditionalFormatting sqref="G64">
    <cfRule type="containsText" dxfId="0" priority="719" operator="containsText" text="Problem">
      <formula>NOT(ISERROR(SEARCH(("Problem"),(G64))))</formula>
    </cfRule>
  </conditionalFormatting>
  <conditionalFormatting sqref="G64">
    <cfRule type="containsText" dxfId="0" priority="720" operator="containsText" text="Problem">
      <formula>NOT(ISERROR(SEARCH(("Problem"),(G64))))</formula>
    </cfRule>
  </conditionalFormatting>
  <conditionalFormatting sqref="D885:D886 E860:H886">
    <cfRule type="containsText" dxfId="0" priority="721" operator="containsText" text="Problem">
      <formula>NOT(ISERROR(SEARCH(("Problem"),(D885))))</formula>
    </cfRule>
  </conditionalFormatting>
  <conditionalFormatting sqref="D885:D886 E860:H886">
    <cfRule type="containsText" dxfId="0" priority="722" operator="containsText" text="Problem">
      <formula>NOT(ISERROR(SEARCH(("Problem"),(D885))))</formula>
    </cfRule>
  </conditionalFormatting>
  <conditionalFormatting sqref="D885:D886 E860:H886">
    <cfRule type="containsText" dxfId="0" priority="723" operator="containsText" text="Problem">
      <formula>NOT(ISERROR(SEARCH(("Problem"),(D885))))</formula>
    </cfRule>
  </conditionalFormatting>
  <conditionalFormatting sqref="F477">
    <cfRule type="containsText" dxfId="0" priority="724" operator="containsText" text="Problem">
      <formula>NOT(ISERROR(SEARCH(("Problem"),(F477))))</formula>
    </cfRule>
  </conditionalFormatting>
  <conditionalFormatting sqref="F477">
    <cfRule type="containsText" dxfId="0" priority="725" operator="containsText" text="Problem">
      <formula>NOT(ISERROR(SEARCH(("Problem"),(F477))))</formula>
    </cfRule>
  </conditionalFormatting>
  <conditionalFormatting sqref="F477">
    <cfRule type="containsText" dxfId="0" priority="726" operator="containsText" text="Problem">
      <formula>NOT(ISERROR(SEARCH(("Problem"),(F477))))</formula>
    </cfRule>
  </conditionalFormatting>
  <conditionalFormatting sqref="H832:H859">
    <cfRule type="containsText" dxfId="0" priority="727" operator="containsText" text="Problem">
      <formula>NOT(ISERROR(SEARCH(("Problem"),(H832))))</formula>
    </cfRule>
  </conditionalFormatting>
  <conditionalFormatting sqref="H832:H859">
    <cfRule type="containsText" dxfId="0" priority="728" operator="containsText" text="Problem">
      <formula>NOT(ISERROR(SEARCH(("Problem"),(H832))))</formula>
    </cfRule>
  </conditionalFormatting>
  <conditionalFormatting sqref="H832:H859">
    <cfRule type="containsText" dxfId="0" priority="729" operator="containsText" text="Problem">
      <formula>NOT(ISERROR(SEARCH(("Problem"),(H832))))</formula>
    </cfRule>
  </conditionalFormatting>
  <conditionalFormatting sqref="G182">
    <cfRule type="containsText" dxfId="0" priority="730" operator="containsText" text="Problem">
      <formula>NOT(ISERROR(SEARCH(("Problem"),(G182))))</formula>
    </cfRule>
  </conditionalFormatting>
  <conditionalFormatting sqref="G182">
    <cfRule type="containsText" dxfId="0" priority="731" operator="containsText" text="Problem">
      <formula>NOT(ISERROR(SEARCH(("Problem"),(G182))))</formula>
    </cfRule>
  </conditionalFormatting>
  <conditionalFormatting sqref="G182">
    <cfRule type="containsText" dxfId="0" priority="732" operator="containsText" text="Problem">
      <formula>NOT(ISERROR(SEARCH(("Problem"),(G182))))</formula>
    </cfRule>
  </conditionalFormatting>
  <conditionalFormatting sqref="C121 E121:I121">
    <cfRule type="containsText" dxfId="0" priority="733" operator="containsText" text="Problem">
      <formula>NOT(ISERROR(SEARCH(("Problem"),(C121))))</formula>
    </cfRule>
  </conditionalFormatting>
  <conditionalFormatting sqref="C121 E121:I121">
    <cfRule type="containsText" dxfId="0" priority="734" operator="containsText" text="Problem">
      <formula>NOT(ISERROR(SEARCH(("Problem"),(C121))))</formula>
    </cfRule>
  </conditionalFormatting>
  <conditionalFormatting sqref="C121 E121:I121">
    <cfRule type="containsText" dxfId="0" priority="735" operator="containsText" text="Problem">
      <formula>NOT(ISERROR(SEARCH(("Problem"),(C121))))</formula>
    </cfRule>
  </conditionalFormatting>
  <conditionalFormatting sqref="E5">
    <cfRule type="containsText" dxfId="0" priority="736" operator="containsText" text="Problem">
      <formula>NOT(ISERROR(SEARCH(("Problem"),(E5))))</formula>
    </cfRule>
  </conditionalFormatting>
  <conditionalFormatting sqref="E5">
    <cfRule type="containsText" dxfId="0" priority="737" operator="containsText" text="Problem">
      <formula>NOT(ISERROR(SEARCH(("Problem"),(E5))))</formula>
    </cfRule>
  </conditionalFormatting>
  <conditionalFormatting sqref="E5">
    <cfRule type="containsText" dxfId="0" priority="738" operator="containsText" text="Problem">
      <formula>NOT(ISERROR(SEARCH(("Problem"),(E5))))</formula>
    </cfRule>
  </conditionalFormatting>
  <conditionalFormatting sqref="G654">
    <cfRule type="containsText" dxfId="0" priority="739" operator="containsText" text="Problem">
      <formula>NOT(ISERROR(SEARCH(("Problem"),(G654))))</formula>
    </cfRule>
  </conditionalFormatting>
  <conditionalFormatting sqref="G654">
    <cfRule type="containsText" dxfId="0" priority="740" operator="containsText" text="Problem">
      <formula>NOT(ISERROR(SEARCH(("Problem"),(G654))))</formula>
    </cfRule>
  </conditionalFormatting>
  <conditionalFormatting sqref="G654">
    <cfRule type="containsText" dxfId="0" priority="741" operator="containsText" text="Problem">
      <formula>NOT(ISERROR(SEARCH(("Problem"),(G654))))</formula>
    </cfRule>
  </conditionalFormatting>
  <conditionalFormatting sqref="A122:I122 A179:H179 I152:I179 J122:P179">
    <cfRule type="containsText" dxfId="0" priority="742" operator="containsText" text="Problem">
      <formula>NOT(ISERROR(SEARCH(("Problem"),(A122))))</formula>
    </cfRule>
  </conditionalFormatting>
  <conditionalFormatting sqref="A122:I122 A179:H179 I152:I179 J122:P179">
    <cfRule type="containsText" dxfId="0" priority="743" operator="containsText" text="Problem">
      <formula>NOT(ISERROR(SEARCH(("Problem"),(A122))))</formula>
    </cfRule>
  </conditionalFormatting>
  <conditionalFormatting sqref="A122:I122 A179:H179 I152:I179 J122:P179">
    <cfRule type="containsText" dxfId="0" priority="744" operator="containsText" text="Problem">
      <formula>NOT(ISERROR(SEARCH(("Problem"),(A122))))</formula>
    </cfRule>
  </conditionalFormatting>
  <conditionalFormatting sqref="D211:D219">
    <cfRule type="containsText" dxfId="0" priority="745" operator="containsText" text="Problem">
      <formula>NOT(ISERROR(SEARCH(("Problem"),(D211))))</formula>
    </cfRule>
  </conditionalFormatting>
  <conditionalFormatting sqref="D211:D219">
    <cfRule type="containsText" dxfId="0" priority="746" operator="containsText" text="Problem">
      <formula>NOT(ISERROR(SEARCH(("Problem"),(D211))))</formula>
    </cfRule>
  </conditionalFormatting>
  <conditionalFormatting sqref="D211:D219">
    <cfRule type="containsText" dxfId="0" priority="747" operator="containsText" text="Problem">
      <formula>NOT(ISERROR(SEARCH(("Problem"),(D211))))</formula>
    </cfRule>
  </conditionalFormatting>
  <conditionalFormatting sqref="D241:D243">
    <cfRule type="containsText" dxfId="0" priority="748" operator="containsText" text="Problem">
      <formula>NOT(ISERROR(SEARCH(("Problem"),(D241))))</formula>
    </cfRule>
  </conditionalFormatting>
  <conditionalFormatting sqref="D241:D243">
    <cfRule type="containsText" dxfId="0" priority="749" operator="containsText" text="Problem">
      <formula>NOT(ISERROR(SEARCH(("Problem"),(D241))))</formula>
    </cfRule>
  </conditionalFormatting>
  <conditionalFormatting sqref="D241:D243">
    <cfRule type="containsText" dxfId="0" priority="750" operator="containsText" text="Problem">
      <formula>NOT(ISERROR(SEARCH(("Problem"),(D241))))</formula>
    </cfRule>
  </conditionalFormatting>
  <conditionalFormatting sqref="D241:D243">
    <cfRule type="containsText" dxfId="0" priority="751" operator="containsText" text="Problem">
      <formula>NOT(ISERROR(SEARCH(("Problem"),(D241))))</formula>
    </cfRule>
  </conditionalFormatting>
  <conditionalFormatting sqref="D891:D945 J891:J945">
    <cfRule type="containsText" dxfId="0" priority="752" operator="containsText" text="Problem">
      <formula>NOT(ISERROR(SEARCH(("Problem"),(D891))))</formula>
    </cfRule>
  </conditionalFormatting>
  <conditionalFormatting sqref="D891:D945 J891:J945">
    <cfRule type="containsText" dxfId="0" priority="753" operator="containsText" text="Problem">
      <formula>NOT(ISERROR(SEARCH(("Problem"),(D891))))</formula>
    </cfRule>
  </conditionalFormatting>
  <conditionalFormatting sqref="D891:D945 J891:J945">
    <cfRule type="containsText" dxfId="0" priority="754" operator="containsText" text="Problem">
      <formula>NOT(ISERROR(SEARCH(("Problem"),(D891))))</formula>
    </cfRule>
  </conditionalFormatting>
  <conditionalFormatting sqref="D360:D371">
    <cfRule type="containsText" dxfId="0" priority="755" operator="containsText" text="Problem">
      <formula>NOT(ISERROR(SEARCH(("Problem"),(D360))))</formula>
    </cfRule>
  </conditionalFormatting>
  <conditionalFormatting sqref="D360:D371">
    <cfRule type="containsText" dxfId="0" priority="756" operator="containsText" text="Problem">
      <formula>NOT(ISERROR(SEARCH(("Problem"),(D360))))</formula>
    </cfRule>
  </conditionalFormatting>
  <conditionalFormatting sqref="D360:D371">
    <cfRule type="containsText" dxfId="0" priority="757" operator="containsText" text="Problem">
      <formula>NOT(ISERROR(SEARCH(("Problem"),(D360))))</formula>
    </cfRule>
  </conditionalFormatting>
  <conditionalFormatting sqref="E831">
    <cfRule type="containsText" dxfId="0" priority="758" operator="containsText" text="Problem">
      <formula>NOT(ISERROR(SEARCH(("Problem"),(E831))))</formula>
    </cfRule>
  </conditionalFormatting>
  <conditionalFormatting sqref="E831">
    <cfRule type="containsText" dxfId="0" priority="759" operator="containsText" text="Problem">
      <formula>NOT(ISERROR(SEARCH(("Problem"),(E831))))</formula>
    </cfRule>
  </conditionalFormatting>
  <conditionalFormatting sqref="E831">
    <cfRule type="containsText" dxfId="0" priority="760" operator="containsText" text="Problem">
      <formula>NOT(ISERROR(SEARCH(("Problem"),(E831))))</formula>
    </cfRule>
  </conditionalFormatting>
  <conditionalFormatting sqref="D742:D766">
    <cfRule type="containsText" dxfId="0" priority="761" operator="containsText" text="Problem">
      <formula>NOT(ISERROR(SEARCH(("Problem"),(D742))))</formula>
    </cfRule>
  </conditionalFormatting>
  <conditionalFormatting sqref="D742:D766">
    <cfRule type="containsText" dxfId="0" priority="762" operator="containsText" text="Problem">
      <formula>NOT(ISERROR(SEARCH(("Problem"),(D742))))</formula>
    </cfRule>
  </conditionalFormatting>
  <conditionalFormatting sqref="F419:F446">
    <cfRule type="containsText" dxfId="0" priority="763" operator="containsText" text="Problem">
      <formula>NOT(ISERROR(SEARCH(("Problem"),(F419))))</formula>
    </cfRule>
  </conditionalFormatting>
  <conditionalFormatting sqref="F419:F446">
    <cfRule type="containsText" dxfId="0" priority="764" operator="containsText" text="Problem">
      <formula>NOT(ISERROR(SEARCH(("Problem"),(F419))))</formula>
    </cfRule>
  </conditionalFormatting>
  <conditionalFormatting sqref="F419:F446">
    <cfRule type="containsText" dxfId="0" priority="765" operator="containsText" text="Problem">
      <formula>NOT(ISERROR(SEARCH(("Problem"),(F419))))</formula>
    </cfRule>
  </conditionalFormatting>
  <conditionalFormatting sqref="E537:E564">
    <cfRule type="containsText" dxfId="0" priority="766" operator="containsText" text="Problem">
      <formula>NOT(ISERROR(SEARCH(("Problem"),(E537))))</formula>
    </cfRule>
  </conditionalFormatting>
  <conditionalFormatting sqref="E537:E564">
    <cfRule type="containsText" dxfId="0" priority="767" operator="containsText" text="Problem">
      <formula>NOT(ISERROR(SEARCH(("Problem"),(E537))))</formula>
    </cfRule>
  </conditionalFormatting>
  <conditionalFormatting sqref="E537:E564">
    <cfRule type="containsText" dxfId="0" priority="768" operator="containsText" text="Problem">
      <formula>NOT(ISERROR(SEARCH(("Problem"),(E537))))</formula>
    </cfRule>
  </conditionalFormatting>
  <conditionalFormatting sqref="D536">
    <cfRule type="containsText" dxfId="0" priority="769" operator="containsText" text="Problem">
      <formula>NOT(ISERROR(SEARCH(("Problem"),(D536))))</formula>
    </cfRule>
  </conditionalFormatting>
  <conditionalFormatting sqref="G418">
    <cfRule type="containsText" dxfId="0" priority="770" operator="containsText" text="Problem">
      <formula>NOT(ISERROR(SEARCH(("Problem"),(G418))))</formula>
    </cfRule>
  </conditionalFormatting>
  <conditionalFormatting sqref="G418">
    <cfRule type="containsText" dxfId="0" priority="771" operator="containsText" text="Problem">
      <formula>NOT(ISERROR(SEARCH(("Problem"),(G418))))</formula>
    </cfRule>
  </conditionalFormatting>
  <conditionalFormatting sqref="G418">
    <cfRule type="containsText" dxfId="0" priority="772" operator="containsText" text="Problem">
      <formula>NOT(ISERROR(SEARCH(("Problem"),(G418))))</formula>
    </cfRule>
  </conditionalFormatting>
  <conditionalFormatting sqref="D832:D859">
    <cfRule type="containsText" dxfId="0" priority="773" operator="containsText" text="Problem">
      <formula>NOT(ISERROR(SEARCH(("Problem"),(D832))))</formula>
    </cfRule>
  </conditionalFormatting>
  <conditionalFormatting sqref="D832:D859">
    <cfRule type="containsText" dxfId="0" priority="774" operator="containsText" text="Problem">
      <formula>NOT(ISERROR(SEARCH(("Problem"),(D832))))</formula>
    </cfRule>
  </conditionalFormatting>
  <conditionalFormatting sqref="D832:D859">
    <cfRule type="containsText" dxfId="0" priority="775" operator="containsText" text="Problem">
      <formula>NOT(ISERROR(SEARCH(("Problem"),(D832))))</formula>
    </cfRule>
  </conditionalFormatting>
  <conditionalFormatting sqref="N182:N238">
    <cfRule type="containsText" dxfId="0" priority="776" operator="containsText" text="Problem">
      <formula>NOT(ISERROR(SEARCH(("Problem"),(N182))))</formula>
    </cfRule>
  </conditionalFormatting>
  <conditionalFormatting sqref="N182:N238">
    <cfRule type="containsText" dxfId="0" priority="777" operator="containsText" text="Problem">
      <formula>NOT(ISERROR(SEARCH(("Problem"),(N182))))</formula>
    </cfRule>
  </conditionalFormatting>
  <conditionalFormatting sqref="N182:N238">
    <cfRule type="containsText" dxfId="0" priority="778" operator="containsText" text="Problem">
      <formula>NOT(ISERROR(SEARCH(("Problem"),(N182))))</formula>
    </cfRule>
  </conditionalFormatting>
  <conditionalFormatting sqref="D279:D294">
    <cfRule type="containsText" dxfId="0" priority="779" operator="containsText" text="Problem">
      <formula>NOT(ISERROR(SEARCH(("Problem"),(D279))))</formula>
    </cfRule>
  </conditionalFormatting>
  <conditionalFormatting sqref="D279:D294">
    <cfRule type="containsText" dxfId="0" priority="780" operator="containsText" text="Problem">
      <formula>NOT(ISERROR(SEARCH(("Problem"),(D279))))</formula>
    </cfRule>
  </conditionalFormatting>
  <conditionalFormatting sqref="D161:D176">
    <cfRule type="containsText" dxfId="0" priority="781" operator="containsText" text="Problem">
      <formula>NOT(ISERROR(SEARCH(("Problem"),(D161))))</formula>
    </cfRule>
  </conditionalFormatting>
  <conditionalFormatting sqref="D161:D176">
    <cfRule type="containsText" dxfId="0" priority="782" operator="containsText" text="Problem">
      <formula>NOT(ISERROR(SEARCH(("Problem"),(D161))))</formula>
    </cfRule>
  </conditionalFormatting>
  <conditionalFormatting sqref="D540:D564">
    <cfRule type="containsText" dxfId="0" priority="783" operator="containsText" text="Problem">
      <formula>NOT(ISERROR(SEARCH(("Problem"),(D540))))</formula>
    </cfRule>
  </conditionalFormatting>
  <conditionalFormatting sqref="D540:D564">
    <cfRule type="containsText" dxfId="0" priority="784" operator="containsText" text="Problem">
      <formula>NOT(ISERROR(SEARCH(("Problem"),(D540))))</formula>
    </cfRule>
  </conditionalFormatting>
  <conditionalFormatting sqref="D540:D564">
    <cfRule type="containsText" dxfId="0" priority="785" operator="containsText" text="Problem">
      <formula>NOT(ISERROR(SEARCH(("Problem"),(D540))))</formula>
    </cfRule>
  </conditionalFormatting>
  <conditionalFormatting sqref="D540:D564">
    <cfRule type="containsText" dxfId="0" priority="786" operator="containsText" text="Problem">
      <formula>NOT(ISERROR(SEARCH(("Problem"),(D540))))</formula>
    </cfRule>
  </conditionalFormatting>
  <conditionalFormatting sqref="G772">
    <cfRule type="containsText" dxfId="0" priority="787" operator="containsText" text="Problem">
      <formula>NOT(ISERROR(SEARCH(("Problem"),(G772))))</formula>
    </cfRule>
  </conditionalFormatting>
  <conditionalFormatting sqref="G772">
    <cfRule type="containsText" dxfId="0" priority="788" operator="containsText" text="Problem">
      <formula>NOT(ISERROR(SEARCH(("Problem"),(G772))))</formula>
    </cfRule>
  </conditionalFormatting>
  <conditionalFormatting sqref="G772">
    <cfRule type="containsText" dxfId="0" priority="789" operator="containsText" text="Problem">
      <formula>NOT(ISERROR(SEARCH(("Problem"),(G772))))</formula>
    </cfRule>
  </conditionalFormatting>
  <conditionalFormatting sqref="C298 E298:I298">
    <cfRule type="containsText" dxfId="0" priority="790" operator="containsText" text="Problem">
      <formula>NOT(ISERROR(SEARCH(("Problem"),(C298))))</formula>
    </cfRule>
  </conditionalFormatting>
  <conditionalFormatting sqref="C298 E298:I298">
    <cfRule type="containsText" dxfId="0" priority="791" operator="containsText" text="Problem">
      <formula>NOT(ISERROR(SEARCH(("Problem"),(C298))))</formula>
    </cfRule>
  </conditionalFormatting>
  <conditionalFormatting sqref="C298 E298:I298">
    <cfRule type="containsText" dxfId="0" priority="792" operator="containsText" text="Problem">
      <formula>NOT(ISERROR(SEARCH(("Problem"),(C298))))</formula>
    </cfRule>
  </conditionalFormatting>
  <conditionalFormatting sqref="F6:F34">
    <cfRule type="containsText" dxfId="0" priority="793" operator="containsText" text="Problem">
      <formula>NOT(ISERROR(SEARCH(("Problem"),(F6))))</formula>
    </cfRule>
  </conditionalFormatting>
  <conditionalFormatting sqref="F6:F34">
    <cfRule type="containsText" dxfId="0" priority="794" operator="containsText" text="Problem">
      <formula>NOT(ISERROR(SEARCH(("Problem"),(F6))))</formula>
    </cfRule>
  </conditionalFormatting>
  <conditionalFormatting sqref="F6:F34">
    <cfRule type="containsText" dxfId="0" priority="795" operator="containsText" text="Problem">
      <formula>NOT(ISERROR(SEARCH(("Problem"),(F6))))</formula>
    </cfRule>
  </conditionalFormatting>
  <conditionalFormatting sqref="H65:H92">
    <cfRule type="containsText" dxfId="0" priority="796" operator="containsText" text="Problem">
      <formula>NOT(ISERROR(SEARCH(("Problem"),(H65))))</formula>
    </cfRule>
  </conditionalFormatting>
  <conditionalFormatting sqref="H65:H92">
    <cfRule type="containsText" dxfId="0" priority="797" operator="containsText" text="Problem">
      <formula>NOT(ISERROR(SEARCH(("Problem"),(H65))))</formula>
    </cfRule>
  </conditionalFormatting>
  <conditionalFormatting sqref="H65:H92">
    <cfRule type="containsText" dxfId="0" priority="798" operator="containsText" text="Problem">
      <formula>NOT(ISERROR(SEARCH(("Problem"),(H65))))</formula>
    </cfRule>
  </conditionalFormatting>
  <conditionalFormatting sqref="F182">
    <cfRule type="containsText" dxfId="0" priority="799" operator="containsText" text="Problem">
      <formula>NOT(ISERROR(SEARCH(("Problem"),(F182))))</formula>
    </cfRule>
  </conditionalFormatting>
  <conditionalFormatting sqref="F182">
    <cfRule type="containsText" dxfId="0" priority="800" operator="containsText" text="Problem">
      <formula>NOT(ISERROR(SEARCH(("Problem"),(F182))))</formula>
    </cfRule>
  </conditionalFormatting>
  <conditionalFormatting sqref="F182">
    <cfRule type="containsText" dxfId="0" priority="801" operator="containsText" text="Problem">
      <formula>NOT(ISERROR(SEARCH(("Problem"),(F182))))</formula>
    </cfRule>
  </conditionalFormatting>
  <conditionalFormatting sqref="H300">
    <cfRule type="containsText" dxfId="0" priority="802" operator="containsText" text="Problem">
      <formula>NOT(ISERROR(SEARCH(("Problem"),(H300))))</formula>
    </cfRule>
  </conditionalFormatting>
  <conditionalFormatting sqref="H300">
    <cfRule type="containsText" dxfId="0" priority="803" operator="containsText" text="Problem">
      <formula>NOT(ISERROR(SEARCH(("Problem"),(H300))))</formula>
    </cfRule>
  </conditionalFormatting>
  <conditionalFormatting sqref="H300">
    <cfRule type="containsText" dxfId="0" priority="804" operator="containsText" text="Problem">
      <formula>NOT(ISERROR(SEARCH(("Problem"),(H300))))</formula>
    </cfRule>
  </conditionalFormatting>
  <conditionalFormatting sqref="A534 J534:P534">
    <cfRule type="containsText" dxfId="0" priority="805" operator="containsText" text="Problem">
      <formula>NOT(ISERROR(SEARCH(("Problem"),(A534))))</formula>
    </cfRule>
  </conditionalFormatting>
  <conditionalFormatting sqref="A534 J534:P534">
    <cfRule type="containsText" dxfId="0" priority="806" operator="containsText" text="Problem">
      <formula>NOT(ISERROR(SEARCH(("Problem"),(A534))))</formula>
    </cfRule>
  </conditionalFormatting>
  <conditionalFormatting sqref="A534 J534:P534">
    <cfRule type="containsText" dxfId="0" priority="807" operator="containsText" text="Problem">
      <formula>NOT(ISERROR(SEARCH(("Problem"),(A534))))</formula>
    </cfRule>
  </conditionalFormatting>
  <conditionalFormatting sqref="B101:C101 B113:B116 B118:C119 C70:C100 C110:C116">
    <cfRule type="containsText" dxfId="0" priority="808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809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810" operator="containsText" text="Problem">
      <formula>NOT(ISERROR(SEARCH(("Problem"),(B101))))</formula>
    </cfRule>
  </conditionalFormatting>
  <conditionalFormatting sqref="H831">
    <cfRule type="containsText" dxfId="0" priority="811" operator="containsText" text="Problem">
      <formula>NOT(ISERROR(SEARCH(("Problem"),(H831))))</formula>
    </cfRule>
  </conditionalFormatting>
  <conditionalFormatting sqref="H831">
    <cfRule type="containsText" dxfId="0" priority="812" operator="containsText" text="Problem">
      <formula>NOT(ISERROR(SEARCH(("Problem"),(H831))))</formula>
    </cfRule>
  </conditionalFormatting>
  <conditionalFormatting sqref="H831">
    <cfRule type="containsText" dxfId="0" priority="813" operator="containsText" text="Problem">
      <formula>NOT(ISERROR(SEARCH(("Problem"),(H831))))</formula>
    </cfRule>
  </conditionalFormatting>
  <conditionalFormatting sqref="G5">
    <cfRule type="containsText" dxfId="0" priority="814" operator="containsText" text="Problem">
      <formula>NOT(ISERROR(SEARCH(("Problem"),(G5))))</formula>
    </cfRule>
  </conditionalFormatting>
  <conditionalFormatting sqref="G5">
    <cfRule type="containsText" dxfId="0" priority="815" operator="containsText" text="Problem">
      <formula>NOT(ISERROR(SEARCH(("Problem"),(G5))))</formula>
    </cfRule>
  </conditionalFormatting>
  <conditionalFormatting sqref="G5">
    <cfRule type="containsText" dxfId="0" priority="816" operator="containsText" text="Problem">
      <formula>NOT(ISERROR(SEARCH(("Problem"),(G5))))</formula>
    </cfRule>
  </conditionalFormatting>
  <conditionalFormatting sqref="G536">
    <cfRule type="containsText" dxfId="0" priority="817" operator="containsText" text="Problem">
      <formula>NOT(ISERROR(SEARCH(("Problem"),(G536))))</formula>
    </cfRule>
  </conditionalFormatting>
  <conditionalFormatting sqref="G536">
    <cfRule type="containsText" dxfId="0" priority="818" operator="containsText" text="Problem">
      <formula>NOT(ISERROR(SEARCH(("Problem"),(G536))))</formula>
    </cfRule>
  </conditionalFormatting>
  <conditionalFormatting sqref="G536">
    <cfRule type="containsText" dxfId="0" priority="819" operator="containsText" text="Problem">
      <formula>NOT(ISERROR(SEARCH(("Problem"),(G536))))</formula>
    </cfRule>
  </conditionalFormatting>
  <conditionalFormatting sqref="G478:G505">
    <cfRule type="containsText" dxfId="0" priority="820" operator="containsText" text="Problem">
      <formula>NOT(ISERROR(SEARCH(("Problem"),(G478))))</formula>
    </cfRule>
  </conditionalFormatting>
  <conditionalFormatting sqref="G478:G505">
    <cfRule type="containsText" dxfId="0" priority="821" operator="containsText" text="Problem">
      <formula>NOT(ISERROR(SEARCH(("Problem"),(G478))))</formula>
    </cfRule>
  </conditionalFormatting>
  <conditionalFormatting sqref="G478:G505">
    <cfRule type="containsText" dxfId="0" priority="822" operator="containsText" text="Problem">
      <formula>NOT(ISERROR(SEARCH(("Problem"),(G478))))</formula>
    </cfRule>
  </conditionalFormatting>
  <conditionalFormatting sqref="C239 E239:I239">
    <cfRule type="containsText" dxfId="0" priority="823" operator="containsText" text="Problem">
      <formula>NOT(ISERROR(SEARCH(("Problem"),(C239))))</formula>
    </cfRule>
  </conditionalFormatting>
  <conditionalFormatting sqref="C239 E239:I239">
    <cfRule type="containsText" dxfId="0" priority="824" operator="containsText" text="Problem">
      <formula>NOT(ISERROR(SEARCH(("Problem"),(C239))))</formula>
    </cfRule>
  </conditionalFormatting>
  <conditionalFormatting sqref="C239 E239:I239">
    <cfRule type="containsText" dxfId="0" priority="825" operator="containsText" text="Problem">
      <formula>NOT(ISERROR(SEARCH(("Problem"),(C239))))</formula>
    </cfRule>
  </conditionalFormatting>
  <conditionalFormatting sqref="D826:D827 E801:H827">
    <cfRule type="containsText" dxfId="0" priority="826" operator="containsText" text="Problem">
      <formula>NOT(ISERROR(SEARCH(("Problem"),(D826))))</formula>
    </cfRule>
  </conditionalFormatting>
  <conditionalFormatting sqref="D826:D827 E801:H827">
    <cfRule type="containsText" dxfId="0" priority="827" operator="containsText" text="Problem">
      <formula>NOT(ISERROR(SEARCH(("Problem"),(D826))))</formula>
    </cfRule>
  </conditionalFormatting>
  <conditionalFormatting sqref="D826:D827 E801:H827">
    <cfRule type="containsText" dxfId="0" priority="828" operator="containsText" text="Problem">
      <formula>NOT(ISERROR(SEARCH(("Problem"),(D826))))</formula>
    </cfRule>
  </conditionalFormatting>
  <conditionalFormatting sqref="B573:C573 B585:B588 B590:C591 C542:C572 C582:C588">
    <cfRule type="containsText" dxfId="0" priority="829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830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831" operator="containsText" text="Problem">
      <formula>NOT(ISERROR(SEARCH(("Problem"),(B573))))</formula>
    </cfRule>
  </conditionalFormatting>
  <conditionalFormatting sqref="I713">
    <cfRule type="containsText" dxfId="0" priority="832" operator="containsText" text="Problem">
      <formula>NOT(ISERROR(SEARCH(("Problem"),(I713))))</formula>
    </cfRule>
  </conditionalFormatting>
  <conditionalFormatting sqref="I713">
    <cfRule type="containsText" dxfId="0" priority="833" operator="containsText" text="Problem">
      <formula>NOT(ISERROR(SEARCH(("Problem"),(I713))))</formula>
    </cfRule>
  </conditionalFormatting>
  <conditionalFormatting sqref="I713">
    <cfRule type="containsText" dxfId="0" priority="834" operator="containsText" text="Problem">
      <formula>NOT(ISERROR(SEARCH(("Problem"),(I713))))</formula>
    </cfRule>
  </conditionalFormatting>
  <conditionalFormatting sqref="D624:D648">
    <cfRule type="containsText" dxfId="0" priority="835" operator="containsText" text="Problem">
      <formula>NOT(ISERROR(SEARCH(("Problem"),(D624))))</formula>
    </cfRule>
  </conditionalFormatting>
  <conditionalFormatting sqref="D624:D648">
    <cfRule type="containsText" dxfId="0" priority="836" operator="containsText" text="Problem">
      <formula>NOT(ISERROR(SEARCH(("Problem"),(D624))))</formula>
    </cfRule>
  </conditionalFormatting>
  <conditionalFormatting sqref="H595">
    <cfRule type="containsText" dxfId="0" priority="837" operator="containsText" text="Problem">
      <formula>NOT(ISERROR(SEARCH(("Problem"),(H595))))</formula>
    </cfRule>
  </conditionalFormatting>
  <conditionalFormatting sqref="H595">
    <cfRule type="containsText" dxfId="0" priority="838" operator="containsText" text="Problem">
      <formula>NOT(ISERROR(SEARCH(("Problem"),(H595))))</formula>
    </cfRule>
  </conditionalFormatting>
  <conditionalFormatting sqref="H595">
    <cfRule type="containsText" dxfId="0" priority="839" operator="containsText" text="Problem">
      <formula>NOT(ISERROR(SEARCH(("Problem"),(H595))))</formula>
    </cfRule>
  </conditionalFormatting>
  <conditionalFormatting sqref="H772">
    <cfRule type="containsText" dxfId="0" priority="840" operator="containsText" text="Problem">
      <formula>NOT(ISERROR(SEARCH(("Problem"),(H772))))</formula>
    </cfRule>
  </conditionalFormatting>
  <conditionalFormatting sqref="H772">
    <cfRule type="containsText" dxfId="0" priority="841" operator="containsText" text="Problem">
      <formula>NOT(ISERROR(SEARCH(("Problem"),(H772))))</formula>
    </cfRule>
  </conditionalFormatting>
  <conditionalFormatting sqref="H772">
    <cfRule type="containsText" dxfId="0" priority="842" operator="containsText" text="Problem">
      <formula>NOT(ISERROR(SEARCH(("Problem"),(H772))))</formula>
    </cfRule>
  </conditionalFormatting>
  <conditionalFormatting sqref="I241">
    <cfRule type="containsText" dxfId="0" priority="843" operator="containsText" text="Problem">
      <formula>NOT(ISERROR(SEARCH(("Problem"),(I241))))</formula>
    </cfRule>
  </conditionalFormatting>
  <conditionalFormatting sqref="I241">
    <cfRule type="containsText" dxfId="0" priority="844" operator="containsText" text="Problem">
      <formula>NOT(ISERROR(SEARCH(("Problem"),(I241))))</formula>
    </cfRule>
  </conditionalFormatting>
  <conditionalFormatting sqref="I241">
    <cfRule type="containsText" dxfId="0" priority="845" operator="containsText" text="Problem">
      <formula>NOT(ISERROR(SEARCH(("Problem"),(I241))))</formula>
    </cfRule>
  </conditionalFormatting>
  <conditionalFormatting sqref="I655:I682">
    <cfRule type="containsText" dxfId="0" priority="846" operator="containsText" text="Problem">
      <formula>NOT(ISERROR(SEARCH(("Problem"),(I655))))</formula>
    </cfRule>
  </conditionalFormatting>
  <conditionalFormatting sqref="I655:I682">
    <cfRule type="containsText" dxfId="0" priority="847" operator="containsText" text="Problem">
      <formula>NOT(ISERROR(SEARCH(("Problem"),(I655))))</formula>
    </cfRule>
  </conditionalFormatting>
  <conditionalFormatting sqref="I655:I682">
    <cfRule type="containsText" dxfId="0" priority="848" operator="containsText" text="Problem">
      <formula>NOT(ISERROR(SEARCH(("Problem"),(I655))))</formula>
    </cfRule>
  </conditionalFormatting>
  <conditionalFormatting sqref="I655:I682">
    <cfRule type="containsText" dxfId="0" priority="849" operator="containsText" text="Problem">
      <formula>NOT(ISERROR(SEARCH(("Problem"),(I655))))</formula>
    </cfRule>
  </conditionalFormatting>
  <conditionalFormatting sqref="B160:C160 B172:B175 B177:C178 C129:C159 C169:C175">
    <cfRule type="containsText" dxfId="0" priority="850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851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852" operator="containsText" text="Problem">
      <formula>NOT(ISERROR(SEARCH(("Problem"),(B160))))</formula>
    </cfRule>
  </conditionalFormatting>
  <conditionalFormatting sqref="G655:G682">
    <cfRule type="containsText" dxfId="0" priority="853" operator="containsText" text="Problem">
      <formula>NOT(ISERROR(SEARCH(("Problem"),(G655))))</formula>
    </cfRule>
  </conditionalFormatting>
  <conditionalFormatting sqref="G655:G682">
    <cfRule type="containsText" dxfId="0" priority="854" operator="containsText" text="Problem">
      <formula>NOT(ISERROR(SEARCH(("Problem"),(G655))))</formula>
    </cfRule>
  </conditionalFormatting>
  <conditionalFormatting sqref="G655:G682">
    <cfRule type="containsText" dxfId="0" priority="855" operator="containsText" text="Problem">
      <formula>NOT(ISERROR(SEARCH(("Problem"),(G655))))</formula>
    </cfRule>
  </conditionalFormatting>
  <conditionalFormatting sqref="A476:I476 A533:H533 I506:I533 J476:P533">
    <cfRule type="containsText" dxfId="0" priority="856" operator="containsText" text="Problem">
      <formula>NOT(ISERROR(SEARCH(("Problem"),(A476))))</formula>
    </cfRule>
  </conditionalFormatting>
  <conditionalFormatting sqref="A476:I476 A533:H533 I506:I533 J476:P533">
    <cfRule type="containsText" dxfId="0" priority="857" operator="containsText" text="Problem">
      <formula>NOT(ISERROR(SEARCH(("Problem"),(A476))))</formula>
    </cfRule>
  </conditionalFormatting>
  <conditionalFormatting sqref="A476:I476 A533:H533 I506:I533 J476:P533">
    <cfRule type="containsText" dxfId="0" priority="858" operator="containsText" text="Problem">
      <formula>NOT(ISERROR(SEARCH(("Problem"),(A476))))</formula>
    </cfRule>
  </conditionalFormatting>
  <conditionalFormatting sqref="H183:H210">
    <cfRule type="containsText" dxfId="0" priority="859" operator="containsText" text="Problem">
      <formula>NOT(ISERROR(SEARCH(("Problem"),(H183))))</formula>
    </cfRule>
  </conditionalFormatting>
  <conditionalFormatting sqref="H183:H210">
    <cfRule type="containsText" dxfId="0" priority="860" operator="containsText" text="Problem">
      <formula>NOT(ISERROR(SEARCH(("Problem"),(H183))))</formula>
    </cfRule>
  </conditionalFormatting>
  <conditionalFormatting sqref="H183:H210">
    <cfRule type="containsText" dxfId="0" priority="861" operator="containsText" text="Problem">
      <formula>NOT(ISERROR(SEARCH(("Problem"),(H183))))</formula>
    </cfRule>
  </conditionalFormatting>
  <conditionalFormatting sqref="G595">
    <cfRule type="containsText" dxfId="0" priority="862" operator="containsText" text="Problem">
      <formula>NOT(ISERROR(SEARCH(("Problem"),(G595))))</formula>
    </cfRule>
  </conditionalFormatting>
  <conditionalFormatting sqref="G595">
    <cfRule type="containsText" dxfId="0" priority="863" operator="containsText" text="Problem">
      <formula>NOT(ISERROR(SEARCH(("Problem"),(G595))))</formula>
    </cfRule>
  </conditionalFormatting>
  <conditionalFormatting sqref="G595">
    <cfRule type="containsText" dxfId="0" priority="864" operator="containsText" text="Problem">
      <formula>NOT(ISERROR(SEARCH(("Problem"),(G595))))</formula>
    </cfRule>
  </conditionalFormatting>
  <conditionalFormatting sqref="E655:E682">
    <cfRule type="containsText" dxfId="0" priority="865" operator="containsText" text="Problem">
      <formula>NOT(ISERROR(SEARCH(("Problem"),(E655))))</formula>
    </cfRule>
  </conditionalFormatting>
  <conditionalFormatting sqref="E655:E682">
    <cfRule type="containsText" dxfId="0" priority="866" operator="containsText" text="Problem">
      <formula>NOT(ISERROR(SEARCH(("Problem"),(E655))))</formula>
    </cfRule>
  </conditionalFormatting>
  <conditionalFormatting sqref="E655:E682">
    <cfRule type="containsText" dxfId="0" priority="867" operator="containsText" text="Problem">
      <formula>NOT(ISERROR(SEARCH(("Problem"),(E655))))</formula>
    </cfRule>
  </conditionalFormatting>
  <conditionalFormatting sqref="E713">
    <cfRule type="containsText" dxfId="0" priority="868" operator="containsText" text="Problem">
      <formula>NOT(ISERROR(SEARCH(("Problem"),(E713))))</formula>
    </cfRule>
  </conditionalFormatting>
  <conditionalFormatting sqref="E713">
    <cfRule type="containsText" dxfId="0" priority="869" operator="containsText" text="Problem">
      <formula>NOT(ISERROR(SEARCH(("Problem"),(E713))))</formula>
    </cfRule>
  </conditionalFormatting>
  <conditionalFormatting sqref="E713">
    <cfRule type="containsText" dxfId="0" priority="870" operator="containsText" text="Problem">
      <formula>NOT(ISERROR(SEARCH(("Problem"),(E713))))</formula>
    </cfRule>
  </conditionalFormatting>
  <conditionalFormatting sqref="G301:G328">
    <cfRule type="containsText" dxfId="0" priority="871" operator="containsText" text="Problem">
      <formula>NOT(ISERROR(SEARCH(("Problem"),(G301))))</formula>
    </cfRule>
  </conditionalFormatting>
  <conditionalFormatting sqref="G301:G328">
    <cfRule type="containsText" dxfId="0" priority="872" operator="containsText" text="Problem">
      <formula>NOT(ISERROR(SEARCH(("Problem"),(G301))))</formula>
    </cfRule>
  </conditionalFormatting>
  <conditionalFormatting sqref="G301:G328">
    <cfRule type="containsText" dxfId="0" priority="873" operator="containsText" text="Problem">
      <formula>NOT(ISERROR(SEARCH(("Problem"),(G301))))</formula>
    </cfRule>
  </conditionalFormatting>
  <conditionalFormatting sqref="D654">
    <cfRule type="containsText" dxfId="0" priority="874" operator="containsText" text="Problem">
      <formula>NOT(ISERROR(SEARCH(("Problem"),(D654))))</formula>
    </cfRule>
  </conditionalFormatting>
  <conditionalFormatting sqref="A298 J298:P298">
    <cfRule type="containsText" dxfId="0" priority="875" operator="containsText" text="Problem">
      <formula>NOT(ISERROR(SEARCH(("Problem"),(A298))))</formula>
    </cfRule>
  </conditionalFormatting>
  <conditionalFormatting sqref="A298 J298:P298">
    <cfRule type="containsText" dxfId="0" priority="876" operator="containsText" text="Problem">
      <formula>NOT(ISERROR(SEARCH(("Problem"),(A298))))</formula>
    </cfRule>
  </conditionalFormatting>
  <conditionalFormatting sqref="A298 J298:P298">
    <cfRule type="containsText" dxfId="0" priority="877" operator="containsText" text="Problem">
      <formula>NOT(ISERROR(SEARCH(("Problem"),(A298))))</formula>
    </cfRule>
  </conditionalFormatting>
  <conditionalFormatting sqref="D339:D353">
    <cfRule type="containsText" dxfId="0" priority="878" operator="containsText" text="Problem">
      <formula>NOT(ISERROR(SEARCH(("Problem"),(D339))))</formula>
    </cfRule>
  </conditionalFormatting>
  <conditionalFormatting sqref="D339:D353">
    <cfRule type="containsText" dxfId="0" priority="879" operator="containsText" text="Problem">
      <formula>NOT(ISERROR(SEARCH(("Problem"),(D339))))</formula>
    </cfRule>
  </conditionalFormatting>
  <conditionalFormatting sqref="D93:D117">
    <cfRule type="containsText" dxfId="0" priority="880" operator="containsText" text="Problem">
      <formula>NOT(ISERROR(SEARCH(("Problem"),(D93))))</formula>
    </cfRule>
  </conditionalFormatting>
  <conditionalFormatting sqref="D93:D117">
    <cfRule type="containsText" dxfId="0" priority="881" operator="containsText" text="Problem">
      <formula>NOT(ISERROR(SEARCH(("Problem"),(D93))))</formula>
    </cfRule>
  </conditionalFormatting>
  <conditionalFormatting sqref="F714:F741">
    <cfRule type="containsText" dxfId="0" priority="882" operator="containsText" text="Problem">
      <formula>NOT(ISERROR(SEARCH(("Problem"),(F714))))</formula>
    </cfRule>
  </conditionalFormatting>
  <conditionalFormatting sqref="F714:F741">
    <cfRule type="containsText" dxfId="0" priority="883" operator="containsText" text="Problem">
      <formula>NOT(ISERROR(SEARCH(("Problem"),(F714))))</formula>
    </cfRule>
  </conditionalFormatting>
  <conditionalFormatting sqref="F714:F741">
    <cfRule type="containsText" dxfId="0" priority="884" operator="containsText" text="Problem">
      <formula>NOT(ISERROR(SEARCH(("Problem"),(F714))))</formula>
    </cfRule>
  </conditionalFormatting>
  <conditionalFormatting sqref="D477">
    <cfRule type="containsText" dxfId="0" priority="885" operator="containsText" text="Problem">
      <formula>NOT(ISERROR(SEARCH(("Problem"),(D477))))</formula>
    </cfRule>
  </conditionalFormatting>
  <conditionalFormatting sqref="A299:I299 A356:H356 I329:I356 J299:P356">
    <cfRule type="containsText" dxfId="0" priority="886" operator="containsText" text="Problem">
      <formula>NOT(ISERROR(SEARCH(("Problem"),(A299))))</formula>
    </cfRule>
  </conditionalFormatting>
  <conditionalFormatting sqref="A299:I299 A356:H356 I329:I356 J299:P356">
    <cfRule type="containsText" dxfId="0" priority="887" operator="containsText" text="Problem">
      <formula>NOT(ISERROR(SEARCH(("Problem"),(A299))))</formula>
    </cfRule>
  </conditionalFormatting>
  <conditionalFormatting sqref="A299:I299 A356:H356 I329:I356 J299:P356">
    <cfRule type="containsText" dxfId="0" priority="888" operator="containsText" text="Problem">
      <formula>NOT(ISERROR(SEARCH(("Problem"),(A299))))</formula>
    </cfRule>
  </conditionalFormatting>
  <conditionalFormatting sqref="H654">
    <cfRule type="containsText" dxfId="0" priority="889" operator="containsText" text="Problem">
      <formula>NOT(ISERROR(SEARCH(("Problem"),(H654))))</formula>
    </cfRule>
  </conditionalFormatting>
  <conditionalFormatting sqref="H654">
    <cfRule type="containsText" dxfId="0" priority="890" operator="containsText" text="Problem">
      <formula>NOT(ISERROR(SEARCH(("Problem"),(H654))))</formula>
    </cfRule>
  </conditionalFormatting>
  <conditionalFormatting sqref="H654">
    <cfRule type="containsText" dxfId="0" priority="891" operator="containsText" text="Problem">
      <formula>NOT(ISERROR(SEARCH(("Problem"),(H654))))</formula>
    </cfRule>
  </conditionalFormatting>
  <conditionalFormatting sqref="A595:A650">
    <cfRule type="containsText" dxfId="0" priority="892" operator="containsText" text="Problem">
      <formula>NOT(ISERROR(SEARCH(("Problem"),(A595))))</formula>
    </cfRule>
  </conditionalFormatting>
  <conditionalFormatting sqref="A595:A650">
    <cfRule type="containsText" dxfId="0" priority="893" operator="containsText" text="Problem">
      <formula>NOT(ISERROR(SEARCH(("Problem"),(A595))))</formula>
    </cfRule>
  </conditionalFormatting>
  <conditionalFormatting sqref="A595:A650">
    <cfRule type="containsText" dxfId="0" priority="894" operator="containsText" text="Problem">
      <formula>NOT(ISERROR(SEARCH(("Problem"),(A595))))</formula>
    </cfRule>
  </conditionalFormatting>
  <conditionalFormatting sqref="D152:D160">
    <cfRule type="containsText" dxfId="0" priority="895" operator="containsText" text="Problem">
      <formula>NOT(ISERROR(SEARCH(("Problem"),(D152))))</formula>
    </cfRule>
  </conditionalFormatting>
  <conditionalFormatting sqref="D152:D160">
    <cfRule type="containsText" dxfId="0" priority="896" operator="containsText" text="Problem">
      <formula>NOT(ISERROR(SEARCH(("Problem"),(D152))))</formula>
    </cfRule>
  </conditionalFormatting>
  <conditionalFormatting sqref="D152:D160">
    <cfRule type="containsText" dxfId="0" priority="897" operator="containsText" text="Problem">
      <formula>NOT(ISERROR(SEARCH(("Problem"),(D152))))</formula>
    </cfRule>
  </conditionalFormatting>
  <conditionalFormatting sqref="D295:D296 E270:H296">
    <cfRule type="containsText" dxfId="0" priority="898" operator="containsText" text="Problem">
      <formula>NOT(ISERROR(SEARCH(("Problem"),(D295))))</formula>
    </cfRule>
  </conditionalFormatting>
  <conditionalFormatting sqref="D295:D296 E270:H296">
    <cfRule type="containsText" dxfId="0" priority="899" operator="containsText" text="Problem">
      <formula>NOT(ISERROR(SEARCH(("Problem"),(D295))))</formula>
    </cfRule>
  </conditionalFormatting>
  <conditionalFormatting sqref="D295:D296 E270:H296">
    <cfRule type="containsText" dxfId="0" priority="900" operator="containsText" text="Problem">
      <formula>NOT(ISERROR(SEARCH(("Problem"),(D295))))</formula>
    </cfRule>
  </conditionalFormatting>
  <conditionalFormatting sqref="D683:D707">
    <cfRule type="containsText" dxfId="0" priority="901" operator="containsText" text="Problem">
      <formula>NOT(ISERROR(SEARCH(("Problem"),(D683))))</formula>
    </cfRule>
  </conditionalFormatting>
  <conditionalFormatting sqref="D683:D707">
    <cfRule type="containsText" dxfId="0" priority="902" operator="containsText" text="Problem">
      <formula>NOT(ISERROR(SEARCH(("Problem"),(D683))))</formula>
    </cfRule>
  </conditionalFormatting>
  <conditionalFormatting sqref="D220:D235">
    <cfRule type="containsText" dxfId="0" priority="903" operator="containsText" text="Problem">
      <formula>NOT(ISERROR(SEARCH(("Problem"),(D220))))</formula>
    </cfRule>
  </conditionalFormatting>
  <conditionalFormatting sqref="D220:D235">
    <cfRule type="containsText" dxfId="0" priority="904" operator="containsText" text="Problem">
      <formula>NOT(ISERROR(SEARCH(("Problem"),(D220))))</formula>
    </cfRule>
  </conditionalFormatting>
  <conditionalFormatting sqref="D831">
    <cfRule type="containsText" dxfId="0" priority="905" operator="containsText" text="Problem">
      <formula>NOT(ISERROR(SEARCH(("Problem"),(D831))))</formula>
    </cfRule>
  </conditionalFormatting>
  <conditionalFormatting sqref="D713">
    <cfRule type="containsText" dxfId="0" priority="906" operator="containsText" text="Problem">
      <formula>NOT(ISERROR(SEARCH(("Problem"),(D713))))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8.57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86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>
      <c r="A3" s="10"/>
      <c r="B3" s="11" t="s">
        <v>3</v>
      </c>
      <c r="C3" s="39"/>
      <c r="D3" s="13"/>
      <c r="E3" s="11"/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>
      <c r="A5" s="28">
        <v>1.0</v>
      </c>
      <c r="B5" s="29" t="s">
        <v>22</v>
      </c>
      <c r="C5" s="30">
        <v>192.17</v>
      </c>
      <c r="D5" s="3"/>
      <c r="E5" s="31"/>
      <c r="F5" s="3"/>
      <c r="G5" s="3"/>
      <c r="H5" s="3"/>
      <c r="I5" s="3"/>
      <c r="J5" s="3" t="str">
        <f t="shared" ref="J5:J61" si="1">D5+E5-F5-G5+H5</f>
        <v>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>
      <c r="A6" s="28">
        <v>2.0</v>
      </c>
      <c r="B6" s="29" t="s">
        <v>23</v>
      </c>
      <c r="C6" s="30">
        <v>9.26</v>
      </c>
      <c r="D6" s="3"/>
      <c r="E6" s="31"/>
      <c r="F6" s="3"/>
      <c r="G6" s="3"/>
      <c r="H6" s="3"/>
      <c r="I6" s="3"/>
      <c r="J6" s="3" t="str">
        <f t="shared" si="1"/>
        <v>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>
      <c r="A7" s="28">
        <v>3.0</v>
      </c>
      <c r="B7" s="29" t="s">
        <v>24</v>
      </c>
      <c r="C7" s="30">
        <v>87.79</v>
      </c>
      <c r="D7" s="3"/>
      <c r="E7" s="31"/>
      <c r="F7" s="3"/>
      <c r="G7" s="3"/>
      <c r="H7" s="3"/>
      <c r="I7" s="3"/>
      <c r="J7" s="3" t="str">
        <f t="shared" si="1"/>
        <v>0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>
      <c r="A8" s="28">
        <v>4.0</v>
      </c>
      <c r="B8" s="29" t="s">
        <v>25</v>
      </c>
      <c r="C8" s="30">
        <v>55.55</v>
      </c>
      <c r="D8" s="3"/>
      <c r="E8" s="31"/>
      <c r="F8" s="3"/>
      <c r="G8" s="3"/>
      <c r="H8" s="3"/>
      <c r="I8" s="3"/>
      <c r="J8" s="3" t="str">
        <f t="shared" si="1"/>
        <v>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>
      <c r="A9" s="28">
        <v>5.0</v>
      </c>
      <c r="B9" s="29" t="s">
        <v>26</v>
      </c>
      <c r="C9" s="30">
        <v>70.01</v>
      </c>
      <c r="D9" s="3"/>
      <c r="E9" s="31"/>
      <c r="F9" s="3"/>
      <c r="G9" s="3"/>
      <c r="H9" s="3"/>
      <c r="I9" s="3"/>
      <c r="J9" s="3" t="str">
        <f t="shared" si="1"/>
        <v>0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>
      <c r="A10" s="28">
        <v>6.0</v>
      </c>
      <c r="B10" s="29" t="s">
        <v>27</v>
      </c>
      <c r="C10" s="30">
        <v>73.92999999999999</v>
      </c>
      <c r="D10" s="3"/>
      <c r="E10" s="31"/>
      <c r="F10" s="3"/>
      <c r="G10" s="3"/>
      <c r="H10" s="3"/>
      <c r="I10" s="3"/>
      <c r="J10" s="3" t="str">
        <f t="shared" si="1"/>
        <v>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>
      <c r="A11" s="28">
        <v>7.0</v>
      </c>
      <c r="B11" s="29" t="s">
        <v>28</v>
      </c>
      <c r="C11" s="30">
        <v>13.91</v>
      </c>
      <c r="D11" s="3"/>
      <c r="E11" s="31"/>
      <c r="F11" s="3"/>
      <c r="G11" s="3"/>
      <c r="H11" s="3"/>
      <c r="I11" s="3"/>
      <c r="J11" s="3" t="str">
        <f t="shared" si="1"/>
        <v>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/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"/>
      <c r="E14" s="31"/>
      <c r="F14" s="3"/>
      <c r="G14" s="3"/>
      <c r="H14" s="3"/>
      <c r="I14" s="3"/>
      <c r="J14" s="3" t="str">
        <f t="shared" si="1"/>
        <v>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>
      <c r="A15" s="28">
        <v>11.0</v>
      </c>
      <c r="B15" s="29" t="s">
        <v>32</v>
      </c>
      <c r="C15" s="30">
        <v>102.17</v>
      </c>
      <c r="D15" s="3"/>
      <c r="E15" s="31"/>
      <c r="F15" s="3"/>
      <c r="G15" s="3"/>
      <c r="H15" s="3"/>
      <c r="I15" s="3"/>
      <c r="J15" s="3" t="str">
        <f t="shared" si="1"/>
        <v>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>
      <c r="A16" s="28">
        <v>12.0</v>
      </c>
      <c r="B16" s="29" t="s">
        <v>33</v>
      </c>
      <c r="C16" s="30">
        <v>59.93</v>
      </c>
      <c r="D16" s="3"/>
      <c r="E16" s="31"/>
      <c r="F16" s="3"/>
      <c r="G16" s="3"/>
      <c r="H16" s="3"/>
      <c r="I16" s="3"/>
      <c r="J16" s="3" t="str">
        <f t="shared" si="1"/>
        <v>0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>
      <c r="A17" s="28">
        <v>13.0</v>
      </c>
      <c r="B17" s="29" t="s">
        <v>34</v>
      </c>
      <c r="C17" s="30">
        <v>118.0</v>
      </c>
      <c r="D17" s="3"/>
      <c r="E17" s="31"/>
      <c r="F17" s="3"/>
      <c r="G17" s="3"/>
      <c r="H17" s="3"/>
      <c r="I17" s="3"/>
      <c r="J17" s="3" t="str">
        <f t="shared" si="1"/>
        <v>0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>
      <c r="A18" s="28">
        <v>14.0</v>
      </c>
      <c r="B18" s="29" t="s">
        <v>35</v>
      </c>
      <c r="C18" s="30">
        <v>52.83</v>
      </c>
      <c r="D18" s="3"/>
      <c r="E18" s="31"/>
      <c r="F18" s="3"/>
      <c r="G18" s="3"/>
      <c r="H18" s="3"/>
      <c r="I18" s="3"/>
      <c r="J18" s="3" t="str">
        <f t="shared" si="1"/>
        <v>0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>
      <c r="A19" s="28">
        <v>15.0</v>
      </c>
      <c r="B19" s="29" t="s">
        <v>36</v>
      </c>
      <c r="C19" s="30">
        <v>93.2</v>
      </c>
      <c r="D19" s="3"/>
      <c r="E19" s="31"/>
      <c r="F19" s="3"/>
      <c r="G19" s="3"/>
      <c r="H19" s="3"/>
      <c r="I19" s="3"/>
      <c r="J19" s="3" t="str">
        <f t="shared" si="1"/>
        <v>0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>
      <c r="A20" s="28">
        <v>16.0</v>
      </c>
      <c r="B20" s="29" t="s">
        <v>37</v>
      </c>
      <c r="C20" s="30">
        <v>61.02</v>
      </c>
      <c r="D20" s="3"/>
      <c r="E20" s="31"/>
      <c r="F20" s="3"/>
      <c r="G20" s="3"/>
      <c r="H20" s="3"/>
      <c r="I20" s="3"/>
      <c r="J20" s="3" t="str">
        <f t="shared" si="1"/>
        <v>0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15.75" customHeight="1">
      <c r="A21" s="28">
        <v>17.0</v>
      </c>
      <c r="B21" s="29" t="s">
        <v>38</v>
      </c>
      <c r="C21" s="30">
        <v>36.62</v>
      </c>
      <c r="D21" s="3"/>
      <c r="E21" s="31"/>
      <c r="F21" s="3"/>
      <c r="G21" s="3"/>
      <c r="H21" s="3"/>
      <c r="I21" s="3"/>
      <c r="J21" s="3" t="str">
        <f t="shared" si="1"/>
        <v>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15.75" customHeight="1">
      <c r="A22" s="28">
        <v>18.0</v>
      </c>
      <c r="B22" s="29" t="s">
        <v>39</v>
      </c>
      <c r="C22" s="30">
        <v>80.36</v>
      </c>
      <c r="D22" s="3"/>
      <c r="E22" s="31"/>
      <c r="F22" s="3"/>
      <c r="G22" s="3"/>
      <c r="H22" s="3"/>
      <c r="I22" s="3"/>
      <c r="J22" s="3" t="str">
        <f t="shared" si="1"/>
        <v>0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15.75" customHeight="1">
      <c r="A23" s="28">
        <v>19.0</v>
      </c>
      <c r="B23" s="29" t="s">
        <v>40</v>
      </c>
      <c r="C23" s="30">
        <v>160.56</v>
      </c>
      <c r="D23" s="3"/>
      <c r="E23" s="31"/>
      <c r="F23" s="3"/>
      <c r="G23" s="3"/>
      <c r="H23" s="3"/>
      <c r="I23" s="3"/>
      <c r="J23" s="3" t="str">
        <f t="shared" si="1"/>
        <v>0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15.75" customHeight="1">
      <c r="A24" s="28">
        <v>20.0</v>
      </c>
      <c r="B24" s="29" t="s">
        <v>41</v>
      </c>
      <c r="C24" s="30">
        <v>186.44</v>
      </c>
      <c r="D24" s="3"/>
      <c r="E24" s="31"/>
      <c r="F24" s="3"/>
      <c r="G24" s="3"/>
      <c r="H24" s="3"/>
      <c r="I24" s="3"/>
      <c r="J24" s="3" t="str">
        <f t="shared" si="1"/>
        <v>0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15.75" customHeight="1">
      <c r="A25" s="28">
        <v>21.0</v>
      </c>
      <c r="B25" s="29" t="s">
        <v>42</v>
      </c>
      <c r="C25" s="30">
        <v>92.59</v>
      </c>
      <c r="D25" s="3"/>
      <c r="E25" s="31"/>
      <c r="F25" s="3"/>
      <c r="G25" s="3"/>
      <c r="H25" s="3"/>
      <c r="I25" s="3"/>
      <c r="J25" s="3" t="str">
        <f t="shared" si="1"/>
        <v>0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15.75" customHeight="1">
      <c r="A26" s="28">
        <v>22.0</v>
      </c>
      <c r="B26" s="29" t="s">
        <v>43</v>
      </c>
      <c r="C26" s="30">
        <v>95.17</v>
      </c>
      <c r="D26" s="3"/>
      <c r="E26" s="31"/>
      <c r="F26" s="3"/>
      <c r="G26" s="3"/>
      <c r="H26" s="3"/>
      <c r="I26" s="3"/>
      <c r="J26" s="3" t="str">
        <f t="shared" si="1"/>
        <v>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15.75" customHeight="1">
      <c r="A27" s="28">
        <v>23.0</v>
      </c>
      <c r="B27" s="29" t="s">
        <v>44</v>
      </c>
      <c r="C27" s="30">
        <v>92.94</v>
      </c>
      <c r="D27" s="3"/>
      <c r="E27" s="31"/>
      <c r="F27" s="3"/>
      <c r="G27" s="3"/>
      <c r="H27" s="3"/>
      <c r="I27" s="3"/>
      <c r="J27" s="3" t="str">
        <f t="shared" si="1"/>
        <v>0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15.75" customHeight="1">
      <c r="A28" s="28">
        <v>24.0</v>
      </c>
      <c r="B28" s="29" t="s">
        <v>45</v>
      </c>
      <c r="C28" s="30">
        <v>101.82</v>
      </c>
      <c r="D28" s="3"/>
      <c r="E28" s="31"/>
      <c r="F28" s="3"/>
      <c r="G28" s="3"/>
      <c r="H28" s="3"/>
      <c r="I28" s="3"/>
      <c r="J28" s="3" t="str">
        <f t="shared" si="1"/>
        <v>0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15.75" customHeight="1">
      <c r="A29" s="28">
        <v>25.0</v>
      </c>
      <c r="B29" s="29" t="s">
        <v>46</v>
      </c>
      <c r="C29" s="30">
        <v>53.49</v>
      </c>
      <c r="D29" s="3"/>
      <c r="E29" s="31"/>
      <c r="F29" s="3"/>
      <c r="G29" s="3"/>
      <c r="H29" s="3"/>
      <c r="I29" s="3"/>
      <c r="J29" s="3" t="str">
        <f t="shared" si="1"/>
        <v>0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15.75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15.75" customHeight="1">
      <c r="A31" s="28">
        <v>27.0</v>
      </c>
      <c r="B31" s="29" t="s">
        <v>48</v>
      </c>
      <c r="C31" s="30">
        <v>116.68</v>
      </c>
      <c r="D31" s="3"/>
      <c r="E31" s="31"/>
      <c r="F31" s="3"/>
      <c r="G31" s="3"/>
      <c r="H31" s="3"/>
      <c r="I31" s="3"/>
      <c r="J31" s="3" t="str">
        <f t="shared" si="1"/>
        <v>0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15.75" customHeight="1">
      <c r="A32" s="28">
        <v>28.0</v>
      </c>
      <c r="B32" s="29" t="s">
        <v>49</v>
      </c>
      <c r="C32" s="30">
        <v>107.96</v>
      </c>
      <c r="D32" s="3"/>
      <c r="E32" s="31"/>
      <c r="F32" s="3"/>
      <c r="G32" s="3"/>
      <c r="H32" s="3"/>
      <c r="I32" s="3"/>
      <c r="J32" s="3" t="str">
        <f t="shared" si="1"/>
        <v>0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15.75" customHeight="1">
      <c r="A33" s="28">
        <v>29.0</v>
      </c>
      <c r="B33" s="29" t="s">
        <v>50</v>
      </c>
      <c r="C33" s="30">
        <v>248.89</v>
      </c>
      <c r="D33" s="3"/>
      <c r="E33" s="31"/>
      <c r="F33" s="3"/>
      <c r="G33" s="3"/>
      <c r="H33" s="3"/>
      <c r="I33" s="3"/>
      <c r="J33" s="3" t="str">
        <f t="shared" si="1"/>
        <v>0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15.75" customHeight="1">
      <c r="A34" s="28">
        <v>30.0</v>
      </c>
      <c r="B34" s="29" t="s">
        <v>51</v>
      </c>
      <c r="C34" s="30">
        <v>80.36</v>
      </c>
      <c r="D34" s="3"/>
      <c r="E34" s="31"/>
      <c r="F34" s="3"/>
      <c r="G34" s="3"/>
      <c r="H34" s="3"/>
      <c r="I34" s="3"/>
      <c r="J34" s="3" t="str">
        <f t="shared" si="1"/>
        <v>0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15.75" customHeight="1">
      <c r="A35" s="28">
        <v>31.0</v>
      </c>
      <c r="B35" s="29" t="s">
        <v>52</v>
      </c>
      <c r="C35" s="30">
        <v>52.46</v>
      </c>
      <c r="D35" s="3"/>
      <c r="E35" s="31"/>
      <c r="F35" s="27"/>
      <c r="G35" s="27"/>
      <c r="H35" s="27"/>
      <c r="I35" s="3"/>
      <c r="J35" s="3" t="str">
        <f t="shared" si="1"/>
        <v>0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15.75" customHeight="1">
      <c r="A36" s="28">
        <v>32.0</v>
      </c>
      <c r="B36" s="29" t="s">
        <v>53</v>
      </c>
      <c r="C36" s="30">
        <v>71.21</v>
      </c>
      <c r="D36" s="3"/>
      <c r="E36" s="31"/>
      <c r="F36" s="27"/>
      <c r="G36" s="27"/>
      <c r="H36" s="27"/>
      <c r="I36" s="3"/>
      <c r="J36" s="3" t="str">
        <f t="shared" si="1"/>
        <v>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15.75" customHeight="1">
      <c r="A37" s="28">
        <v>33.0</v>
      </c>
      <c r="B37" s="29" t="s">
        <v>54</v>
      </c>
      <c r="C37" s="30">
        <v>80.35</v>
      </c>
      <c r="D37" s="3"/>
      <c r="E37" s="31"/>
      <c r="F37" s="27"/>
      <c r="G37" s="27"/>
      <c r="H37" s="27"/>
      <c r="I37" s="3"/>
      <c r="J37" s="3" t="str">
        <f t="shared" si="1"/>
        <v>0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15.75" customHeight="1">
      <c r="A38" s="28">
        <v>34.0</v>
      </c>
      <c r="B38" s="29" t="s">
        <v>55</v>
      </c>
      <c r="C38" s="30">
        <v>64.18</v>
      </c>
      <c r="D38" s="3"/>
      <c r="E38" s="31"/>
      <c r="F38" s="27"/>
      <c r="G38" s="27"/>
      <c r="H38" s="27"/>
      <c r="I38" s="3"/>
      <c r="J38" s="3" t="str">
        <f t="shared" si="1"/>
        <v>0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15.75" customHeight="1">
      <c r="A39" s="28">
        <v>35.0</v>
      </c>
      <c r="B39" s="29" t="s">
        <v>56</v>
      </c>
      <c r="C39" s="30">
        <v>36.9</v>
      </c>
      <c r="D39" s="3"/>
      <c r="E39" s="31"/>
      <c r="F39" s="27"/>
      <c r="G39" s="27"/>
      <c r="H39" s="27"/>
      <c r="I39" s="3"/>
      <c r="J39" s="3" t="str">
        <f t="shared" si="1"/>
        <v>0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15.75" customHeight="1">
      <c r="A40" s="28">
        <v>36.0</v>
      </c>
      <c r="B40" s="29" t="s">
        <v>57</v>
      </c>
      <c r="C40" s="30">
        <v>101.54</v>
      </c>
      <c r="D40" s="3"/>
      <c r="E40" s="31"/>
      <c r="F40" s="27"/>
      <c r="G40" s="27"/>
      <c r="H40" s="27"/>
      <c r="I40" s="3"/>
      <c r="J40" s="3" t="str">
        <f t="shared" si="1"/>
        <v>0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/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15.75" customHeight="1">
      <c r="A42" s="28">
        <v>38.0</v>
      </c>
      <c r="B42" s="29" t="s">
        <v>59</v>
      </c>
      <c r="C42" s="30">
        <v>66.69</v>
      </c>
      <c r="D42" s="3"/>
      <c r="E42" s="31"/>
      <c r="F42" s="27"/>
      <c r="G42" s="27"/>
      <c r="H42" s="27"/>
      <c r="I42" s="3"/>
      <c r="J42" s="3" t="str">
        <f t="shared" si="1"/>
        <v>0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15.75" customHeight="1">
      <c r="A43" s="28">
        <v>39.0</v>
      </c>
      <c r="B43" s="29" t="s">
        <v>60</v>
      </c>
      <c r="C43" s="29">
        <v>150.85999999999999</v>
      </c>
      <c r="D43" s="3"/>
      <c r="E43" s="31"/>
      <c r="F43" s="27"/>
      <c r="G43" s="27"/>
      <c r="H43" s="27"/>
      <c r="I43" s="3"/>
      <c r="J43" s="3" t="str">
        <f t="shared" si="1"/>
        <v>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15.75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15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15.75" customHeight="1">
      <c r="A46" s="28">
        <v>42.0</v>
      </c>
      <c r="B46" s="29"/>
      <c r="C46" s="29"/>
      <c r="D46" s="3"/>
      <c r="E46" s="31"/>
      <c r="F46" s="27"/>
      <c r="G46" s="27"/>
      <c r="H46" s="27"/>
      <c r="I46" s="3"/>
      <c r="J46" s="3" t="str">
        <f t="shared" si="1"/>
        <v>0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15.75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15.7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15.7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0</v>
      </c>
      <c r="E61" s="3" t="str">
        <f t="shared" si="8"/>
        <v>0</v>
      </c>
      <c r="F61" s="3" t="str">
        <f t="shared" si="8"/>
        <v>0</v>
      </c>
      <c r="G61" s="3" t="str">
        <f t="shared" si="8"/>
        <v>0</v>
      </c>
      <c r="H61" s="3" t="str">
        <f t="shared" si="8"/>
        <v>0</v>
      </c>
      <c r="I61" s="3" t="str">
        <f t="shared" si="8"/>
        <v>0</v>
      </c>
      <c r="J61" s="3" t="str">
        <f t="shared" si="1"/>
        <v>0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No Issue</v>
      </c>
      <c r="P61" s="3" t="str">
        <f t="shared" si="7"/>
        <v>NoIssue</v>
      </c>
    </row>
    <row r="62" ht="15.75" customHeight="1">
      <c r="A62" s="10"/>
      <c r="B62" s="11" t="s">
        <v>3</v>
      </c>
      <c r="C62" s="39"/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/>
      <c r="E75" s="3"/>
      <c r="F75" s="3"/>
      <c r="G75" s="3"/>
      <c r="H75" s="3"/>
      <c r="I75" s="3"/>
      <c r="J75" s="3" t="str">
        <f t="shared" si="9"/>
        <v>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/>
      <c r="E76" s="3"/>
      <c r="F76" s="3"/>
      <c r="G76" s="3"/>
      <c r="H76" s="3"/>
      <c r="I76" s="3"/>
      <c r="J76" s="3" t="str">
        <f t="shared" si="9"/>
        <v>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/>
      <c r="E78" s="3"/>
      <c r="F78" s="3"/>
      <c r="G78" s="3"/>
      <c r="H78" s="3"/>
      <c r="I78" s="3"/>
      <c r="J78" s="3" t="str">
        <f t="shared" si="9"/>
        <v>0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/>
      <c r="E83" s="3"/>
      <c r="F83" s="3"/>
      <c r="G83" s="3"/>
      <c r="H83" s="3"/>
      <c r="I83" s="3"/>
      <c r="J83" s="3" t="str">
        <f t="shared" si="9"/>
        <v>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/>
      <c r="E99" s="3"/>
      <c r="F99" s="27"/>
      <c r="G99" s="27"/>
      <c r="H99" s="27"/>
      <c r="I99" s="3"/>
      <c r="J99" s="3" t="str">
        <f t="shared" si="9"/>
        <v>0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0</v>
      </c>
      <c r="E120" s="3" t="str">
        <f t="shared" si="16"/>
        <v>0</v>
      </c>
      <c r="F120" s="3" t="str">
        <f t="shared" si="16"/>
        <v>0</v>
      </c>
      <c r="G120" s="3" t="str">
        <f t="shared" si="16"/>
        <v>0</v>
      </c>
      <c r="H120" s="3" t="str">
        <f t="shared" si="16"/>
        <v>0</v>
      </c>
      <c r="I120" s="3" t="str">
        <f t="shared" si="16"/>
        <v>0</v>
      </c>
      <c r="J120" s="3" t="str">
        <f t="shared" si="9"/>
        <v>0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No Issue</v>
      </c>
      <c r="P120" s="3" t="str">
        <f t="shared" si="15"/>
        <v>NoIssue</v>
      </c>
    </row>
    <row r="121" ht="15.75" customHeight="1">
      <c r="A121" s="10"/>
      <c r="B121" s="11" t="s">
        <v>3</v>
      </c>
      <c r="C121" s="39"/>
      <c r="D121" s="13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/>
      <c r="E125" s="3"/>
      <c r="F125" s="3"/>
      <c r="G125" s="3"/>
      <c r="H125" s="3"/>
      <c r="I125" s="3"/>
      <c r="J125" s="3" t="str">
        <f t="shared" si="17"/>
        <v>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/>
      <c r="E144" s="3"/>
      <c r="F144" s="3"/>
      <c r="G144" s="3"/>
      <c r="H144" s="3"/>
      <c r="I144" s="3"/>
      <c r="J144" s="3" t="str">
        <f t="shared" si="17"/>
        <v>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/>
      <c r="E145" s="3"/>
      <c r="F145" s="3"/>
      <c r="G145" s="3"/>
      <c r="H145" s="3"/>
      <c r="I145" s="3"/>
      <c r="J145" s="3" t="str">
        <f t="shared" si="17"/>
        <v>0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/>
      <c r="E146" s="3"/>
      <c r="F146" s="3"/>
      <c r="G146" s="3"/>
      <c r="H146" s="3"/>
      <c r="I146" s="3"/>
      <c r="J146" s="3" t="str">
        <f t="shared" si="17"/>
        <v>0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/>
      <c r="E149" s="3"/>
      <c r="F149" s="3"/>
      <c r="G149" s="3"/>
      <c r="H149" s="3"/>
      <c r="I149" s="3"/>
      <c r="J149" s="3" t="str">
        <f t="shared" si="17"/>
        <v>0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/>
      <c r="E152" s="3"/>
      <c r="F152" s="27"/>
      <c r="G152" s="27"/>
      <c r="H152" s="27"/>
      <c r="I152" s="3"/>
      <c r="J152" s="3" t="str">
        <f t="shared" si="17"/>
        <v>0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/>
      <c r="E153" s="3"/>
      <c r="F153" s="27"/>
      <c r="G153" s="27"/>
      <c r="H153" s="27"/>
      <c r="I153" s="3"/>
      <c r="J153" s="3" t="str">
        <f t="shared" si="17"/>
        <v>0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/>
      <c r="E160" s="3"/>
      <c r="F160" s="27"/>
      <c r="G160" s="27"/>
      <c r="H160" s="27"/>
      <c r="I160" s="3"/>
      <c r="J160" s="3" t="str">
        <f t="shared" si="17"/>
        <v>0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0</v>
      </c>
      <c r="E179" s="3" t="str">
        <f t="shared" si="24"/>
        <v>0</v>
      </c>
      <c r="F179" s="3" t="str">
        <f t="shared" si="24"/>
        <v>0</v>
      </c>
      <c r="G179" s="3" t="str">
        <f t="shared" si="24"/>
        <v>0</v>
      </c>
      <c r="H179" s="3" t="str">
        <f t="shared" si="24"/>
        <v>0</v>
      </c>
      <c r="I179" s="3" t="str">
        <f t="shared" si="24"/>
        <v>0</v>
      </c>
      <c r="J179" s="3" t="str">
        <f t="shared" si="17"/>
        <v>0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NoIssue</v>
      </c>
    </row>
    <row r="180" ht="15.75" customHeight="1">
      <c r="A180" s="10"/>
      <c r="B180" s="11" t="s">
        <v>3</v>
      </c>
      <c r="C180" s="39"/>
      <c r="D180" s="13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/>
      <c r="E197" s="3"/>
      <c r="F197" s="3"/>
      <c r="G197" s="3"/>
      <c r="H197" s="3"/>
      <c r="I197" s="3"/>
      <c r="J197" s="3" t="str">
        <f t="shared" si="25"/>
        <v>0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/>
      <c r="E200" s="3"/>
      <c r="F200" s="3"/>
      <c r="G200" s="3"/>
      <c r="H200" s="3"/>
      <c r="I200" s="3"/>
      <c r="J200" s="3" t="str">
        <f t="shared" si="25"/>
        <v>0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/>
      <c r="E215" s="3"/>
      <c r="F215" s="27"/>
      <c r="G215" s="27"/>
      <c r="H215" s="27"/>
      <c r="I215" s="3"/>
      <c r="J215" s="3" t="str">
        <f t="shared" si="25"/>
        <v>0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/>
      <c r="E216" s="3"/>
      <c r="F216" s="27"/>
      <c r="G216" s="27"/>
      <c r="H216" s="27"/>
      <c r="I216" s="3"/>
      <c r="J216" s="3" t="str">
        <f t="shared" si="25"/>
        <v>0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/>
      <c r="E217" s="3"/>
      <c r="F217" s="27"/>
      <c r="G217" s="27"/>
      <c r="H217" s="27"/>
      <c r="I217" s="3"/>
      <c r="J217" s="3" t="str">
        <f t="shared" si="25"/>
        <v>0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/>
      <c r="E219" s="3"/>
      <c r="F219" s="27"/>
      <c r="G219" s="27"/>
      <c r="H219" s="27"/>
      <c r="I219" s="3"/>
      <c r="J219" s="3" t="str">
        <f t="shared" si="25"/>
        <v>0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0</v>
      </c>
      <c r="E238" s="3" t="str">
        <f t="shared" si="32"/>
        <v>0</v>
      </c>
      <c r="F238" s="3" t="str">
        <f t="shared" si="32"/>
        <v>0</v>
      </c>
      <c r="G238" s="3" t="str">
        <f t="shared" si="32"/>
        <v>0</v>
      </c>
      <c r="H238" s="3" t="str">
        <f t="shared" si="32"/>
        <v>0</v>
      </c>
      <c r="I238" s="3" t="str">
        <f t="shared" si="32"/>
        <v>0</v>
      </c>
      <c r="J238" s="3" t="str">
        <f t="shared" si="25"/>
        <v>0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No Issue</v>
      </c>
      <c r="P238" s="3" t="str">
        <f t="shared" si="31"/>
        <v>NoIssue</v>
      </c>
    </row>
    <row r="239" ht="15.75" customHeight="1">
      <c r="A239" s="10"/>
      <c r="B239" s="11" t="s">
        <v>3</v>
      </c>
      <c r="C239" s="39"/>
      <c r="D239" s="13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/>
      <c r="E244" s="3"/>
      <c r="F244" s="3"/>
      <c r="G244" s="3"/>
      <c r="H244" s="3"/>
      <c r="I244" s="3"/>
      <c r="J244" s="3" t="str">
        <f t="shared" si="33"/>
        <v>0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/>
      <c r="E245" s="3"/>
      <c r="F245" s="3"/>
      <c r="G245" s="3"/>
      <c r="H245" s="3"/>
      <c r="I245" s="3"/>
      <c r="J245" s="3" t="str">
        <f t="shared" si="33"/>
        <v>0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/>
      <c r="E254" s="3"/>
      <c r="F254" s="3"/>
      <c r="G254" s="3"/>
      <c r="H254" s="3"/>
      <c r="I254" s="3"/>
      <c r="J254" s="3" t="str">
        <f t="shared" si="33"/>
        <v>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/>
      <c r="E255" s="3"/>
      <c r="F255" s="3"/>
      <c r="G255" s="3"/>
      <c r="H255" s="3"/>
      <c r="I255" s="3"/>
      <c r="J255" s="3" t="str">
        <f t="shared" si="33"/>
        <v>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/>
      <c r="E261" s="3"/>
      <c r="F261" s="3"/>
      <c r="G261" s="3"/>
      <c r="H261" s="3"/>
      <c r="I261" s="3"/>
      <c r="J261" s="3" t="str">
        <f t="shared" si="33"/>
        <v>0</v>
      </c>
      <c r="K261" s="27" t="str">
        <f t="shared" si="34"/>
        <v> No Issue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/>
      <c r="E269" s="3"/>
      <c r="F269" s="3"/>
      <c r="G269" s="3"/>
      <c r="H269" s="3"/>
      <c r="I269" s="3"/>
      <c r="J269" s="3" t="str">
        <f t="shared" si="33"/>
        <v>0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/>
      <c r="E272" s="3"/>
      <c r="F272" s="27"/>
      <c r="G272" s="27"/>
      <c r="H272" s="27"/>
      <c r="I272" s="3"/>
      <c r="J272" s="3" t="str">
        <f t="shared" si="33"/>
        <v>0</v>
      </c>
      <c r="K272" s="27" t="str">
        <f t="shared" si="34"/>
        <v> No Issue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/>
      <c r="E274" s="3"/>
      <c r="F274" s="27"/>
      <c r="G274" s="27"/>
      <c r="H274" s="27"/>
      <c r="I274" s="3"/>
      <c r="J274" s="3" t="str">
        <f t="shared" si="33"/>
        <v>0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/>
      <c r="E275" s="3"/>
      <c r="F275" s="27"/>
      <c r="G275" s="27"/>
      <c r="H275" s="27"/>
      <c r="I275" s="3"/>
      <c r="J275" s="3" t="str">
        <f t="shared" si="33"/>
        <v>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/>
      <c r="E276" s="3"/>
      <c r="F276" s="27"/>
      <c r="G276" s="27"/>
      <c r="H276" s="27"/>
      <c r="I276" s="3"/>
      <c r="J276" s="3" t="str">
        <f t="shared" si="33"/>
        <v>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/>
      <c r="E278" s="3"/>
      <c r="F278" s="27"/>
      <c r="G278" s="27"/>
      <c r="H278" s="27"/>
      <c r="I278" s="3"/>
      <c r="J278" s="3" t="str">
        <f t="shared" si="33"/>
        <v>0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0</v>
      </c>
      <c r="E297" s="3" t="str">
        <f t="shared" si="40"/>
        <v>0</v>
      </c>
      <c r="F297" s="3" t="str">
        <f t="shared" si="40"/>
        <v>0</v>
      </c>
      <c r="G297" s="3" t="str">
        <f t="shared" si="40"/>
        <v>0</v>
      </c>
      <c r="H297" s="3" t="str">
        <f t="shared" si="40"/>
        <v>0</v>
      </c>
      <c r="I297" s="3" t="str">
        <f t="shared" si="40"/>
        <v>0</v>
      </c>
      <c r="J297" s="3" t="str">
        <f t="shared" si="33"/>
        <v>0</v>
      </c>
      <c r="K297" s="27" t="str">
        <f t="shared" si="34"/>
        <v> No Issue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No Issue</v>
      </c>
      <c r="P297" s="3" t="str">
        <f t="shared" si="39"/>
        <v>NoIssue</v>
      </c>
    </row>
    <row r="298" ht="15.75" customHeight="1">
      <c r="A298" s="10"/>
      <c r="B298" s="11" t="s">
        <v>3</v>
      </c>
      <c r="C298" s="39"/>
      <c r="D298" s="13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/>
      <c r="E312" s="3"/>
      <c r="F312" s="3"/>
      <c r="G312" s="3"/>
      <c r="H312" s="3"/>
      <c r="I312" s="3"/>
      <c r="J312" s="3" t="str">
        <f t="shared" si="41"/>
        <v>0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/>
      <c r="E315" s="3"/>
      <c r="F315" s="3"/>
      <c r="G315" s="3"/>
      <c r="H315" s="3"/>
      <c r="I315" s="3"/>
      <c r="J315" s="3" t="str">
        <f t="shared" si="41"/>
        <v>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/>
      <c r="E316" s="3"/>
      <c r="F316" s="3"/>
      <c r="G316" s="3"/>
      <c r="H316" s="3"/>
      <c r="I316" s="3"/>
      <c r="J316" s="3" t="str">
        <f t="shared" si="41"/>
        <v>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/>
      <c r="E318" s="3"/>
      <c r="F318" s="3"/>
      <c r="G318" s="3"/>
      <c r="H318" s="3"/>
      <c r="I318" s="3"/>
      <c r="J318" s="3" t="str">
        <f t="shared" si="41"/>
        <v>0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/>
      <c r="E319" s="3"/>
      <c r="F319" s="3"/>
      <c r="G319" s="3"/>
      <c r="H319" s="3"/>
      <c r="I319" s="3"/>
      <c r="J319" s="3" t="str">
        <f t="shared" si="41"/>
        <v>0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/>
      <c r="E320" s="3"/>
      <c r="F320" s="3"/>
      <c r="G320" s="3"/>
      <c r="H320" s="3"/>
      <c r="I320" s="3"/>
      <c r="J320" s="3" t="str">
        <f t="shared" si="41"/>
        <v>0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/>
      <c r="E326" s="3"/>
      <c r="F326" s="3"/>
      <c r="G326" s="3"/>
      <c r="H326" s="3"/>
      <c r="I326" s="3"/>
      <c r="J326" s="3" t="str">
        <f t="shared" si="41"/>
        <v>0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/>
      <c r="E333" s="3"/>
      <c r="F333" s="27"/>
      <c r="G333" s="27"/>
      <c r="H333" s="27"/>
      <c r="I333" s="3"/>
      <c r="J333" s="3" t="str">
        <f t="shared" si="41"/>
        <v>0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/>
      <c r="E334" s="3"/>
      <c r="F334" s="27"/>
      <c r="G334" s="27"/>
      <c r="H334" s="27"/>
      <c r="I334" s="3"/>
      <c r="J334" s="3" t="str">
        <f t="shared" si="41"/>
        <v>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/>
      <c r="E335" s="3"/>
      <c r="F335" s="27"/>
      <c r="G335" s="27"/>
      <c r="H335" s="27"/>
      <c r="I335" s="3"/>
      <c r="J335" s="3" t="str">
        <f t="shared" si="41"/>
        <v>0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/>
      <c r="E337" s="3"/>
      <c r="F337" s="27"/>
      <c r="G337" s="27"/>
      <c r="H337" s="27"/>
      <c r="I337" s="3"/>
      <c r="J337" s="3" t="str">
        <f t="shared" si="41"/>
        <v>0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0</v>
      </c>
      <c r="E356" s="3" t="str">
        <f t="shared" si="48"/>
        <v>0</v>
      </c>
      <c r="F356" s="3" t="str">
        <f t="shared" si="48"/>
        <v>0</v>
      </c>
      <c r="G356" s="3" t="str">
        <f t="shared" si="48"/>
        <v>0</v>
      </c>
      <c r="H356" s="3" t="str">
        <f t="shared" si="48"/>
        <v>0</v>
      </c>
      <c r="I356" s="3" t="str">
        <f t="shared" si="48"/>
        <v>0</v>
      </c>
      <c r="J356" s="3" t="str">
        <f t="shared" si="41"/>
        <v>0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No Issue</v>
      </c>
      <c r="P356" s="3" t="str">
        <f t="shared" si="47"/>
        <v>NoIssue</v>
      </c>
    </row>
    <row r="357" ht="15.75" customHeight="1">
      <c r="A357" s="10"/>
      <c r="B357" s="11" t="s">
        <v>3</v>
      </c>
      <c r="C357" s="39"/>
      <c r="D357" s="13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/>
      <c r="E363" s="3"/>
      <c r="F363" s="3"/>
      <c r="G363" s="3"/>
      <c r="H363" s="3"/>
      <c r="I363" s="3"/>
      <c r="J363" s="3" t="str">
        <f t="shared" si="49"/>
        <v>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/>
      <c r="E372" s="3"/>
      <c r="F372" s="3"/>
      <c r="G372" s="3"/>
      <c r="H372" s="3"/>
      <c r="I372" s="3"/>
      <c r="J372" s="3" t="str">
        <f t="shared" si="49"/>
        <v>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/>
      <c r="E392" s="3"/>
      <c r="F392" s="27"/>
      <c r="G392" s="27"/>
      <c r="H392" s="27"/>
      <c r="I392" s="3"/>
      <c r="J392" s="3" t="str">
        <f t="shared" si="49"/>
        <v>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/>
      <c r="F394" s="27"/>
      <c r="G394" s="27"/>
      <c r="H394" s="27"/>
      <c r="I394" s="3"/>
      <c r="J394" s="3" t="str">
        <f t="shared" si="49"/>
        <v>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0</v>
      </c>
      <c r="E415" s="3" t="str">
        <f t="shared" si="56"/>
        <v>0</v>
      </c>
      <c r="F415" s="3" t="str">
        <f t="shared" si="56"/>
        <v>0</v>
      </c>
      <c r="G415" s="3" t="str">
        <f t="shared" si="56"/>
        <v>0</v>
      </c>
      <c r="H415" s="3" t="str">
        <f t="shared" si="56"/>
        <v>0</v>
      </c>
      <c r="I415" s="3" t="str">
        <f t="shared" si="56"/>
        <v>0</v>
      </c>
      <c r="J415" s="3" t="str">
        <f t="shared" si="49"/>
        <v>0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No Issue</v>
      </c>
      <c r="P415" s="3" t="str">
        <f t="shared" si="55"/>
        <v>NoIssue</v>
      </c>
    </row>
    <row r="416" ht="15.75" customHeight="1">
      <c r="A416" s="10"/>
      <c r="B416" s="11" t="s">
        <v>3</v>
      </c>
      <c r="C416" s="39"/>
      <c r="D416" s="13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/>
      <c r="E418" s="3"/>
      <c r="F418" s="3"/>
      <c r="G418" s="3"/>
      <c r="H418" s="3"/>
      <c r="I418" s="3"/>
      <c r="J418" s="3" t="str">
        <f t="shared" ref="J418:J474" si="57">D418+E418-F418-G418+H418</f>
        <v>0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/>
      <c r="E419" s="3"/>
      <c r="F419" s="3"/>
      <c r="G419" s="3"/>
      <c r="H419" s="3"/>
      <c r="I419" s="3"/>
      <c r="J419" s="3" t="str">
        <f t="shared" si="57"/>
        <v>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/>
      <c r="E420" s="3"/>
      <c r="F420" s="3"/>
      <c r="G420" s="3"/>
      <c r="H420" s="3"/>
      <c r="I420" s="3"/>
      <c r="J420" s="3" t="str">
        <f t="shared" si="57"/>
        <v>0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/>
      <c r="E424" s="3"/>
      <c r="F424" s="3"/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/>
      <c r="E427" s="3"/>
      <c r="F427" s="3"/>
      <c r="G427" s="3"/>
      <c r="H427" s="3"/>
      <c r="I427" s="3"/>
      <c r="J427" s="3" t="str">
        <f t="shared" si="57"/>
        <v>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/>
      <c r="E431" s="3"/>
      <c r="F431" s="3"/>
      <c r="G431" s="3"/>
      <c r="H431" s="3"/>
      <c r="I431" s="3"/>
      <c r="J431" s="3" t="str">
        <f t="shared" si="57"/>
        <v>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/>
      <c r="E432" s="3"/>
      <c r="F432" s="3"/>
      <c r="G432" s="3"/>
      <c r="H432" s="3"/>
      <c r="I432" s="3"/>
      <c r="J432" s="3" t="str">
        <f t="shared" si="57"/>
        <v>0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/>
      <c r="E433" s="3"/>
      <c r="F433" s="3"/>
      <c r="G433" s="3"/>
      <c r="H433" s="3"/>
      <c r="I433" s="3"/>
      <c r="J433" s="3" t="str">
        <f t="shared" si="57"/>
        <v>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/>
      <c r="E434" s="3"/>
      <c r="F434" s="3"/>
      <c r="G434" s="3"/>
      <c r="H434" s="3"/>
      <c r="I434" s="3"/>
      <c r="J434" s="3" t="str">
        <f t="shared" si="57"/>
        <v>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/>
      <c r="E438" s="3"/>
      <c r="F438" s="3"/>
      <c r="G438" s="3"/>
      <c r="H438" s="3"/>
      <c r="I438" s="3"/>
      <c r="J438" s="3" t="str">
        <f t="shared" si="57"/>
        <v>0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/>
      <c r="E441" s="3"/>
      <c r="F441" s="3"/>
      <c r="G441" s="3"/>
      <c r="H441" s="3"/>
      <c r="I441" s="3"/>
      <c r="J441" s="3" t="str">
        <f t="shared" si="57"/>
        <v>0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/>
      <c r="E444" s="3"/>
      <c r="F444" s="3"/>
      <c r="G444" s="3"/>
      <c r="H444" s="3"/>
      <c r="I444" s="3"/>
      <c r="J444" s="3" t="str">
        <f t="shared" si="57"/>
        <v>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/>
      <c r="E447" s="3"/>
      <c r="F447" s="27"/>
      <c r="G447" s="27"/>
      <c r="H447" s="27"/>
      <c r="I447" s="3"/>
      <c r="J447" s="3" t="str">
        <f t="shared" si="57"/>
        <v>0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/>
      <c r="E449" s="3"/>
      <c r="F449" s="27"/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/>
      <c r="E451" s="3"/>
      <c r="F451" s="27"/>
      <c r="G451" s="27"/>
      <c r="H451" s="27"/>
      <c r="I451" s="3"/>
      <c r="J451" s="3" t="str">
        <f t="shared" si="57"/>
        <v>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/>
      <c r="E452" s="3"/>
      <c r="F452" s="27"/>
      <c r="G452" s="27"/>
      <c r="H452" s="27"/>
      <c r="I452" s="3"/>
      <c r="J452" s="3" t="str">
        <f t="shared" si="57"/>
        <v>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/>
      <c r="E453" s="3"/>
      <c r="F453" s="27"/>
      <c r="G453" s="27"/>
      <c r="H453" s="27"/>
      <c r="I453" s="3"/>
      <c r="J453" s="3" t="str">
        <f t="shared" si="57"/>
        <v>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/>
      <c r="E455" s="3"/>
      <c r="F455" s="27"/>
      <c r="G455" s="27"/>
      <c r="H455" s="27"/>
      <c r="I455" s="3"/>
      <c r="J455" s="3" t="str">
        <f t="shared" si="57"/>
        <v>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0</v>
      </c>
      <c r="E474" s="3" t="str">
        <f t="shared" si="64"/>
        <v>0</v>
      </c>
      <c r="F474" s="3" t="str">
        <f t="shared" si="64"/>
        <v>0</v>
      </c>
      <c r="G474" s="3" t="str">
        <f t="shared" si="64"/>
        <v>0</v>
      </c>
      <c r="H474" s="3" t="str">
        <f t="shared" si="64"/>
        <v>0</v>
      </c>
      <c r="I474" s="3" t="str">
        <f t="shared" si="64"/>
        <v>0</v>
      </c>
      <c r="J474" s="3" t="str">
        <f t="shared" si="57"/>
        <v>0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No Issue</v>
      </c>
      <c r="P474" s="3" t="str">
        <f t="shared" si="63"/>
        <v>NoIssue</v>
      </c>
    </row>
    <row r="475" ht="15.75" customHeight="1">
      <c r="A475" s="10"/>
      <c r="B475" s="11" t="s">
        <v>3</v>
      </c>
      <c r="C475" s="39"/>
      <c r="D475" s="13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/>
      <c r="E478" s="3"/>
      <c r="F478" s="3"/>
      <c r="G478" s="3"/>
      <c r="H478" s="3"/>
      <c r="I478" s="3"/>
      <c r="J478" s="3" t="str">
        <f t="shared" si="65"/>
        <v>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/>
      <c r="E499" s="3"/>
      <c r="F499" s="3"/>
      <c r="G499" s="3"/>
      <c r="H499" s="3"/>
      <c r="I499" s="3"/>
      <c r="J499" s="3" t="str">
        <f t="shared" si="65"/>
        <v>0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/>
      <c r="E500" s="3"/>
      <c r="F500" s="3"/>
      <c r="G500" s="3"/>
      <c r="H500" s="3"/>
      <c r="I500" s="3"/>
      <c r="J500" s="3" t="str">
        <f t="shared" si="65"/>
        <v>0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/>
      <c r="E501" s="3"/>
      <c r="F501" s="3"/>
      <c r="G501" s="3"/>
      <c r="H501" s="3"/>
      <c r="I501" s="3"/>
      <c r="J501" s="3" t="str">
        <f t="shared" si="65"/>
        <v>0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/>
      <c r="E503" s="3"/>
      <c r="F503" s="3"/>
      <c r="G503" s="3"/>
      <c r="H503" s="3"/>
      <c r="I503" s="3"/>
      <c r="J503" s="3" t="str">
        <f t="shared" si="65"/>
        <v>0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/>
      <c r="E505" s="3"/>
      <c r="F505" s="3"/>
      <c r="G505" s="3"/>
      <c r="H505" s="3"/>
      <c r="I505" s="3"/>
      <c r="J505" s="3" t="str">
        <f t="shared" si="65"/>
        <v>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/>
      <c r="E506" s="3"/>
      <c r="F506" s="27"/>
      <c r="G506" s="27"/>
      <c r="H506" s="27"/>
      <c r="I506" s="3"/>
      <c r="J506" s="3" t="str">
        <f t="shared" si="65"/>
        <v>0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/>
      <c r="E510" s="3"/>
      <c r="F510" s="27"/>
      <c r="G510" s="27"/>
      <c r="H510" s="27"/>
      <c r="I510" s="3"/>
      <c r="J510" s="3" t="str">
        <f t="shared" si="65"/>
        <v>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/>
      <c r="E511" s="3"/>
      <c r="F511" s="27"/>
      <c r="G511" s="27"/>
      <c r="H511" s="27"/>
      <c r="I511" s="3"/>
      <c r="J511" s="3" t="str">
        <f t="shared" si="65"/>
        <v>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/>
      <c r="E512" s="3"/>
      <c r="F512" s="27"/>
      <c r="G512" s="27"/>
      <c r="H512" s="27"/>
      <c r="I512" s="3"/>
      <c r="J512" s="3" t="str">
        <f t="shared" si="65"/>
        <v>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/>
      <c r="E514" s="3"/>
      <c r="F514" s="27"/>
      <c r="G514" s="27"/>
      <c r="H514" s="27"/>
      <c r="I514" s="3"/>
      <c r="J514" s="3" t="str">
        <f t="shared" si="65"/>
        <v>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0</v>
      </c>
      <c r="E533" s="3" t="str">
        <f t="shared" si="72"/>
        <v>0</v>
      </c>
      <c r="F533" s="3" t="str">
        <f t="shared" si="72"/>
        <v>0</v>
      </c>
      <c r="G533" s="3" t="str">
        <f t="shared" si="72"/>
        <v>0</v>
      </c>
      <c r="H533" s="3" t="str">
        <f t="shared" si="72"/>
        <v>0</v>
      </c>
      <c r="I533" s="3" t="str">
        <f t="shared" si="72"/>
        <v>0</v>
      </c>
      <c r="J533" s="3" t="str">
        <f t="shared" si="65"/>
        <v>0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No Issue</v>
      </c>
      <c r="P533" s="3" t="str">
        <f t="shared" si="71"/>
        <v>NoIssue</v>
      </c>
    </row>
    <row r="534" ht="15.75" customHeight="1">
      <c r="A534" s="10"/>
      <c r="B534" s="11" t="s">
        <v>3</v>
      </c>
      <c r="C534" s="39"/>
      <c r="D534" s="13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/>
      <c r="E540" s="3"/>
      <c r="F540" s="3"/>
      <c r="G540" s="3"/>
      <c r="H540" s="3"/>
      <c r="I540" s="3"/>
      <c r="J540" s="3" t="str">
        <f t="shared" si="73"/>
        <v>0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/>
      <c r="E547" s="3"/>
      <c r="F547" s="3"/>
      <c r="G547" s="3"/>
      <c r="H547" s="3"/>
      <c r="I547" s="3"/>
      <c r="J547" s="3" t="str">
        <f t="shared" si="73"/>
        <v>0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/>
      <c r="E548" s="3"/>
      <c r="F548" s="3"/>
      <c r="G548" s="3"/>
      <c r="H548" s="3"/>
      <c r="I548" s="3"/>
      <c r="J548" s="3" t="str">
        <f t="shared" si="73"/>
        <v>0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/>
      <c r="E549" s="3"/>
      <c r="F549" s="3"/>
      <c r="G549" s="3"/>
      <c r="H549" s="3"/>
      <c r="I549" s="3"/>
      <c r="J549" s="3" t="str">
        <f t="shared" si="73"/>
        <v>0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/>
      <c r="E550" s="3"/>
      <c r="F550" s="3"/>
      <c r="G550" s="3"/>
      <c r="H550" s="3"/>
      <c r="I550" s="3"/>
      <c r="J550" s="3" t="str">
        <f t="shared" si="73"/>
        <v>0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/>
      <c r="E551" s="3"/>
      <c r="F551" s="3"/>
      <c r="G551" s="3"/>
      <c r="H551" s="3"/>
      <c r="I551" s="3"/>
      <c r="J551" s="3" t="str">
        <f t="shared" si="73"/>
        <v>0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/>
      <c r="E552" s="3"/>
      <c r="F552" s="3"/>
      <c r="G552" s="3"/>
      <c r="H552" s="3"/>
      <c r="I552" s="3"/>
      <c r="J552" s="3" t="str">
        <f t="shared" si="73"/>
        <v>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/>
      <c r="E554" s="3"/>
      <c r="F554" s="3"/>
      <c r="G554" s="3"/>
      <c r="H554" s="3"/>
      <c r="I554" s="3"/>
      <c r="J554" s="3" t="str">
        <f t="shared" si="73"/>
        <v>0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/>
      <c r="E555" s="3"/>
      <c r="F555" s="3"/>
      <c r="G555" s="3"/>
      <c r="H555" s="3"/>
      <c r="I555" s="3"/>
      <c r="J555" s="3" t="str">
        <f t="shared" si="73"/>
        <v>0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/>
      <c r="E558" s="3"/>
      <c r="F558" s="3"/>
      <c r="G558" s="3"/>
      <c r="H558" s="3"/>
      <c r="I558" s="3"/>
      <c r="J558" s="3" t="str">
        <f t="shared" si="73"/>
        <v>0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/>
      <c r="E560" s="3"/>
      <c r="F560" s="3"/>
      <c r="G560" s="3"/>
      <c r="H560" s="3"/>
      <c r="I560" s="3"/>
      <c r="J560" s="3" t="str">
        <f t="shared" si="73"/>
        <v>0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/>
      <c r="E562" s="3"/>
      <c r="F562" s="3"/>
      <c r="G562" s="3"/>
      <c r="H562" s="3"/>
      <c r="I562" s="3"/>
      <c r="J562" s="3" t="str">
        <f t="shared" si="73"/>
        <v>0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/>
      <c r="E564" s="3"/>
      <c r="F564" s="3"/>
      <c r="G564" s="3"/>
      <c r="H564" s="3"/>
      <c r="I564" s="3"/>
      <c r="J564" s="3" t="str">
        <f t="shared" si="73"/>
        <v>0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/>
      <c r="E565" s="3"/>
      <c r="F565" s="27"/>
      <c r="G565" s="27"/>
      <c r="H565" s="27"/>
      <c r="I565" s="3"/>
      <c r="J565" s="3" t="str">
        <f t="shared" si="73"/>
        <v>0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/>
      <c r="E566" s="3"/>
      <c r="F566" s="27"/>
      <c r="G566" s="27"/>
      <c r="H566" s="27"/>
      <c r="I566" s="3"/>
      <c r="J566" s="3" t="str">
        <f t="shared" si="73"/>
        <v>0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/>
      <c r="E567" s="3"/>
      <c r="F567" s="27"/>
      <c r="G567" s="27"/>
      <c r="H567" s="27"/>
      <c r="I567" s="3"/>
      <c r="J567" s="3" t="str">
        <f t="shared" si="73"/>
        <v>0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/>
      <c r="E569" s="3"/>
      <c r="F569" s="27"/>
      <c r="G569" s="27"/>
      <c r="H569" s="27"/>
      <c r="I569" s="3"/>
      <c r="J569" s="3" t="str">
        <f t="shared" si="73"/>
        <v>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/>
      <c r="E570" s="3"/>
      <c r="F570" s="27"/>
      <c r="G570" s="27"/>
      <c r="H570" s="27"/>
      <c r="I570" s="3"/>
      <c r="J570" s="3" t="str">
        <f t="shared" si="73"/>
        <v>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/>
      <c r="E571" s="3"/>
      <c r="F571" s="27"/>
      <c r="G571" s="27"/>
      <c r="H571" s="27"/>
      <c r="I571" s="3"/>
      <c r="J571" s="3" t="str">
        <f t="shared" si="73"/>
        <v>0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/>
      <c r="E573" s="3"/>
      <c r="F573" s="27"/>
      <c r="G573" s="27"/>
      <c r="H573" s="27"/>
      <c r="I573" s="3"/>
      <c r="J573" s="3" t="str">
        <f t="shared" si="73"/>
        <v>0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0</v>
      </c>
      <c r="E592" s="3" t="str">
        <f t="shared" si="80"/>
        <v>0</v>
      </c>
      <c r="F592" s="3" t="str">
        <f t="shared" si="80"/>
        <v>0</v>
      </c>
      <c r="G592" s="3" t="str">
        <f t="shared" si="80"/>
        <v>0</v>
      </c>
      <c r="H592" s="3" t="str">
        <f t="shared" si="80"/>
        <v>0</v>
      </c>
      <c r="I592" s="3" t="str">
        <f t="shared" si="80"/>
        <v>0</v>
      </c>
      <c r="J592" s="3" t="str">
        <f t="shared" si="73"/>
        <v>0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No Issue</v>
      </c>
      <c r="P592" s="3" t="str">
        <f t="shared" si="79"/>
        <v>NoIssue</v>
      </c>
    </row>
    <row r="593" ht="15.75" customHeight="1">
      <c r="A593" s="10"/>
      <c r="B593" s="11" t="s">
        <v>3</v>
      </c>
      <c r="C593" s="39"/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/>
      <c r="F599" s="3"/>
      <c r="G599" s="3"/>
      <c r="H599" s="3"/>
      <c r="I599" s="3"/>
      <c r="J599" s="3" t="str">
        <f t="shared" si="81"/>
        <v>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/>
      <c r="F626" s="27"/>
      <c r="G626" s="27"/>
      <c r="H626" s="27"/>
      <c r="I626" s="3"/>
      <c r="J626" s="3" t="str">
        <f t="shared" si="81"/>
        <v>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/>
      <c r="F632" s="27"/>
      <c r="G632" s="27"/>
      <c r="H632" s="27"/>
      <c r="I632" s="3"/>
      <c r="J632" s="3" t="str">
        <f t="shared" si="81"/>
        <v>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0</v>
      </c>
      <c r="F651" s="3" t="str">
        <f t="shared" si="88"/>
        <v>0</v>
      </c>
      <c r="G651" s="3" t="str">
        <f t="shared" si="88"/>
        <v>0</v>
      </c>
      <c r="H651" s="3" t="str">
        <f t="shared" si="88"/>
        <v>0</v>
      </c>
      <c r="I651" s="3" t="str">
        <f t="shared" si="88"/>
        <v>0</v>
      </c>
      <c r="J651" s="3" t="str">
        <f t="shared" si="81"/>
        <v>0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No Issue</v>
      </c>
      <c r="P651" s="3" t="str">
        <f t="shared" si="87"/>
        <v>NoIssue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5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0</v>
      </c>
      <c r="E890" s="3" t="str">
        <f t="shared" si="121"/>
        <v>0</v>
      </c>
      <c r="F890" s="3" t="str">
        <f t="shared" si="121"/>
        <v>0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0</v>
      </c>
      <c r="J890" s="3" t="str">
        <f t="shared" ref="J890:J946" si="123">D890+E890-F890-G890+H890</f>
        <v>0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0</v>
      </c>
      <c r="E891" s="3" t="str">
        <f t="shared" si="122"/>
        <v>0</v>
      </c>
      <c r="F891" s="3" t="str">
        <f t="shared" si="122"/>
        <v>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0</v>
      </c>
      <c r="J891" s="3" t="str">
        <f t="shared" si="123"/>
        <v>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0</v>
      </c>
      <c r="E892" s="3" t="str">
        <f t="shared" si="130"/>
        <v>0</v>
      </c>
      <c r="F892" s="3" t="str">
        <f t="shared" si="130"/>
        <v>0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0</v>
      </c>
      <c r="J892" s="3" t="str">
        <f t="shared" si="123"/>
        <v>0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0</v>
      </c>
      <c r="E893" s="3" t="str">
        <f t="shared" si="131"/>
        <v>0</v>
      </c>
      <c r="F893" s="3" t="str">
        <f t="shared" si="131"/>
        <v>0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0</v>
      </c>
      <c r="J893" s="3" t="str">
        <f t="shared" si="123"/>
        <v>0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0</v>
      </c>
      <c r="E894" s="3" t="str">
        <f t="shared" si="132"/>
        <v>0</v>
      </c>
      <c r="F894" s="3" t="str">
        <f t="shared" si="132"/>
        <v>0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0</v>
      </c>
      <c r="J894" s="3" t="str">
        <f t="shared" si="123"/>
        <v>0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0</v>
      </c>
      <c r="E895" s="3" t="str">
        <f t="shared" si="133"/>
        <v>0</v>
      </c>
      <c r="F895" s="3" t="str">
        <f t="shared" si="133"/>
        <v>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0</v>
      </c>
      <c r="J895" s="3" t="str">
        <f t="shared" si="123"/>
        <v>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0</v>
      </c>
      <c r="E896" s="3" t="str">
        <f t="shared" si="134"/>
        <v>0</v>
      </c>
      <c r="F896" s="3" t="str">
        <f t="shared" si="134"/>
        <v>0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0</v>
      </c>
      <c r="J896" s="3" t="str">
        <f t="shared" si="123"/>
        <v>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0</v>
      </c>
      <c r="E899" s="3" t="str">
        <f t="shared" si="137"/>
        <v>0</v>
      </c>
      <c r="F899" s="3" t="str">
        <f t="shared" si="137"/>
        <v>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0</v>
      </c>
      <c r="J899" s="3" t="str">
        <f t="shared" si="123"/>
        <v>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0</v>
      </c>
      <c r="E900" s="3" t="str">
        <f t="shared" si="138"/>
        <v>0</v>
      </c>
      <c r="F900" s="3" t="str">
        <f t="shared" si="138"/>
        <v>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0</v>
      </c>
      <c r="J900" s="3" t="str">
        <f t="shared" si="123"/>
        <v>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0</v>
      </c>
      <c r="E901" s="3" t="str">
        <f t="shared" si="139"/>
        <v>0</v>
      </c>
      <c r="F901" s="3" t="str">
        <f t="shared" si="139"/>
        <v>0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0</v>
      </c>
      <c r="J901" s="3" t="str">
        <f t="shared" si="123"/>
        <v>0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0</v>
      </c>
      <c r="E902" s="3" t="str">
        <f t="shared" si="140"/>
        <v>0</v>
      </c>
      <c r="F902" s="3" t="str">
        <f t="shared" si="140"/>
        <v>0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0</v>
      </c>
      <c r="J902" s="3" t="str">
        <f t="shared" si="123"/>
        <v>0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0</v>
      </c>
      <c r="E903" s="3" t="str">
        <f t="shared" si="141"/>
        <v>0</v>
      </c>
      <c r="F903" s="3" t="str">
        <f t="shared" si="141"/>
        <v>0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0</v>
      </c>
      <c r="J903" s="3" t="str">
        <f t="shared" si="123"/>
        <v>0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0</v>
      </c>
      <c r="E904" s="3" t="str">
        <f t="shared" si="142"/>
        <v>0</v>
      </c>
      <c r="F904" s="3" t="str">
        <f t="shared" si="142"/>
        <v>0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0</v>
      </c>
      <c r="J904" s="3" t="str">
        <f t="shared" si="123"/>
        <v>0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0</v>
      </c>
      <c r="E905" s="3" t="str">
        <f t="shared" si="143"/>
        <v>0</v>
      </c>
      <c r="F905" s="3" t="str">
        <f t="shared" si="143"/>
        <v>0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0</v>
      </c>
      <c r="J905" s="3" t="str">
        <f t="shared" si="123"/>
        <v>0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0</v>
      </c>
      <c r="E906" s="3" t="str">
        <f t="shared" si="144"/>
        <v>0</v>
      </c>
      <c r="F906" s="3" t="str">
        <f t="shared" si="144"/>
        <v>0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0</v>
      </c>
      <c r="J906" s="3" t="str">
        <f t="shared" si="123"/>
        <v>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0</v>
      </c>
      <c r="E907" s="3" t="str">
        <f t="shared" si="145"/>
        <v>0</v>
      </c>
      <c r="F907" s="3" t="str">
        <f t="shared" si="145"/>
        <v>0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0</v>
      </c>
      <c r="J907" s="3" t="str">
        <f t="shared" si="123"/>
        <v>0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0</v>
      </c>
      <c r="E908" s="3" t="str">
        <f t="shared" si="146"/>
        <v>0</v>
      </c>
      <c r="F908" s="3" t="str">
        <f t="shared" si="146"/>
        <v>0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0</v>
      </c>
      <c r="J908" s="3" t="str">
        <f t="shared" si="123"/>
        <v>0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0</v>
      </c>
      <c r="E909" s="3" t="str">
        <f t="shared" si="147"/>
        <v>0</v>
      </c>
      <c r="F909" s="3" t="str">
        <f t="shared" si="147"/>
        <v>0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0</v>
      </c>
      <c r="J909" s="3" t="str">
        <f t="shared" si="123"/>
        <v>0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0</v>
      </c>
      <c r="E910" s="3" t="str">
        <f t="shared" si="148"/>
        <v>0</v>
      </c>
      <c r="F910" s="3" t="str">
        <f t="shared" si="148"/>
        <v>0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0</v>
      </c>
      <c r="J910" s="3" t="str">
        <f t="shared" si="123"/>
        <v>0</v>
      </c>
      <c r="K910" s="27" t="str">
        <f t="shared" si="124"/>
        <v> No Issue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0</v>
      </c>
      <c r="E911" s="3" t="str">
        <f t="shared" si="149"/>
        <v>0</v>
      </c>
      <c r="F911" s="3" t="str">
        <f t="shared" si="149"/>
        <v>0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0</v>
      </c>
      <c r="J911" s="3" t="str">
        <f t="shared" si="123"/>
        <v>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0</v>
      </c>
      <c r="E912" s="3" t="str">
        <f t="shared" si="150"/>
        <v>0</v>
      </c>
      <c r="F912" s="3" t="str">
        <f t="shared" si="150"/>
        <v>0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0</v>
      </c>
      <c r="J912" s="3" t="str">
        <f t="shared" si="123"/>
        <v>0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0</v>
      </c>
      <c r="E913" s="3" t="str">
        <f t="shared" si="151"/>
        <v>0</v>
      </c>
      <c r="F913" s="3" t="str">
        <f t="shared" si="151"/>
        <v>0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0</v>
      </c>
      <c r="J913" s="3" t="str">
        <f t="shared" si="123"/>
        <v>0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0</v>
      </c>
      <c r="E914" s="3" t="str">
        <f t="shared" si="152"/>
        <v>0</v>
      </c>
      <c r="F914" s="3" t="str">
        <f t="shared" si="152"/>
        <v>0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0</v>
      </c>
      <c r="J914" s="3" t="str">
        <f t="shared" si="123"/>
        <v>0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0</v>
      </c>
      <c r="E916" s="3" t="str">
        <f t="shared" si="154"/>
        <v>0</v>
      </c>
      <c r="F916" s="3" t="str">
        <f t="shared" si="154"/>
        <v>0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0</v>
      </c>
      <c r="J916" s="3" t="str">
        <f t="shared" si="123"/>
        <v>0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0</v>
      </c>
      <c r="E917" s="3" t="str">
        <f t="shared" si="155"/>
        <v>0</v>
      </c>
      <c r="F917" s="3" t="str">
        <f t="shared" si="155"/>
        <v>0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0</v>
      </c>
      <c r="J917" s="3" t="str">
        <f t="shared" si="123"/>
        <v>0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0</v>
      </c>
      <c r="E918" s="3" t="str">
        <f t="shared" si="156"/>
        <v>0</v>
      </c>
      <c r="F918" s="3" t="str">
        <f t="shared" si="156"/>
        <v>0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0</v>
      </c>
      <c r="J918" s="3" t="str">
        <f t="shared" si="123"/>
        <v>0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0</v>
      </c>
      <c r="E919" s="3" t="str">
        <f t="shared" si="157"/>
        <v>0</v>
      </c>
      <c r="F919" s="3" t="str">
        <f t="shared" si="157"/>
        <v>0</v>
      </c>
      <c r="G919" s="3" t="str">
        <f t="shared" si="157"/>
        <v>0</v>
      </c>
      <c r="H919" s="3" t="str">
        <f t="shared" si="157"/>
        <v>0</v>
      </c>
      <c r="I919" s="3" t="str">
        <f t="shared" si="157"/>
        <v>0</v>
      </c>
      <c r="J919" s="3" t="str">
        <f t="shared" si="123"/>
        <v>0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0</v>
      </c>
      <c r="E920" s="3" t="str">
        <f t="shared" si="158"/>
        <v>0</v>
      </c>
      <c r="F920" s="3" t="str">
        <f t="shared" si="158"/>
        <v>0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0</v>
      </c>
      <c r="J920" s="3" t="str">
        <f t="shared" si="123"/>
        <v>0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0</v>
      </c>
      <c r="E921" s="3" t="str">
        <f t="shared" si="159"/>
        <v>0</v>
      </c>
      <c r="F921" s="3" t="str">
        <f t="shared" si="159"/>
        <v>0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0</v>
      </c>
      <c r="J921" s="3" t="str">
        <f t="shared" si="123"/>
        <v>0</v>
      </c>
      <c r="K921" s="27" t="str">
        <f t="shared" si="124"/>
        <v> No Issue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0</v>
      </c>
      <c r="E922" s="3" t="str">
        <f t="shared" si="160"/>
        <v>0</v>
      </c>
      <c r="F922" s="3" t="str">
        <f t="shared" si="160"/>
        <v>0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0</v>
      </c>
      <c r="J922" s="3" t="str">
        <f t="shared" si="123"/>
        <v>0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0</v>
      </c>
      <c r="E923" s="3" t="str">
        <f t="shared" si="161"/>
        <v>0</v>
      </c>
      <c r="F923" s="3" t="str">
        <f t="shared" si="161"/>
        <v>0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0</v>
      </c>
      <c r="J923" s="3" t="str">
        <f t="shared" si="123"/>
        <v>0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0</v>
      </c>
      <c r="E924" s="3" t="str">
        <f t="shared" si="162"/>
        <v>0</v>
      </c>
      <c r="F924" s="3" t="str">
        <f t="shared" si="162"/>
        <v>0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0</v>
      </c>
      <c r="J924" s="3" t="str">
        <f t="shared" si="123"/>
        <v>0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0</v>
      </c>
      <c r="E925" s="3" t="str">
        <f t="shared" si="163"/>
        <v>0</v>
      </c>
      <c r="F925" s="3" t="str">
        <f t="shared" si="163"/>
        <v>0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0</v>
      </c>
      <c r="J925" s="3" t="str">
        <f t="shared" si="123"/>
        <v>0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0</v>
      </c>
      <c r="E927" s="3" t="str">
        <f t="shared" si="165"/>
        <v>0</v>
      </c>
      <c r="F927" s="3" t="str">
        <f t="shared" si="165"/>
        <v>0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0</v>
      </c>
      <c r="J927" s="3" t="str">
        <f t="shared" si="123"/>
        <v>0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0</v>
      </c>
      <c r="E928" s="3" t="str">
        <f t="shared" si="166"/>
        <v>0</v>
      </c>
      <c r="F928" s="3" t="str">
        <f t="shared" si="166"/>
        <v>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0</v>
      </c>
      <c r="J928" s="3" t="str">
        <f t="shared" si="123"/>
        <v>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0</v>
      </c>
      <c r="E931" s="3" t="str">
        <f t="shared" si="169"/>
        <v>0</v>
      </c>
      <c r="F931" s="3" t="str">
        <f t="shared" si="169"/>
        <v>0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0</v>
      </c>
      <c r="J931" s="3" t="str">
        <f t="shared" si="123"/>
        <v>0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0</v>
      </c>
      <c r="E946" s="3" t="str">
        <f t="shared" si="184"/>
        <v>0</v>
      </c>
      <c r="F946" s="3" t="str">
        <f t="shared" si="184"/>
        <v>0</v>
      </c>
      <c r="G946" s="3" t="str">
        <f t="shared" si="184"/>
        <v>0</v>
      </c>
      <c r="H946" s="3" t="str">
        <f t="shared" si="184"/>
        <v>0</v>
      </c>
      <c r="I946" s="3" t="str">
        <f t="shared" si="184"/>
        <v>0</v>
      </c>
      <c r="J946" s="3" t="str">
        <f t="shared" si="123"/>
        <v>0</v>
      </c>
      <c r="K946" s="27" t="str">
        <f t="shared" si="124"/>
        <v> No Issue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No Issue</v>
      </c>
      <c r="P946" s="3" t="str">
        <f t="shared" si="129"/>
        <v>NoIssue</v>
      </c>
    </row>
  </sheetData>
  <mergeCells count="32">
    <mergeCell ref="G475:H475"/>
    <mergeCell ref="K416:P416"/>
    <mergeCell ref="K475:P475"/>
    <mergeCell ref="G416:H416"/>
    <mergeCell ref="K711:P711"/>
    <mergeCell ref="K121:P121"/>
    <mergeCell ref="G121:H121"/>
    <mergeCell ref="K180:P180"/>
    <mergeCell ref="G180:H180"/>
    <mergeCell ref="K593:P593"/>
    <mergeCell ref="K652:P652"/>
    <mergeCell ref="G593:H593"/>
    <mergeCell ref="G770:H770"/>
    <mergeCell ref="G888:H888"/>
    <mergeCell ref="G652:H652"/>
    <mergeCell ref="G829:H829"/>
    <mergeCell ref="G711:H711"/>
    <mergeCell ref="G298:H298"/>
    <mergeCell ref="K357:P357"/>
    <mergeCell ref="K298:P298"/>
    <mergeCell ref="G357:H357"/>
    <mergeCell ref="K829:P829"/>
    <mergeCell ref="K888:P888"/>
    <mergeCell ref="K770:P770"/>
    <mergeCell ref="G239:H239"/>
    <mergeCell ref="K239:P239"/>
    <mergeCell ref="G534:H534"/>
    <mergeCell ref="K534:P534"/>
    <mergeCell ref="G62:H62"/>
    <mergeCell ref="K62:P62"/>
    <mergeCell ref="K3:P3"/>
    <mergeCell ref="G3:H3"/>
  </mergeCells>
  <conditionalFormatting sqref="I713">
    <cfRule type="containsText" dxfId="0" priority="1" operator="containsText" text="Problem">
      <formula>NOT(ISERROR(SEARCH(("Problem"),(I713))))</formula>
    </cfRule>
  </conditionalFormatting>
  <conditionalFormatting sqref="I713">
    <cfRule type="containsText" dxfId="0" priority="2" operator="containsText" text="Problem">
      <formula>NOT(ISERROR(SEARCH(("Problem"),(I713))))</formula>
    </cfRule>
  </conditionalFormatting>
  <conditionalFormatting sqref="I713">
    <cfRule type="containsText" dxfId="0" priority="3" operator="containsText" text="Problem">
      <formula>NOT(ISERROR(SEARCH(("Problem"),(I713))))</formula>
    </cfRule>
  </conditionalFormatting>
  <conditionalFormatting sqref="F831">
    <cfRule type="containsText" dxfId="0" priority="4" operator="containsText" text="Problem">
      <formula>NOT(ISERROR(SEARCH(("Problem"),(F831))))</formula>
    </cfRule>
  </conditionalFormatting>
  <conditionalFormatting sqref="F831">
    <cfRule type="containsText" dxfId="0" priority="5" operator="containsText" text="Problem">
      <formula>NOT(ISERROR(SEARCH(("Problem"),(F831))))</formula>
    </cfRule>
  </conditionalFormatting>
  <conditionalFormatting sqref="F831">
    <cfRule type="containsText" dxfId="0" priority="6" operator="containsText" text="Problem">
      <formula>NOT(ISERROR(SEARCH(("Problem"),(F831))))</formula>
    </cfRule>
  </conditionalFormatting>
  <conditionalFormatting sqref="E536">
    <cfRule type="containsText" dxfId="0" priority="7" operator="containsText" text="Problem">
      <formula>NOT(ISERROR(SEARCH(("Problem"),(E536))))</formula>
    </cfRule>
  </conditionalFormatting>
  <conditionalFormatting sqref="E536">
    <cfRule type="containsText" dxfId="0" priority="8" operator="containsText" text="Problem">
      <formula>NOT(ISERROR(SEARCH(("Problem"),(E536))))</formula>
    </cfRule>
  </conditionalFormatting>
  <conditionalFormatting sqref="E536">
    <cfRule type="containsText" dxfId="0" priority="9" operator="containsText" text="Problem">
      <formula>NOT(ISERROR(SEARCH(("Problem"),(E536))))</formula>
    </cfRule>
  </conditionalFormatting>
  <conditionalFormatting sqref="F536">
    <cfRule type="containsText" dxfId="0" priority="10" operator="containsText" text="Problem">
      <formula>NOT(ISERROR(SEARCH(("Problem"),(F536))))</formula>
    </cfRule>
  </conditionalFormatting>
  <conditionalFormatting sqref="F536">
    <cfRule type="containsText" dxfId="0" priority="11" operator="containsText" text="Problem">
      <formula>NOT(ISERROR(SEARCH(("Problem"),(F536))))</formula>
    </cfRule>
  </conditionalFormatting>
  <conditionalFormatting sqref="F536">
    <cfRule type="containsText" dxfId="0" priority="12" operator="containsText" text="Problem">
      <formula>NOT(ISERROR(SEARCH(("Problem"),(F536))))</formula>
    </cfRule>
  </conditionalFormatting>
  <conditionalFormatting sqref="F183:F210">
    <cfRule type="containsText" dxfId="0" priority="13" operator="containsText" text="Problem">
      <formula>NOT(ISERROR(SEARCH(("Problem"),(F183))))</formula>
    </cfRule>
  </conditionalFormatting>
  <conditionalFormatting sqref="F183:F210">
    <cfRule type="containsText" dxfId="0" priority="14" operator="containsText" text="Problem">
      <formula>NOT(ISERROR(SEARCH(("Problem"),(F183))))</formula>
    </cfRule>
  </conditionalFormatting>
  <conditionalFormatting sqref="F183:F210">
    <cfRule type="containsText" dxfId="0" priority="15" operator="containsText" text="Problem">
      <formula>NOT(ISERROR(SEARCH(("Problem"),(F183))))</formula>
    </cfRule>
  </conditionalFormatting>
  <conditionalFormatting sqref="I596:I623">
    <cfRule type="containsText" dxfId="0" priority="16" operator="containsText" text="Problem">
      <formula>NOT(ISERROR(SEARCH(("Problem"),(I596))))</formula>
    </cfRule>
  </conditionalFormatting>
  <conditionalFormatting sqref="I596:I623">
    <cfRule type="containsText" dxfId="0" priority="17" operator="containsText" text="Problem">
      <formula>NOT(ISERROR(SEARCH(("Problem"),(I596))))</formula>
    </cfRule>
  </conditionalFormatting>
  <conditionalFormatting sqref="I596:I623">
    <cfRule type="containsText" dxfId="0" priority="18" operator="containsText" text="Problem">
      <formula>NOT(ISERROR(SEARCH(("Problem"),(I596))))</formula>
    </cfRule>
  </conditionalFormatting>
  <conditionalFormatting sqref="I596:I623">
    <cfRule type="containsText" dxfId="0" priority="19" operator="containsText" text="Problem">
      <formula>NOT(ISERROR(SEARCH(("Problem"),(I596))))</formula>
    </cfRule>
  </conditionalFormatting>
  <conditionalFormatting sqref="F832:F859">
    <cfRule type="containsText" dxfId="0" priority="20" operator="containsText" text="Problem">
      <formula>NOT(ISERROR(SEARCH(("Problem"),(F832))))</formula>
    </cfRule>
  </conditionalFormatting>
  <conditionalFormatting sqref="F832:F859">
    <cfRule type="containsText" dxfId="0" priority="21" operator="containsText" text="Problem">
      <formula>NOT(ISERROR(SEARCH(("Problem"),(F832))))</formula>
    </cfRule>
  </conditionalFormatting>
  <conditionalFormatting sqref="F832:F859">
    <cfRule type="containsText" dxfId="0" priority="22" operator="containsText" text="Problem">
      <formula>NOT(ISERROR(SEARCH(("Problem"),(F832))))</formula>
    </cfRule>
  </conditionalFormatting>
  <conditionalFormatting sqref="A711 J711:P711">
    <cfRule type="containsText" dxfId="0" priority="23" operator="containsText" text="Problem">
      <formula>NOT(ISERROR(SEARCH(("Problem"),(A711))))</formula>
    </cfRule>
  </conditionalFormatting>
  <conditionalFormatting sqref="A711 J711:P711">
    <cfRule type="containsText" dxfId="0" priority="24" operator="containsText" text="Problem">
      <formula>NOT(ISERROR(SEARCH(("Problem"),(A711))))</formula>
    </cfRule>
  </conditionalFormatting>
  <conditionalFormatting sqref="A711 J711:P711">
    <cfRule type="containsText" dxfId="0" priority="25" operator="containsText" text="Problem">
      <formula>NOT(ISERROR(SEARCH(("Problem"),(A711))))</formula>
    </cfRule>
  </conditionalFormatting>
  <conditionalFormatting sqref="G65:G92">
    <cfRule type="containsText" dxfId="0" priority="26" operator="containsText" text="Problem">
      <formula>NOT(ISERROR(SEARCH(("Problem"),(G65))))</formula>
    </cfRule>
  </conditionalFormatting>
  <conditionalFormatting sqref="G65:G92">
    <cfRule type="containsText" dxfId="0" priority="27" operator="containsText" text="Problem">
      <formula>NOT(ISERROR(SEARCH(("Problem"),(G65))))</formula>
    </cfRule>
  </conditionalFormatting>
  <conditionalFormatting sqref="G65:G92">
    <cfRule type="containsText" dxfId="0" priority="28" operator="containsText" text="Problem">
      <formula>NOT(ISERROR(SEARCH(("Problem"),(G65))))</formula>
    </cfRule>
  </conditionalFormatting>
  <conditionalFormatting sqref="G419:G446">
    <cfRule type="containsText" dxfId="0" priority="29" operator="containsText" text="Problem">
      <formula>NOT(ISERROR(SEARCH(("Problem"),(G419))))</formula>
    </cfRule>
  </conditionalFormatting>
  <conditionalFormatting sqref="G419:G446">
    <cfRule type="containsText" dxfId="0" priority="30" operator="containsText" text="Problem">
      <formula>NOT(ISERROR(SEARCH(("Problem"),(G419))))</formula>
    </cfRule>
  </conditionalFormatting>
  <conditionalFormatting sqref="G419:G446">
    <cfRule type="containsText" dxfId="0" priority="31" operator="containsText" text="Problem">
      <formula>NOT(ISERROR(SEARCH(("Problem"),(G419))))</formula>
    </cfRule>
  </conditionalFormatting>
  <conditionalFormatting sqref="H596:H623">
    <cfRule type="containsText" dxfId="0" priority="32" operator="containsText" text="Problem">
      <formula>NOT(ISERROR(SEARCH(("Problem"),(H596))))</formula>
    </cfRule>
  </conditionalFormatting>
  <conditionalFormatting sqref="H596:H623">
    <cfRule type="containsText" dxfId="0" priority="33" operator="containsText" text="Problem">
      <formula>NOT(ISERROR(SEARCH(("Problem"),(H596))))</formula>
    </cfRule>
  </conditionalFormatting>
  <conditionalFormatting sqref="H596:H623">
    <cfRule type="containsText" dxfId="0" priority="34" operator="containsText" text="Problem">
      <formula>NOT(ISERROR(SEARCH(("Problem"),(H596))))</formula>
    </cfRule>
  </conditionalFormatting>
  <conditionalFormatting sqref="F773:F800">
    <cfRule type="containsText" dxfId="0" priority="35" operator="containsText" text="Problem">
      <formula>NOT(ISERROR(SEARCH(("Problem"),(F773))))</formula>
    </cfRule>
  </conditionalFormatting>
  <conditionalFormatting sqref="F773:F800">
    <cfRule type="containsText" dxfId="0" priority="36" operator="containsText" text="Problem">
      <formula>NOT(ISERROR(SEARCH(("Problem"),(F773))))</formula>
    </cfRule>
  </conditionalFormatting>
  <conditionalFormatting sqref="F773:F800">
    <cfRule type="containsText" dxfId="0" priority="37" operator="containsText" text="Problem">
      <formula>NOT(ISERROR(SEARCH(("Problem"),(F773))))</formula>
    </cfRule>
  </conditionalFormatting>
  <conditionalFormatting sqref="A122:I122 A179:H179 I152:I179 J122:P179">
    <cfRule type="containsText" dxfId="0" priority="38" operator="containsText" text="Problem">
      <formula>NOT(ISERROR(SEARCH(("Problem"),(A122))))</formula>
    </cfRule>
  </conditionalFormatting>
  <conditionalFormatting sqref="A122:I122 A179:H179 I152:I179 J122:P179">
    <cfRule type="containsText" dxfId="0" priority="39" operator="containsText" text="Problem">
      <formula>NOT(ISERROR(SEARCH(("Problem"),(A122))))</formula>
    </cfRule>
  </conditionalFormatting>
  <conditionalFormatting sqref="A122:I122 A179:H179 I152:I179 J122:P179">
    <cfRule type="containsText" dxfId="0" priority="40" operator="containsText" text="Problem">
      <formula>NOT(ISERROR(SEARCH(("Problem"),(A122))))</formula>
    </cfRule>
  </conditionalFormatting>
  <conditionalFormatting sqref="B868:C868 B880:B883 B885:C886 C837:C867 C877:C883">
    <cfRule type="containsText" dxfId="0" priority="41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42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43" operator="containsText" text="Problem">
      <formula>NOT(ISERROR(SEARCH(("Problem"),(B868))))</formula>
    </cfRule>
  </conditionalFormatting>
  <conditionalFormatting sqref="B632:C632 B644:B647 B649:C650 C601:C631 C641:C647">
    <cfRule type="containsText" dxfId="0" priority="44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45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46" operator="containsText" text="Problem">
      <formula>NOT(ISERROR(SEARCH(("Problem"),(B632))))</formula>
    </cfRule>
  </conditionalFormatting>
  <conditionalFormatting sqref="H182">
    <cfRule type="containsText" dxfId="0" priority="47" operator="containsText" text="Problem">
      <formula>NOT(ISERROR(SEARCH(("Problem"),(H182))))</formula>
    </cfRule>
  </conditionalFormatting>
  <conditionalFormatting sqref="H182">
    <cfRule type="containsText" dxfId="0" priority="48" operator="containsText" text="Problem">
      <formula>NOT(ISERROR(SEARCH(("Problem"),(H182))))</formula>
    </cfRule>
  </conditionalFormatting>
  <conditionalFormatting sqref="H182">
    <cfRule type="containsText" dxfId="0" priority="49" operator="containsText" text="Problem">
      <formula>NOT(ISERROR(SEARCH(("Problem"),(H182))))</formula>
    </cfRule>
  </conditionalFormatting>
  <conditionalFormatting sqref="A62 J62:P62">
    <cfRule type="containsText" dxfId="0" priority="50" operator="containsText" text="Problem">
      <formula>NOT(ISERROR(SEARCH(("Problem"),(A62))))</formula>
    </cfRule>
  </conditionalFormatting>
  <conditionalFormatting sqref="A62 J62:P62">
    <cfRule type="containsText" dxfId="0" priority="51" operator="containsText" text="Problem">
      <formula>NOT(ISERROR(SEARCH(("Problem"),(A62))))</formula>
    </cfRule>
  </conditionalFormatting>
  <conditionalFormatting sqref="A62 J62:P62">
    <cfRule type="containsText" dxfId="0" priority="52" operator="containsText" text="Problem">
      <formula>NOT(ISERROR(SEARCH(("Problem"),(A62))))</formula>
    </cfRule>
  </conditionalFormatting>
  <conditionalFormatting sqref="G418">
    <cfRule type="containsText" dxfId="0" priority="53" operator="containsText" text="Problem">
      <formula>NOT(ISERROR(SEARCH(("Problem"),(G418))))</formula>
    </cfRule>
  </conditionalFormatting>
  <conditionalFormatting sqref="G418">
    <cfRule type="containsText" dxfId="0" priority="54" operator="containsText" text="Problem">
      <formula>NOT(ISERROR(SEARCH(("Problem"),(G418))))</formula>
    </cfRule>
  </conditionalFormatting>
  <conditionalFormatting sqref="G418">
    <cfRule type="containsText" dxfId="0" priority="55" operator="containsText" text="Problem">
      <formula>NOT(ISERROR(SEARCH(("Problem"),(G418))))</formula>
    </cfRule>
  </conditionalFormatting>
  <conditionalFormatting sqref="H359">
    <cfRule type="containsText" dxfId="0" priority="56" operator="containsText" text="Problem">
      <formula>NOT(ISERROR(SEARCH(("Problem"),(H359))))</formula>
    </cfRule>
  </conditionalFormatting>
  <conditionalFormatting sqref="H359">
    <cfRule type="containsText" dxfId="0" priority="57" operator="containsText" text="Problem">
      <formula>NOT(ISERROR(SEARCH(("Problem"),(H359))))</formula>
    </cfRule>
  </conditionalFormatting>
  <conditionalFormatting sqref="H359">
    <cfRule type="containsText" dxfId="0" priority="58" operator="containsText" text="Problem">
      <formula>NOT(ISERROR(SEARCH(("Problem"),(H359))))</formula>
    </cfRule>
  </conditionalFormatting>
  <conditionalFormatting sqref="D531:D532 E506:H532">
    <cfRule type="containsText" dxfId="0" priority="59" operator="containsText" text="Problem">
      <formula>NOT(ISERROR(SEARCH(("Problem"),(D531))))</formula>
    </cfRule>
  </conditionalFormatting>
  <conditionalFormatting sqref="D531:D532 E506:H532">
    <cfRule type="containsText" dxfId="0" priority="60" operator="containsText" text="Problem">
      <formula>NOT(ISERROR(SEARCH(("Problem"),(D531))))</formula>
    </cfRule>
  </conditionalFormatting>
  <conditionalFormatting sqref="D531:D532 E506:H532">
    <cfRule type="containsText" dxfId="0" priority="61" operator="containsText" text="Problem">
      <formula>NOT(ISERROR(SEARCH(("Problem"),(D531))))</formula>
    </cfRule>
  </conditionalFormatting>
  <conditionalFormatting sqref="G654">
    <cfRule type="containsText" dxfId="0" priority="62" operator="containsText" text="Problem">
      <formula>NOT(ISERROR(SEARCH(("Problem"),(G654))))</formula>
    </cfRule>
  </conditionalFormatting>
  <conditionalFormatting sqref="G654">
    <cfRule type="containsText" dxfId="0" priority="63" operator="containsText" text="Problem">
      <formula>NOT(ISERROR(SEARCH(("Problem"),(G654))))</formula>
    </cfRule>
  </conditionalFormatting>
  <conditionalFormatting sqref="G654">
    <cfRule type="containsText" dxfId="0" priority="64" operator="containsText" text="Problem">
      <formula>NOT(ISERROR(SEARCH(("Problem"),(G654))))</formula>
    </cfRule>
  </conditionalFormatting>
  <conditionalFormatting sqref="I5">
    <cfRule type="containsText" dxfId="0" priority="65" operator="containsText" text="Problem">
      <formula>NOT(ISERROR(SEARCH(("Problem"),(I5))))</formula>
    </cfRule>
  </conditionalFormatting>
  <conditionalFormatting sqref="I5">
    <cfRule type="containsText" dxfId="0" priority="66" operator="containsText" text="Problem">
      <formula>NOT(ISERROR(SEARCH(("Problem"),(I5))))</formula>
    </cfRule>
  </conditionalFormatting>
  <conditionalFormatting sqref="I5">
    <cfRule type="containsText" dxfId="0" priority="67" operator="containsText" text="Problem">
      <formula>NOT(ISERROR(SEARCH(("Problem"),(I5))))</formula>
    </cfRule>
  </conditionalFormatting>
  <conditionalFormatting sqref="E477">
    <cfRule type="containsText" dxfId="0" priority="68" operator="containsText" text="Problem">
      <formula>NOT(ISERROR(SEARCH(("Problem"),(E477))))</formula>
    </cfRule>
  </conditionalFormatting>
  <conditionalFormatting sqref="E477">
    <cfRule type="containsText" dxfId="0" priority="69" operator="containsText" text="Problem">
      <formula>NOT(ISERROR(SEARCH(("Problem"),(E477))))</formula>
    </cfRule>
  </conditionalFormatting>
  <conditionalFormatting sqref="E477">
    <cfRule type="containsText" dxfId="0" priority="70" operator="containsText" text="Problem">
      <formula>NOT(ISERROR(SEARCH(("Problem"),(E477))))</formula>
    </cfRule>
  </conditionalFormatting>
  <conditionalFormatting sqref="I182">
    <cfRule type="containsText" dxfId="0" priority="71" operator="containsText" text="Problem">
      <formula>NOT(ISERROR(SEARCH(("Problem"),(I182))))</formula>
    </cfRule>
  </conditionalFormatting>
  <conditionalFormatting sqref="I182">
    <cfRule type="containsText" dxfId="0" priority="72" operator="containsText" text="Problem">
      <formula>NOT(ISERROR(SEARCH(("Problem"),(I182))))</formula>
    </cfRule>
  </conditionalFormatting>
  <conditionalFormatting sqref="I182">
    <cfRule type="containsText" dxfId="0" priority="73" operator="containsText" text="Problem">
      <formula>NOT(ISERROR(SEARCH(("Problem"),(I182))))</formula>
    </cfRule>
  </conditionalFormatting>
  <conditionalFormatting sqref="D242:D269">
    <cfRule type="containsText" dxfId="0" priority="74" operator="containsText" text="Problem">
      <formula>NOT(ISERROR(SEARCH(("Problem"),(D242))))</formula>
    </cfRule>
  </conditionalFormatting>
  <conditionalFormatting sqref="D242:D269">
    <cfRule type="containsText" dxfId="0" priority="75" operator="containsText" text="Problem">
      <formula>NOT(ISERROR(SEARCH(("Problem"),(D242))))</formula>
    </cfRule>
  </conditionalFormatting>
  <conditionalFormatting sqref="D242:D269">
    <cfRule type="containsText" dxfId="0" priority="76" operator="containsText" text="Problem">
      <formula>NOT(ISERROR(SEARCH(("Problem"),(D242))))</formula>
    </cfRule>
  </conditionalFormatting>
  <conditionalFormatting sqref="C475 E475:I475">
    <cfRule type="containsText" dxfId="0" priority="77" operator="containsText" text="Problem">
      <formula>NOT(ISERROR(SEARCH(("Problem"),(C475))))</formula>
    </cfRule>
  </conditionalFormatting>
  <conditionalFormatting sqref="C475 E475:I475">
    <cfRule type="containsText" dxfId="0" priority="78" operator="containsText" text="Problem">
      <formula>NOT(ISERROR(SEARCH(("Problem"),(C475))))</formula>
    </cfRule>
  </conditionalFormatting>
  <conditionalFormatting sqref="C475 E475:I475">
    <cfRule type="containsText" dxfId="0" priority="79" operator="containsText" text="Problem">
      <formula>NOT(ISERROR(SEARCH(("Problem"),(C475))))</formula>
    </cfRule>
  </conditionalFormatting>
  <conditionalFormatting sqref="B691:C691 B703:B706 B708:C709 C660:C690 C700:C706">
    <cfRule type="containsText" dxfId="0" priority="80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81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82" operator="containsText" text="Problem">
      <formula>NOT(ISERROR(SEARCH(("Problem"),(B691))))</formula>
    </cfRule>
  </conditionalFormatting>
  <conditionalFormatting sqref="G595">
    <cfRule type="containsText" dxfId="0" priority="83" operator="containsText" text="Problem">
      <formula>NOT(ISERROR(SEARCH(("Problem"),(G595))))</formula>
    </cfRule>
  </conditionalFormatting>
  <conditionalFormatting sqref="G595">
    <cfRule type="containsText" dxfId="0" priority="84" operator="containsText" text="Problem">
      <formula>NOT(ISERROR(SEARCH(("Problem"),(G595))))</formula>
    </cfRule>
  </conditionalFormatting>
  <conditionalFormatting sqref="G595">
    <cfRule type="containsText" dxfId="0" priority="85" operator="containsText" text="Problem">
      <formula>NOT(ISERROR(SEARCH(("Problem"),(G595))))</formula>
    </cfRule>
  </conditionalFormatting>
  <conditionalFormatting sqref="A180 J180:P180">
    <cfRule type="containsText" dxfId="0" priority="86" operator="containsText" text="Problem">
      <formula>NOT(ISERROR(SEARCH(("Problem"),(A180))))</formula>
    </cfRule>
  </conditionalFormatting>
  <conditionalFormatting sqref="A180 J180:P180">
    <cfRule type="containsText" dxfId="0" priority="87" operator="containsText" text="Problem">
      <formula>NOT(ISERROR(SEARCH(("Problem"),(A180))))</formula>
    </cfRule>
  </conditionalFormatting>
  <conditionalFormatting sqref="A180 J180:P180">
    <cfRule type="containsText" dxfId="0" priority="88" operator="containsText" text="Problem">
      <formula>NOT(ISERROR(SEARCH(("Problem"),(A180))))</formula>
    </cfRule>
  </conditionalFormatting>
  <conditionalFormatting sqref="D708:D709 E683:H709">
    <cfRule type="containsText" dxfId="0" priority="89" operator="containsText" text="Problem">
      <formula>NOT(ISERROR(SEARCH(("Problem"),(D708))))</formula>
    </cfRule>
  </conditionalFormatting>
  <conditionalFormatting sqref="D708:D709 E683:H709">
    <cfRule type="containsText" dxfId="0" priority="90" operator="containsText" text="Problem">
      <formula>NOT(ISERROR(SEARCH(("Problem"),(D708))))</formula>
    </cfRule>
  </conditionalFormatting>
  <conditionalFormatting sqref="D708:D709 E683:H709">
    <cfRule type="containsText" dxfId="0" priority="91" operator="containsText" text="Problem">
      <formula>NOT(ISERROR(SEARCH(("Problem"),(D708))))</formula>
    </cfRule>
  </conditionalFormatting>
  <conditionalFormatting sqref="E773:E800">
    <cfRule type="containsText" dxfId="0" priority="92" operator="containsText" text="Problem">
      <formula>NOT(ISERROR(SEARCH(("Problem"),(E773))))</formula>
    </cfRule>
  </conditionalFormatting>
  <conditionalFormatting sqref="E773:E800">
    <cfRule type="containsText" dxfId="0" priority="93" operator="containsText" text="Problem">
      <formula>NOT(ISERROR(SEARCH(("Problem"),(E773))))</formula>
    </cfRule>
  </conditionalFormatting>
  <conditionalFormatting sqref="E773:E800">
    <cfRule type="containsText" dxfId="0" priority="94" operator="containsText" text="Problem">
      <formula>NOT(ISERROR(SEARCH(("Problem"),(E773))))</formula>
    </cfRule>
  </conditionalFormatting>
  <conditionalFormatting sqref="C121 E121:I121">
    <cfRule type="containsText" dxfId="0" priority="95" operator="containsText" text="Problem">
      <formula>NOT(ISERROR(SEARCH(("Problem"),(C121))))</formula>
    </cfRule>
  </conditionalFormatting>
  <conditionalFormatting sqref="C121 E121:I121">
    <cfRule type="containsText" dxfId="0" priority="96" operator="containsText" text="Problem">
      <formula>NOT(ISERROR(SEARCH(("Problem"),(C121))))</formula>
    </cfRule>
  </conditionalFormatting>
  <conditionalFormatting sqref="C121 E121:I121">
    <cfRule type="containsText" dxfId="0" priority="97" operator="containsText" text="Problem">
      <formula>NOT(ISERROR(SEARCH(("Problem"),(C121))))</formula>
    </cfRule>
  </conditionalFormatting>
  <conditionalFormatting sqref="I360:I387">
    <cfRule type="containsText" dxfId="0" priority="98" operator="containsText" text="Problem">
      <formula>NOT(ISERROR(SEARCH(("Problem"),(I360))))</formula>
    </cfRule>
  </conditionalFormatting>
  <conditionalFormatting sqref="I360:I387">
    <cfRule type="containsText" dxfId="0" priority="99" operator="containsText" text="Problem">
      <formula>NOT(ISERROR(SEARCH(("Problem"),(I360))))</formula>
    </cfRule>
  </conditionalFormatting>
  <conditionalFormatting sqref="I360:I387">
    <cfRule type="containsText" dxfId="0" priority="100" operator="containsText" text="Problem">
      <formula>NOT(ISERROR(SEARCH(("Problem"),(I360))))</formula>
    </cfRule>
  </conditionalFormatting>
  <conditionalFormatting sqref="I360:I387">
    <cfRule type="containsText" dxfId="0" priority="101" operator="containsText" text="Problem">
      <formula>NOT(ISERROR(SEARCH(("Problem"),(I360))))</formula>
    </cfRule>
  </conditionalFormatting>
  <conditionalFormatting sqref="H772">
    <cfRule type="containsText" dxfId="0" priority="102" operator="containsText" text="Problem">
      <formula>NOT(ISERROR(SEARCH(("Problem"),(H772))))</formula>
    </cfRule>
  </conditionalFormatting>
  <conditionalFormatting sqref="H772">
    <cfRule type="containsText" dxfId="0" priority="103" operator="containsText" text="Problem">
      <formula>NOT(ISERROR(SEARCH(("Problem"),(H772))))</formula>
    </cfRule>
  </conditionalFormatting>
  <conditionalFormatting sqref="H772">
    <cfRule type="containsText" dxfId="0" priority="104" operator="containsText" text="Problem">
      <formula>NOT(ISERROR(SEARCH(("Problem"),(H772))))</formula>
    </cfRule>
  </conditionalFormatting>
  <conditionalFormatting sqref="A241:A296">
    <cfRule type="containsText" dxfId="0" priority="105" operator="containsText" text="Problem">
      <formula>NOT(ISERROR(SEARCH(("Problem"),(A241))))</formula>
    </cfRule>
  </conditionalFormatting>
  <conditionalFormatting sqref="A241:A296">
    <cfRule type="containsText" dxfId="0" priority="106" operator="containsText" text="Problem">
      <formula>NOT(ISERROR(SEARCH(("Problem"),(A241))))</formula>
    </cfRule>
  </conditionalFormatting>
  <conditionalFormatting sqref="A241:A296">
    <cfRule type="containsText" dxfId="0" priority="107" operator="containsText" text="Problem">
      <formula>NOT(ISERROR(SEARCH(("Problem"),(A241))))</formula>
    </cfRule>
  </conditionalFormatting>
  <conditionalFormatting sqref="C180 E180:I180">
    <cfRule type="containsText" dxfId="0" priority="108" operator="containsText" text="Problem">
      <formula>NOT(ISERROR(SEARCH(("Problem"),(C180))))</formula>
    </cfRule>
  </conditionalFormatting>
  <conditionalFormatting sqref="C180 E180:I180">
    <cfRule type="containsText" dxfId="0" priority="109" operator="containsText" text="Problem">
      <formula>NOT(ISERROR(SEARCH(("Problem"),(C180))))</formula>
    </cfRule>
  </conditionalFormatting>
  <conditionalFormatting sqref="C180 E180:I180">
    <cfRule type="containsText" dxfId="0" priority="110" operator="containsText" text="Problem">
      <formula>NOT(ISERROR(SEARCH(("Problem"),(C180))))</formula>
    </cfRule>
  </conditionalFormatting>
  <conditionalFormatting sqref="I477">
    <cfRule type="containsText" dxfId="0" priority="111" operator="containsText" text="Problem">
      <formula>NOT(ISERROR(SEARCH(("Problem"),(I477))))</formula>
    </cfRule>
  </conditionalFormatting>
  <conditionalFormatting sqref="I477">
    <cfRule type="containsText" dxfId="0" priority="112" operator="containsText" text="Problem">
      <formula>NOT(ISERROR(SEARCH(("Problem"),(I477))))</formula>
    </cfRule>
  </conditionalFormatting>
  <conditionalFormatting sqref="I477">
    <cfRule type="containsText" dxfId="0" priority="113" operator="containsText" text="Problem">
      <formula>NOT(ISERROR(SEARCH(("Problem"),(I477))))</formula>
    </cfRule>
  </conditionalFormatting>
  <conditionalFormatting sqref="A713:A768">
    <cfRule type="containsText" dxfId="0" priority="114" operator="containsText" text="Problem">
      <formula>NOT(ISERROR(SEARCH(("Problem"),(A713))))</formula>
    </cfRule>
  </conditionalFormatting>
  <conditionalFormatting sqref="A713:A768">
    <cfRule type="containsText" dxfId="0" priority="115" operator="containsText" text="Problem">
      <formula>NOT(ISERROR(SEARCH(("Problem"),(A713))))</formula>
    </cfRule>
  </conditionalFormatting>
  <conditionalFormatting sqref="A713:A768">
    <cfRule type="containsText" dxfId="0" priority="116" operator="containsText" text="Problem">
      <formula>NOT(ISERROR(SEARCH(("Problem"),(A713))))</formula>
    </cfRule>
  </conditionalFormatting>
  <conditionalFormatting sqref="B101:C101 B113:B116 B118:C119 C70:C100 C110:C116">
    <cfRule type="containsText" dxfId="0" priority="117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118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119" operator="containsText" text="Problem">
      <formula>NOT(ISERROR(SEARCH(("Problem"),(B101))))</formula>
    </cfRule>
  </conditionalFormatting>
  <conditionalFormatting sqref="D354:D355 E329:H355">
    <cfRule type="containsText" dxfId="0" priority="120" operator="containsText" text="Problem">
      <formula>NOT(ISERROR(SEARCH(("Problem"),(D354))))</formula>
    </cfRule>
  </conditionalFormatting>
  <conditionalFormatting sqref="D354:D355 E329:H355">
    <cfRule type="containsText" dxfId="0" priority="121" operator="containsText" text="Problem">
      <formula>NOT(ISERROR(SEARCH(("Problem"),(D354))))</formula>
    </cfRule>
  </conditionalFormatting>
  <conditionalFormatting sqref="D354:D355 E329:H355">
    <cfRule type="containsText" dxfId="0" priority="122" operator="containsText" text="Problem">
      <formula>NOT(ISERROR(SEARCH(("Problem"),(D354))))</formula>
    </cfRule>
  </conditionalFormatting>
  <conditionalFormatting sqref="H714:H741">
    <cfRule type="containsText" dxfId="0" priority="123" operator="containsText" text="Problem">
      <formula>NOT(ISERROR(SEARCH(("Problem"),(H714))))</formula>
    </cfRule>
  </conditionalFormatting>
  <conditionalFormatting sqref="H714:H741">
    <cfRule type="containsText" dxfId="0" priority="124" operator="containsText" text="Problem">
      <formula>NOT(ISERROR(SEARCH(("Problem"),(H714))))</formula>
    </cfRule>
  </conditionalFormatting>
  <conditionalFormatting sqref="H714:H741">
    <cfRule type="containsText" dxfId="0" priority="125" operator="containsText" text="Problem">
      <formula>NOT(ISERROR(SEARCH(("Problem"),(H714))))</formula>
    </cfRule>
  </conditionalFormatting>
  <conditionalFormatting sqref="A595:A650">
    <cfRule type="containsText" dxfId="0" priority="126" operator="containsText" text="Problem">
      <formula>NOT(ISERROR(SEARCH(("Problem"),(A595))))</formula>
    </cfRule>
  </conditionalFormatting>
  <conditionalFormatting sqref="A595:A650">
    <cfRule type="containsText" dxfId="0" priority="127" operator="containsText" text="Problem">
      <formula>NOT(ISERROR(SEARCH(("Problem"),(A595))))</formula>
    </cfRule>
  </conditionalFormatting>
  <conditionalFormatting sqref="A595:A650">
    <cfRule type="containsText" dxfId="0" priority="128" operator="containsText" text="Problem">
      <formula>NOT(ISERROR(SEARCH(("Problem"),(A595))))</formula>
    </cfRule>
  </conditionalFormatting>
  <conditionalFormatting sqref="E713">
    <cfRule type="containsText" dxfId="0" priority="129" operator="containsText" text="Problem">
      <formula>NOT(ISERROR(SEARCH(("Problem"),(E713))))</formula>
    </cfRule>
  </conditionalFormatting>
  <conditionalFormatting sqref="E713">
    <cfRule type="containsText" dxfId="0" priority="130" operator="containsText" text="Problem">
      <formula>NOT(ISERROR(SEARCH(("Problem"),(E713))))</formula>
    </cfRule>
  </conditionalFormatting>
  <conditionalFormatting sqref="E713">
    <cfRule type="containsText" dxfId="0" priority="131" operator="containsText" text="Problem">
      <formula>NOT(ISERROR(SEARCH(("Problem"),(E713))))</formula>
    </cfRule>
  </conditionalFormatting>
  <conditionalFormatting sqref="H5">
    <cfRule type="containsText" dxfId="0" priority="132" operator="containsText" text="Problem">
      <formula>NOT(ISERROR(SEARCH(("Problem"),(H5))))</formula>
    </cfRule>
  </conditionalFormatting>
  <conditionalFormatting sqref="H5">
    <cfRule type="containsText" dxfId="0" priority="133" operator="containsText" text="Problem">
      <formula>NOT(ISERROR(SEARCH(("Problem"),(H5))))</formula>
    </cfRule>
  </conditionalFormatting>
  <conditionalFormatting sqref="H5">
    <cfRule type="containsText" dxfId="0" priority="134" operator="containsText" text="Problem">
      <formula>NOT(ISERROR(SEARCH(("Problem"),(H5))))</formula>
    </cfRule>
  </conditionalFormatting>
  <conditionalFormatting sqref="D418">
    <cfRule type="containsText" dxfId="0" priority="135" operator="containsText" text="Problem">
      <formula>NOT(ISERROR(SEARCH(("Problem"),(D418))))</formula>
    </cfRule>
  </conditionalFormatting>
  <conditionalFormatting sqref="I124:I151">
    <cfRule type="containsText" dxfId="0" priority="136" operator="containsText" text="Problem">
      <formula>NOT(ISERROR(SEARCH(("Problem"),(I124))))</formula>
    </cfRule>
  </conditionalFormatting>
  <conditionalFormatting sqref="I124:I151">
    <cfRule type="containsText" dxfId="0" priority="137" operator="containsText" text="Problem">
      <formula>NOT(ISERROR(SEARCH(("Problem"),(I124))))</formula>
    </cfRule>
  </conditionalFormatting>
  <conditionalFormatting sqref="I124:I151">
    <cfRule type="containsText" dxfId="0" priority="138" operator="containsText" text="Problem">
      <formula>NOT(ISERROR(SEARCH(("Problem"),(I124))))</formula>
    </cfRule>
  </conditionalFormatting>
  <conditionalFormatting sqref="I124:I151">
    <cfRule type="containsText" dxfId="0" priority="139" operator="containsText" text="Problem">
      <formula>NOT(ISERROR(SEARCH(("Problem"),(I124))))</formula>
    </cfRule>
  </conditionalFormatting>
  <conditionalFormatting sqref="I65:I92">
    <cfRule type="containsText" dxfId="0" priority="140" operator="containsText" text="Problem">
      <formula>NOT(ISERROR(SEARCH(("Problem"),(I65))))</formula>
    </cfRule>
  </conditionalFormatting>
  <conditionalFormatting sqref="I65:I92">
    <cfRule type="containsText" dxfId="0" priority="141" operator="containsText" text="Problem">
      <formula>NOT(ISERROR(SEARCH(("Problem"),(I65))))</formula>
    </cfRule>
  </conditionalFormatting>
  <conditionalFormatting sqref="I65:I92">
    <cfRule type="containsText" dxfId="0" priority="142" operator="containsText" text="Problem">
      <formula>NOT(ISERROR(SEARCH(("Problem"),(I65))))</formula>
    </cfRule>
  </conditionalFormatting>
  <conditionalFormatting sqref="I65:I92">
    <cfRule type="containsText" dxfId="0" priority="143" operator="containsText" text="Problem">
      <formula>NOT(ISERROR(SEARCH(("Problem"),(I65))))</formula>
    </cfRule>
  </conditionalFormatting>
  <conditionalFormatting sqref="F241">
    <cfRule type="containsText" dxfId="0" priority="144" operator="containsText" text="Problem">
      <formula>NOT(ISERROR(SEARCH(("Problem"),(F241))))</formula>
    </cfRule>
  </conditionalFormatting>
  <conditionalFormatting sqref="F241">
    <cfRule type="containsText" dxfId="0" priority="145" operator="containsText" text="Problem">
      <formula>NOT(ISERROR(SEARCH(("Problem"),(F241))))</formula>
    </cfRule>
  </conditionalFormatting>
  <conditionalFormatting sqref="F241">
    <cfRule type="containsText" dxfId="0" priority="146" operator="containsText" text="Problem">
      <formula>NOT(ISERROR(SEARCH(("Problem"),(F241))))</formula>
    </cfRule>
  </conditionalFormatting>
  <conditionalFormatting sqref="D5">
    <cfRule type="containsText" dxfId="0" priority="147" operator="containsText" text="Problem">
      <formula>NOT(ISERROR(SEARCH(("Problem"),(D5))))</formula>
    </cfRule>
  </conditionalFormatting>
  <conditionalFormatting sqref="D5">
    <cfRule type="containsText" dxfId="0" priority="148" operator="containsText" text="Problem">
      <formula>NOT(ISERROR(SEARCH(("Problem"),(D5))))</formula>
    </cfRule>
  </conditionalFormatting>
  <conditionalFormatting sqref="D5">
    <cfRule type="containsText" dxfId="0" priority="149" operator="containsText" text="Problem">
      <formula>NOT(ISERROR(SEARCH(("Problem"),(D5))))</formula>
    </cfRule>
  </conditionalFormatting>
  <conditionalFormatting sqref="G182">
    <cfRule type="containsText" dxfId="0" priority="150" operator="containsText" text="Problem">
      <formula>NOT(ISERROR(SEARCH(("Problem"),(G182))))</formula>
    </cfRule>
  </conditionalFormatting>
  <conditionalFormatting sqref="G182">
    <cfRule type="containsText" dxfId="0" priority="151" operator="containsText" text="Problem">
      <formula>NOT(ISERROR(SEARCH(("Problem"),(G182))))</formula>
    </cfRule>
  </conditionalFormatting>
  <conditionalFormatting sqref="G182">
    <cfRule type="containsText" dxfId="0" priority="152" operator="containsText" text="Problem">
      <formula>NOT(ISERROR(SEARCH(("Problem"),(G182))))</formula>
    </cfRule>
  </conditionalFormatting>
  <conditionalFormatting sqref="G64">
    <cfRule type="containsText" dxfId="0" priority="153" operator="containsText" text="Problem">
      <formula>NOT(ISERROR(SEARCH(("Problem"),(G64))))</formula>
    </cfRule>
  </conditionalFormatting>
  <conditionalFormatting sqref="G64">
    <cfRule type="containsText" dxfId="0" priority="154" operator="containsText" text="Problem">
      <formula>NOT(ISERROR(SEARCH(("Problem"),(G64))))</formula>
    </cfRule>
  </conditionalFormatting>
  <conditionalFormatting sqref="G64">
    <cfRule type="containsText" dxfId="0" priority="155" operator="containsText" text="Problem">
      <formula>NOT(ISERROR(SEARCH(("Problem"),(G64))))</formula>
    </cfRule>
  </conditionalFormatting>
  <conditionalFormatting sqref="C711 E711:I711">
    <cfRule type="containsText" dxfId="0" priority="156" operator="containsText" text="Problem">
      <formula>NOT(ISERROR(SEARCH(("Problem"),(C711))))</formula>
    </cfRule>
  </conditionalFormatting>
  <conditionalFormatting sqref="C711 E711:I711">
    <cfRule type="containsText" dxfId="0" priority="157" operator="containsText" text="Problem">
      <formula>NOT(ISERROR(SEARCH(("Problem"),(C711))))</formula>
    </cfRule>
  </conditionalFormatting>
  <conditionalFormatting sqref="C711 E711:I711">
    <cfRule type="containsText" dxfId="0" priority="158" operator="containsText" text="Problem">
      <formula>NOT(ISERROR(SEARCH(("Problem"),(C711))))</formula>
    </cfRule>
  </conditionalFormatting>
  <conditionalFormatting sqref="F359">
    <cfRule type="containsText" dxfId="0" priority="159" operator="containsText" text="Problem">
      <formula>NOT(ISERROR(SEARCH(("Problem"),(F359))))</formula>
    </cfRule>
  </conditionalFormatting>
  <conditionalFormatting sqref="F359">
    <cfRule type="containsText" dxfId="0" priority="160" operator="containsText" text="Problem">
      <formula>NOT(ISERROR(SEARCH(("Problem"),(F359))))</formula>
    </cfRule>
  </conditionalFormatting>
  <conditionalFormatting sqref="F359">
    <cfRule type="containsText" dxfId="0" priority="161" operator="containsText" text="Problem">
      <formula>NOT(ISERROR(SEARCH(("Problem"),(F359))))</formula>
    </cfRule>
  </conditionalFormatting>
  <conditionalFormatting sqref="D472:D473 E447:H473">
    <cfRule type="containsText" dxfId="0" priority="162" operator="containsText" text="Problem">
      <formula>NOT(ISERROR(SEARCH(("Problem"),(D472))))</formula>
    </cfRule>
  </conditionalFormatting>
  <conditionalFormatting sqref="D472:D473 E447:H473">
    <cfRule type="containsText" dxfId="0" priority="163" operator="containsText" text="Problem">
      <formula>NOT(ISERROR(SEARCH(("Problem"),(D472))))</formula>
    </cfRule>
  </conditionalFormatting>
  <conditionalFormatting sqref="D472:D473 E447:H473">
    <cfRule type="containsText" dxfId="0" priority="164" operator="containsText" text="Problem">
      <formula>NOT(ISERROR(SEARCH(("Problem"),(D472))))</formula>
    </cfRule>
  </conditionalFormatting>
  <conditionalFormatting sqref="I241">
    <cfRule type="containsText" dxfId="0" priority="165" operator="containsText" text="Problem">
      <formula>NOT(ISERROR(SEARCH(("Problem"),(I241))))</formula>
    </cfRule>
  </conditionalFormatting>
  <conditionalFormatting sqref="I241">
    <cfRule type="containsText" dxfId="0" priority="166" operator="containsText" text="Problem">
      <formula>NOT(ISERROR(SEARCH(("Problem"),(I241))))</formula>
    </cfRule>
  </conditionalFormatting>
  <conditionalFormatting sqref="I241">
    <cfRule type="containsText" dxfId="0" priority="167" operator="containsText" text="Problem">
      <formula>NOT(ISERROR(SEARCH(("Problem"),(I241))))</formula>
    </cfRule>
  </conditionalFormatting>
  <conditionalFormatting sqref="E596:E623">
    <cfRule type="containsText" dxfId="0" priority="168" operator="containsText" text="Problem">
      <formula>NOT(ISERROR(SEARCH(("Problem"),(E596))))</formula>
    </cfRule>
  </conditionalFormatting>
  <conditionalFormatting sqref="E596:E623">
    <cfRule type="containsText" dxfId="0" priority="169" operator="containsText" text="Problem">
      <formula>NOT(ISERROR(SEARCH(("Problem"),(E596))))</formula>
    </cfRule>
  </conditionalFormatting>
  <conditionalFormatting sqref="E596:E623">
    <cfRule type="containsText" dxfId="0" priority="170" operator="containsText" text="Problem">
      <formula>NOT(ISERROR(SEARCH(("Problem"),(E596))))</formula>
    </cfRule>
  </conditionalFormatting>
  <conditionalFormatting sqref="D359">
    <cfRule type="containsText" dxfId="0" priority="171" operator="containsText" text="Problem">
      <formula>NOT(ISERROR(SEARCH(("Problem"),(D359))))</formula>
    </cfRule>
  </conditionalFormatting>
  <conditionalFormatting sqref="A239 J239:P239">
    <cfRule type="containsText" dxfId="0" priority="172" operator="containsText" text="Problem">
      <formula>NOT(ISERROR(SEARCH(("Problem"),(A239))))</formula>
    </cfRule>
  </conditionalFormatting>
  <conditionalFormatting sqref="A239 J239:P239">
    <cfRule type="containsText" dxfId="0" priority="173" operator="containsText" text="Problem">
      <formula>NOT(ISERROR(SEARCH(("Problem"),(A239))))</formula>
    </cfRule>
  </conditionalFormatting>
  <conditionalFormatting sqref="A239 J239:P239">
    <cfRule type="containsText" dxfId="0" priority="174" operator="containsText" text="Problem">
      <formula>NOT(ISERROR(SEARCH(("Problem"),(A239))))</formula>
    </cfRule>
  </conditionalFormatting>
  <conditionalFormatting sqref="E478:E505">
    <cfRule type="containsText" dxfId="0" priority="175" operator="containsText" text="Problem">
      <formula>NOT(ISERROR(SEARCH(("Problem"),(E478))))</formula>
    </cfRule>
  </conditionalFormatting>
  <conditionalFormatting sqref="E478:E505">
    <cfRule type="containsText" dxfId="0" priority="176" operator="containsText" text="Problem">
      <formula>NOT(ISERROR(SEARCH(("Problem"),(E478))))</formula>
    </cfRule>
  </conditionalFormatting>
  <conditionalFormatting sqref="E478:E505">
    <cfRule type="containsText" dxfId="0" priority="177" operator="containsText" text="Problem">
      <formula>NOT(ISERROR(SEARCH(("Problem"),(E478))))</formula>
    </cfRule>
  </conditionalFormatting>
  <conditionalFormatting sqref="A417:I417 A474:H474 I447:I474 J417:P474">
    <cfRule type="containsText" dxfId="0" priority="178" operator="containsText" text="Problem">
      <formula>NOT(ISERROR(SEARCH(("Problem"),(A417))))</formula>
    </cfRule>
  </conditionalFormatting>
  <conditionalFormatting sqref="A417:I417 A474:H474 I447:I474 J417:P474">
    <cfRule type="containsText" dxfId="0" priority="179" operator="containsText" text="Problem">
      <formula>NOT(ISERROR(SEARCH(("Problem"),(A417))))</formula>
    </cfRule>
  </conditionalFormatting>
  <conditionalFormatting sqref="A417:I417 A474:H474 I447:I474 J417:P474">
    <cfRule type="containsText" dxfId="0" priority="180" operator="containsText" text="Problem">
      <formula>NOT(ISERROR(SEARCH(("Problem"),(A417))))</formula>
    </cfRule>
  </conditionalFormatting>
  <conditionalFormatting sqref="B573:C573 B585:B588 B590:C591 C542:C572 C582:C588">
    <cfRule type="containsText" dxfId="0" priority="181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182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183" operator="containsText" text="Problem">
      <formula>NOT(ISERROR(SEARCH(("Problem"),(B573))))</formula>
    </cfRule>
  </conditionalFormatting>
  <conditionalFormatting sqref="A299:I299 A356:H356 I329:I356 J299:P356">
    <cfRule type="containsText" dxfId="0" priority="184" operator="containsText" text="Problem">
      <formula>NOT(ISERROR(SEARCH(("Problem"),(A299))))</formula>
    </cfRule>
  </conditionalFormatting>
  <conditionalFormatting sqref="A299:I299 A356:H356 I329:I356 J299:P356">
    <cfRule type="containsText" dxfId="0" priority="185" operator="containsText" text="Problem">
      <formula>NOT(ISERROR(SEARCH(("Problem"),(A299))))</formula>
    </cfRule>
  </conditionalFormatting>
  <conditionalFormatting sqref="A299:I299 A356:H356 I329:I356 J299:P356">
    <cfRule type="containsText" dxfId="0" priority="186" operator="containsText" text="Problem">
      <formula>NOT(ISERROR(SEARCH(("Problem"),(A299))))</formula>
    </cfRule>
  </conditionalFormatting>
  <conditionalFormatting sqref="F360:F387">
    <cfRule type="containsText" dxfId="0" priority="187" operator="containsText" text="Problem">
      <formula>NOT(ISERROR(SEARCH(("Problem"),(F360))))</formula>
    </cfRule>
  </conditionalFormatting>
  <conditionalFormatting sqref="F360:F387">
    <cfRule type="containsText" dxfId="0" priority="188" operator="containsText" text="Problem">
      <formula>NOT(ISERROR(SEARCH(("Problem"),(F360))))</formula>
    </cfRule>
  </conditionalFormatting>
  <conditionalFormatting sqref="F360:F387">
    <cfRule type="containsText" dxfId="0" priority="189" operator="containsText" text="Problem">
      <formula>NOT(ISERROR(SEARCH(("Problem"),(F360))))</formula>
    </cfRule>
  </conditionalFormatting>
  <conditionalFormatting sqref="G301:G328">
    <cfRule type="containsText" dxfId="0" priority="190" operator="containsText" text="Problem">
      <formula>NOT(ISERROR(SEARCH(("Problem"),(G301))))</formula>
    </cfRule>
  </conditionalFormatting>
  <conditionalFormatting sqref="G301:G328">
    <cfRule type="containsText" dxfId="0" priority="191" operator="containsText" text="Problem">
      <formula>NOT(ISERROR(SEARCH(("Problem"),(G301))))</formula>
    </cfRule>
  </conditionalFormatting>
  <conditionalFormatting sqref="G301:G328">
    <cfRule type="containsText" dxfId="0" priority="192" operator="containsText" text="Problem">
      <formula>NOT(ISERROR(SEARCH(("Problem"),(G301))))</formula>
    </cfRule>
  </conditionalFormatting>
  <conditionalFormatting sqref="G300">
    <cfRule type="containsText" dxfId="0" priority="193" operator="containsText" text="Problem">
      <formula>NOT(ISERROR(SEARCH(("Problem"),(G300))))</formula>
    </cfRule>
  </conditionalFormatting>
  <conditionalFormatting sqref="G300">
    <cfRule type="containsText" dxfId="0" priority="194" operator="containsText" text="Problem">
      <formula>NOT(ISERROR(SEARCH(("Problem"),(G300))))</formula>
    </cfRule>
  </conditionalFormatting>
  <conditionalFormatting sqref="G300">
    <cfRule type="containsText" dxfId="0" priority="195" operator="containsText" text="Problem">
      <formula>NOT(ISERROR(SEARCH(("Problem"),(G300))))</formula>
    </cfRule>
  </conditionalFormatting>
  <conditionalFormatting sqref="C829 E829:I829">
    <cfRule type="containsText" dxfId="0" priority="196" operator="containsText" text="Problem">
      <formula>NOT(ISERROR(SEARCH(("Problem"),(C829))))</formula>
    </cfRule>
  </conditionalFormatting>
  <conditionalFormatting sqref="C829 E829:I829">
    <cfRule type="containsText" dxfId="0" priority="197" operator="containsText" text="Problem">
      <formula>NOT(ISERROR(SEARCH(("Problem"),(C829))))</formula>
    </cfRule>
  </conditionalFormatting>
  <conditionalFormatting sqref="C829 E829:I829">
    <cfRule type="containsText" dxfId="0" priority="198" operator="containsText" text="Problem">
      <formula>NOT(ISERROR(SEARCH(("Problem"),(C829))))</formula>
    </cfRule>
  </conditionalFormatting>
  <conditionalFormatting sqref="I300">
    <cfRule type="containsText" dxfId="0" priority="199" operator="containsText" text="Problem">
      <formula>NOT(ISERROR(SEARCH(("Problem"),(I300))))</formula>
    </cfRule>
  </conditionalFormatting>
  <conditionalFormatting sqref="I300">
    <cfRule type="containsText" dxfId="0" priority="200" operator="containsText" text="Problem">
      <formula>NOT(ISERROR(SEARCH(("Problem"),(I300))))</formula>
    </cfRule>
  </conditionalFormatting>
  <conditionalFormatting sqref="I300">
    <cfRule type="containsText" dxfId="0" priority="201" operator="containsText" text="Problem">
      <formula>NOT(ISERROR(SEARCH(("Problem"),(I300))))</formula>
    </cfRule>
  </conditionalFormatting>
  <conditionalFormatting sqref="F654">
    <cfRule type="containsText" dxfId="0" priority="202" operator="containsText" text="Problem">
      <formula>NOT(ISERROR(SEARCH(("Problem"),(F654))))</formula>
    </cfRule>
  </conditionalFormatting>
  <conditionalFormatting sqref="F654">
    <cfRule type="containsText" dxfId="0" priority="203" operator="containsText" text="Problem">
      <formula>NOT(ISERROR(SEARCH(("Problem"),(F654))))</formula>
    </cfRule>
  </conditionalFormatting>
  <conditionalFormatting sqref="F654">
    <cfRule type="containsText" dxfId="0" priority="204" operator="containsText" text="Problem">
      <formula>NOT(ISERROR(SEARCH(("Problem"),(F654))))</formula>
    </cfRule>
  </conditionalFormatting>
  <conditionalFormatting sqref="I714:I741">
    <cfRule type="containsText" dxfId="0" priority="205" operator="containsText" text="Problem">
      <formula>NOT(ISERROR(SEARCH(("Problem"),(I714))))</formula>
    </cfRule>
  </conditionalFormatting>
  <conditionalFormatting sqref="I714:I741">
    <cfRule type="containsText" dxfId="0" priority="206" operator="containsText" text="Problem">
      <formula>NOT(ISERROR(SEARCH(("Problem"),(I714))))</formula>
    </cfRule>
  </conditionalFormatting>
  <conditionalFormatting sqref="I714:I741">
    <cfRule type="containsText" dxfId="0" priority="207" operator="containsText" text="Problem">
      <formula>NOT(ISERROR(SEARCH(("Problem"),(I714))))</formula>
    </cfRule>
  </conditionalFormatting>
  <conditionalFormatting sqref="I714:I741">
    <cfRule type="containsText" dxfId="0" priority="208" operator="containsText" text="Problem">
      <formula>NOT(ISERROR(SEARCH(("Problem"),(I714))))</formula>
    </cfRule>
  </conditionalFormatting>
  <conditionalFormatting sqref="B750:C750 B762:B765 B767:C768 C719:C749 C759:C765">
    <cfRule type="containsText" dxfId="0" priority="209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210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211" operator="containsText" text="Problem">
      <formula>NOT(ISERROR(SEARCH(("Problem"),(B750))))</formula>
    </cfRule>
  </conditionalFormatting>
  <conditionalFormatting sqref="A63:I63 A120:H120 I93:I120 J63:P120">
    <cfRule type="containsText" dxfId="0" priority="212" operator="containsText" text="Problem">
      <formula>NOT(ISERROR(SEARCH(("Problem"),(A63))))</formula>
    </cfRule>
  </conditionalFormatting>
  <conditionalFormatting sqref="A63:I63 A120:H120 I93:I120 J63:P120">
    <cfRule type="containsText" dxfId="0" priority="213" operator="containsText" text="Problem">
      <formula>NOT(ISERROR(SEARCH(("Problem"),(A63))))</formula>
    </cfRule>
  </conditionalFormatting>
  <conditionalFormatting sqref="A63:I63 A120:H120 I93:I120 J63:P120">
    <cfRule type="containsText" dxfId="0" priority="214" operator="containsText" text="Problem">
      <formula>NOT(ISERROR(SEARCH(("Problem"),(A63))))</formula>
    </cfRule>
  </conditionalFormatting>
  <conditionalFormatting sqref="H713">
    <cfRule type="containsText" dxfId="0" priority="215" operator="containsText" text="Problem">
      <formula>NOT(ISERROR(SEARCH(("Problem"),(H713))))</formula>
    </cfRule>
  </conditionalFormatting>
  <conditionalFormatting sqref="H713">
    <cfRule type="containsText" dxfId="0" priority="216" operator="containsText" text="Problem">
      <formula>NOT(ISERROR(SEARCH(("Problem"),(H713))))</formula>
    </cfRule>
  </conditionalFormatting>
  <conditionalFormatting sqref="H713">
    <cfRule type="containsText" dxfId="0" priority="217" operator="containsText" text="Problem">
      <formula>NOT(ISERROR(SEARCH(("Problem"),(H713))))</formula>
    </cfRule>
  </conditionalFormatting>
  <conditionalFormatting sqref="D714:D741">
    <cfRule type="containsText" dxfId="0" priority="218" operator="containsText" text="Problem">
      <formula>NOT(ISERROR(SEARCH(("Problem"),(D714))))</formula>
    </cfRule>
  </conditionalFormatting>
  <conditionalFormatting sqref="D714:D741">
    <cfRule type="containsText" dxfId="0" priority="219" operator="containsText" text="Problem">
      <formula>NOT(ISERROR(SEARCH(("Problem"),(D714))))</formula>
    </cfRule>
  </conditionalFormatting>
  <conditionalFormatting sqref="D714:D741">
    <cfRule type="containsText" dxfId="0" priority="220" operator="containsText" text="Problem">
      <formula>NOT(ISERROR(SEARCH(("Problem"),(D714))))</formula>
    </cfRule>
  </conditionalFormatting>
  <conditionalFormatting sqref="F6:F34">
    <cfRule type="containsText" dxfId="0" priority="221" operator="containsText" text="Problem">
      <formula>NOT(ISERROR(SEARCH(("Problem"),(F6))))</formula>
    </cfRule>
  </conditionalFormatting>
  <conditionalFormatting sqref="F6:F34">
    <cfRule type="containsText" dxfId="0" priority="222" operator="containsText" text="Problem">
      <formula>NOT(ISERROR(SEARCH(("Problem"),(F6))))</formula>
    </cfRule>
  </conditionalFormatting>
  <conditionalFormatting sqref="F6:F34">
    <cfRule type="containsText" dxfId="0" priority="223" operator="containsText" text="Problem">
      <formula>NOT(ISERROR(SEARCH(("Problem"),(F6))))</formula>
    </cfRule>
  </conditionalFormatting>
  <conditionalFormatting sqref="G655:G682">
    <cfRule type="containsText" dxfId="0" priority="224" operator="containsText" text="Problem">
      <formula>NOT(ISERROR(SEARCH(("Problem"),(G655))))</formula>
    </cfRule>
  </conditionalFormatting>
  <conditionalFormatting sqref="G655:G682">
    <cfRule type="containsText" dxfId="0" priority="225" operator="containsText" text="Problem">
      <formula>NOT(ISERROR(SEARCH(("Problem"),(G655))))</formula>
    </cfRule>
  </conditionalFormatting>
  <conditionalFormatting sqref="G655:G682">
    <cfRule type="containsText" dxfId="0" priority="226" operator="containsText" text="Problem">
      <formula>NOT(ISERROR(SEARCH(("Problem"),(G655))))</formula>
    </cfRule>
  </conditionalFormatting>
  <conditionalFormatting sqref="D860:D884">
    <cfRule type="containsText" dxfId="0" priority="227" operator="containsText" text="Problem">
      <formula>NOT(ISERROR(SEARCH(("Problem"),(D860))))</formula>
    </cfRule>
  </conditionalFormatting>
  <conditionalFormatting sqref="D860:D884">
    <cfRule type="containsText" dxfId="0" priority="228" operator="containsText" text="Problem">
      <formula>NOT(ISERROR(SEARCH(("Problem"),(D860))))</formula>
    </cfRule>
  </conditionalFormatting>
  <conditionalFormatting sqref="D742:D766">
    <cfRule type="containsText" dxfId="0" priority="229" operator="containsText" text="Problem">
      <formula>NOT(ISERROR(SEARCH(("Problem"),(D742))))</formula>
    </cfRule>
  </conditionalFormatting>
  <conditionalFormatting sqref="D742:D766">
    <cfRule type="containsText" dxfId="0" priority="230" operator="containsText" text="Problem">
      <formula>NOT(ISERROR(SEARCH(("Problem"),(D742))))</formula>
    </cfRule>
  </conditionalFormatting>
  <conditionalFormatting sqref="D124:D151">
    <cfRule type="containsText" dxfId="0" priority="231" operator="containsText" text="Problem">
      <formula>NOT(ISERROR(SEARCH(("Problem"),(D124))))</formula>
    </cfRule>
  </conditionalFormatting>
  <conditionalFormatting sqref="D124:D151">
    <cfRule type="containsText" dxfId="0" priority="232" operator="containsText" text="Problem">
      <formula>NOT(ISERROR(SEARCH(("Problem"),(D124))))</formula>
    </cfRule>
  </conditionalFormatting>
  <conditionalFormatting sqref="D124:D151">
    <cfRule type="containsText" dxfId="0" priority="233" operator="containsText" text="Problem">
      <formula>NOT(ISERROR(SEARCH(("Problem"),(D124))))</formula>
    </cfRule>
  </conditionalFormatting>
  <conditionalFormatting sqref="A357 J357:P357">
    <cfRule type="containsText" dxfId="0" priority="234" operator="containsText" text="Problem">
      <formula>NOT(ISERROR(SEARCH(("Problem"),(A357))))</formula>
    </cfRule>
  </conditionalFormatting>
  <conditionalFormatting sqref="A357 J357:P357">
    <cfRule type="containsText" dxfId="0" priority="235" operator="containsText" text="Problem">
      <formula>NOT(ISERROR(SEARCH(("Problem"),(A357))))</formula>
    </cfRule>
  </conditionalFormatting>
  <conditionalFormatting sqref="A357 J357:P357">
    <cfRule type="containsText" dxfId="0" priority="236" operator="containsText" text="Problem">
      <formula>NOT(ISERROR(SEARCH(("Problem"),(A357))))</formula>
    </cfRule>
  </conditionalFormatting>
  <conditionalFormatting sqref="A593 J593:P593">
    <cfRule type="containsText" dxfId="0" priority="237" operator="containsText" text="Problem">
      <formula>NOT(ISERROR(SEARCH(("Problem"),(A593))))</formula>
    </cfRule>
  </conditionalFormatting>
  <conditionalFormatting sqref="A593 J593:P593">
    <cfRule type="containsText" dxfId="0" priority="238" operator="containsText" text="Problem">
      <formula>NOT(ISERROR(SEARCH(("Problem"),(A593))))</formula>
    </cfRule>
  </conditionalFormatting>
  <conditionalFormatting sqref="A593 J593:P593">
    <cfRule type="containsText" dxfId="0" priority="239" operator="containsText" text="Problem">
      <formula>NOT(ISERROR(SEARCH(("Problem"),(A593))))</formula>
    </cfRule>
  </conditionalFormatting>
  <conditionalFormatting sqref="E182">
    <cfRule type="containsText" dxfId="0" priority="240" operator="containsText" text="Problem">
      <formula>NOT(ISERROR(SEARCH(("Problem"),(E182))))</formula>
    </cfRule>
  </conditionalFormatting>
  <conditionalFormatting sqref="E182">
    <cfRule type="containsText" dxfId="0" priority="241" operator="containsText" text="Problem">
      <formula>NOT(ISERROR(SEARCH(("Problem"),(E182))))</formula>
    </cfRule>
  </conditionalFormatting>
  <conditionalFormatting sqref="E182">
    <cfRule type="containsText" dxfId="0" priority="242" operator="containsText" text="Problem">
      <formula>NOT(ISERROR(SEARCH(("Problem"),(E182))))</formula>
    </cfRule>
  </conditionalFormatting>
  <conditionalFormatting sqref="C888">
    <cfRule type="containsText" dxfId="0" priority="243" operator="containsText" text="Problem">
      <formula>NOT(ISERROR(SEARCH(("Problem"),(C888))))</formula>
    </cfRule>
  </conditionalFormatting>
  <conditionalFormatting sqref="C888">
    <cfRule type="containsText" dxfId="0" priority="244" operator="containsText" text="Problem">
      <formula>NOT(ISERROR(SEARCH(("Problem"),(C888))))</formula>
    </cfRule>
  </conditionalFormatting>
  <conditionalFormatting sqref="C888">
    <cfRule type="containsText" dxfId="0" priority="245" operator="containsText" text="Problem">
      <formula>NOT(ISERROR(SEARCH(("Problem"),(C888))))</formula>
    </cfRule>
  </conditionalFormatting>
  <conditionalFormatting sqref="G241">
    <cfRule type="containsText" dxfId="0" priority="246" operator="containsText" text="Problem">
      <formula>NOT(ISERROR(SEARCH(("Problem"),(G241))))</formula>
    </cfRule>
  </conditionalFormatting>
  <conditionalFormatting sqref="G241">
    <cfRule type="containsText" dxfId="0" priority="247" operator="containsText" text="Problem">
      <formula>NOT(ISERROR(SEARCH(("Problem"),(G241))))</formula>
    </cfRule>
  </conditionalFormatting>
  <conditionalFormatting sqref="G241">
    <cfRule type="containsText" dxfId="0" priority="248" operator="containsText" text="Problem">
      <formula>NOT(ISERROR(SEARCH(("Problem"),(G241))))</formula>
    </cfRule>
  </conditionalFormatting>
  <conditionalFormatting sqref="D295:D296 E270:H296">
    <cfRule type="containsText" dxfId="0" priority="249" operator="containsText" text="Problem">
      <formula>NOT(ISERROR(SEARCH(("Problem"),(D295))))</formula>
    </cfRule>
  </conditionalFormatting>
  <conditionalFormatting sqref="D295:D296 E270:H296">
    <cfRule type="containsText" dxfId="0" priority="250" operator="containsText" text="Problem">
      <formula>NOT(ISERROR(SEARCH(("Problem"),(D295))))</formula>
    </cfRule>
  </conditionalFormatting>
  <conditionalFormatting sqref="D295:D296 E270:H296">
    <cfRule type="containsText" dxfId="0" priority="251" operator="containsText" text="Problem">
      <formula>NOT(ISERROR(SEARCH(("Problem"),(D295))))</formula>
    </cfRule>
  </conditionalFormatting>
  <conditionalFormatting sqref="A182:A237">
    <cfRule type="containsText" dxfId="0" priority="252" operator="containsText" text="Problem">
      <formula>NOT(ISERROR(SEARCH(("Problem"),(A182))))</formula>
    </cfRule>
  </conditionalFormatting>
  <conditionalFormatting sqref="A182:A237">
    <cfRule type="containsText" dxfId="0" priority="253" operator="containsText" text="Problem">
      <formula>NOT(ISERROR(SEARCH(("Problem"),(A182))))</formula>
    </cfRule>
  </conditionalFormatting>
  <conditionalFormatting sqref="A182:A237">
    <cfRule type="containsText" dxfId="0" priority="254" operator="containsText" text="Problem">
      <formula>NOT(ISERROR(SEARCH(("Problem"),(A182))))</formula>
    </cfRule>
  </conditionalFormatting>
  <conditionalFormatting sqref="D537:D564">
    <cfRule type="containsText" dxfId="0" priority="255" operator="containsText" text="Problem">
      <formula>NOT(ISERROR(SEARCH(("Problem"),(D537))))</formula>
    </cfRule>
  </conditionalFormatting>
  <conditionalFormatting sqref="D537:D564">
    <cfRule type="containsText" dxfId="0" priority="256" operator="containsText" text="Problem">
      <formula>NOT(ISERROR(SEARCH(("Problem"),(D537))))</formula>
    </cfRule>
  </conditionalFormatting>
  <conditionalFormatting sqref="D537:D564">
    <cfRule type="containsText" dxfId="0" priority="257" operator="containsText" text="Problem">
      <formula>NOT(ISERROR(SEARCH(("Problem"),(D537))))</formula>
    </cfRule>
  </conditionalFormatting>
  <conditionalFormatting sqref="F182">
    <cfRule type="containsText" dxfId="0" priority="258" operator="containsText" text="Problem">
      <formula>NOT(ISERROR(SEARCH(("Problem"),(F182))))</formula>
    </cfRule>
  </conditionalFormatting>
  <conditionalFormatting sqref="F182">
    <cfRule type="containsText" dxfId="0" priority="259" operator="containsText" text="Problem">
      <formula>NOT(ISERROR(SEARCH(("Problem"),(F182))))</formula>
    </cfRule>
  </conditionalFormatting>
  <conditionalFormatting sqref="F182">
    <cfRule type="containsText" dxfId="0" priority="260" operator="containsText" text="Problem">
      <formula>NOT(ISERROR(SEARCH(("Problem"),(F182))))</formula>
    </cfRule>
  </conditionalFormatting>
  <conditionalFormatting sqref="I832:I859">
    <cfRule type="containsText" dxfId="0" priority="261" operator="containsText" text="Problem">
      <formula>NOT(ISERROR(SEARCH(("Problem"),(I832))))</formula>
    </cfRule>
  </conditionalFormatting>
  <conditionalFormatting sqref="I832:I859">
    <cfRule type="containsText" dxfId="0" priority="262" operator="containsText" text="Problem">
      <formula>NOT(ISERROR(SEARCH(("Problem"),(I832))))</formula>
    </cfRule>
  </conditionalFormatting>
  <conditionalFormatting sqref="I832:I859">
    <cfRule type="containsText" dxfId="0" priority="263" operator="containsText" text="Problem">
      <formula>NOT(ISERROR(SEARCH(("Problem"),(I832))))</formula>
    </cfRule>
  </conditionalFormatting>
  <conditionalFormatting sqref="I832:I859">
    <cfRule type="containsText" dxfId="0" priority="264" operator="containsText" text="Problem">
      <formula>NOT(ISERROR(SEARCH(("Problem"),(I832))))</formula>
    </cfRule>
  </conditionalFormatting>
  <conditionalFormatting sqref="I419:I446">
    <cfRule type="containsText" dxfId="0" priority="265" operator="containsText" text="Problem">
      <formula>NOT(ISERROR(SEARCH(("Problem"),(I419))))</formula>
    </cfRule>
  </conditionalFormatting>
  <conditionalFormatting sqref="I419:I446">
    <cfRule type="containsText" dxfId="0" priority="266" operator="containsText" text="Problem">
      <formula>NOT(ISERROR(SEARCH(("Problem"),(I419))))</formula>
    </cfRule>
  </conditionalFormatting>
  <conditionalFormatting sqref="I419:I446">
    <cfRule type="containsText" dxfId="0" priority="267" operator="containsText" text="Problem">
      <formula>NOT(ISERROR(SEARCH(("Problem"),(I419))))</formula>
    </cfRule>
  </conditionalFormatting>
  <conditionalFormatting sqref="I419:I446">
    <cfRule type="containsText" dxfId="0" priority="268" operator="containsText" text="Problem">
      <formula>NOT(ISERROR(SEARCH(("Problem"),(I419))))</formula>
    </cfRule>
  </conditionalFormatting>
  <conditionalFormatting sqref="F301:F328">
    <cfRule type="containsText" dxfId="0" priority="269" operator="containsText" text="Problem">
      <formula>NOT(ISERROR(SEARCH(("Problem"),(F301))))</formula>
    </cfRule>
  </conditionalFormatting>
  <conditionalFormatting sqref="F301:F328">
    <cfRule type="containsText" dxfId="0" priority="270" operator="containsText" text="Problem">
      <formula>NOT(ISERROR(SEARCH(("Problem"),(F301))))</formula>
    </cfRule>
  </conditionalFormatting>
  <conditionalFormatting sqref="F301:F328">
    <cfRule type="containsText" dxfId="0" priority="271" operator="containsText" text="Problem">
      <formula>NOT(ISERROR(SEARCH(("Problem"),(F301))))</formula>
    </cfRule>
  </conditionalFormatting>
  <conditionalFormatting sqref="B514:C514 B526:B529 B531:C532 C483:C513 C523:C529">
    <cfRule type="containsText" dxfId="0" priority="272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273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274" operator="containsText" text="Problem">
      <formula>NOT(ISERROR(SEARCH(("Problem"),(B514))))</formula>
    </cfRule>
  </conditionalFormatting>
  <conditionalFormatting sqref="I654">
    <cfRule type="containsText" dxfId="0" priority="275" operator="containsText" text="Problem">
      <formula>NOT(ISERROR(SEARCH(("Problem"),(I654))))</formula>
    </cfRule>
  </conditionalFormatting>
  <conditionalFormatting sqref="I654">
    <cfRule type="containsText" dxfId="0" priority="276" operator="containsText" text="Problem">
      <formula>NOT(ISERROR(SEARCH(("Problem"),(I654))))</formula>
    </cfRule>
  </conditionalFormatting>
  <conditionalFormatting sqref="I654">
    <cfRule type="containsText" dxfId="0" priority="277" operator="containsText" text="Problem">
      <formula>NOT(ISERROR(SEARCH(("Problem"),(I654))))</formula>
    </cfRule>
  </conditionalFormatting>
  <conditionalFormatting sqref="I655:I682">
    <cfRule type="containsText" dxfId="0" priority="278" operator="containsText" text="Problem">
      <formula>NOT(ISERROR(SEARCH(("Problem"),(I655))))</formula>
    </cfRule>
  </conditionalFormatting>
  <conditionalFormatting sqref="I655:I682">
    <cfRule type="containsText" dxfId="0" priority="279" operator="containsText" text="Problem">
      <formula>NOT(ISERROR(SEARCH(("Problem"),(I655))))</formula>
    </cfRule>
  </conditionalFormatting>
  <conditionalFormatting sqref="I655:I682">
    <cfRule type="containsText" dxfId="0" priority="280" operator="containsText" text="Problem">
      <formula>NOT(ISERROR(SEARCH(("Problem"),(I655))))</formula>
    </cfRule>
  </conditionalFormatting>
  <conditionalFormatting sqref="I655:I682">
    <cfRule type="containsText" dxfId="0" priority="281" operator="containsText" text="Problem">
      <formula>NOT(ISERROR(SEARCH(("Problem"),(I655))))</formula>
    </cfRule>
  </conditionalFormatting>
  <conditionalFormatting sqref="D596:D623">
    <cfRule type="containsText" dxfId="0" priority="282" operator="containsText" text="Problem">
      <formula>NOT(ISERROR(SEARCH(("Problem"),(D596))))</formula>
    </cfRule>
  </conditionalFormatting>
  <conditionalFormatting sqref="D596:D623">
    <cfRule type="containsText" dxfId="0" priority="283" operator="containsText" text="Problem">
      <formula>NOT(ISERROR(SEARCH(("Problem"),(D596))))</formula>
    </cfRule>
  </conditionalFormatting>
  <conditionalFormatting sqref="D596:D623">
    <cfRule type="containsText" dxfId="0" priority="284" operator="containsText" text="Problem">
      <formula>NOT(ISERROR(SEARCH(("Problem"),(D596))))</formula>
    </cfRule>
  </conditionalFormatting>
  <conditionalFormatting sqref="C416 E416:I416">
    <cfRule type="containsText" dxfId="0" priority="285" operator="containsText" text="Problem">
      <formula>NOT(ISERROR(SEARCH(("Problem"),(C416))))</formula>
    </cfRule>
  </conditionalFormatting>
  <conditionalFormatting sqref="C416 E416:I416">
    <cfRule type="containsText" dxfId="0" priority="286" operator="containsText" text="Problem">
      <formula>NOT(ISERROR(SEARCH(("Problem"),(C416))))</formula>
    </cfRule>
  </conditionalFormatting>
  <conditionalFormatting sqref="C416 E416:I416">
    <cfRule type="containsText" dxfId="0" priority="287" operator="containsText" text="Problem">
      <formula>NOT(ISERROR(SEARCH(("Problem"),(C416))))</formula>
    </cfRule>
  </conditionalFormatting>
  <conditionalFormatting sqref="G242:G269">
    <cfRule type="containsText" dxfId="0" priority="288" operator="containsText" text="Problem">
      <formula>NOT(ISERROR(SEARCH(("Problem"),(G242))))</formula>
    </cfRule>
  </conditionalFormatting>
  <conditionalFormatting sqref="G242:G269">
    <cfRule type="containsText" dxfId="0" priority="289" operator="containsText" text="Problem">
      <formula>NOT(ISERROR(SEARCH(("Problem"),(G242))))</formula>
    </cfRule>
  </conditionalFormatting>
  <conditionalFormatting sqref="G242:G269">
    <cfRule type="containsText" dxfId="0" priority="290" operator="containsText" text="Problem">
      <formula>NOT(ISERROR(SEARCH(("Problem"),(G242))))</formula>
    </cfRule>
  </conditionalFormatting>
  <conditionalFormatting sqref="I478:I505">
    <cfRule type="containsText" dxfId="0" priority="291" operator="containsText" text="Problem">
      <formula>NOT(ISERROR(SEARCH(("Problem"),(I478))))</formula>
    </cfRule>
  </conditionalFormatting>
  <conditionalFormatting sqref="I478:I505">
    <cfRule type="containsText" dxfId="0" priority="292" operator="containsText" text="Problem">
      <formula>NOT(ISERROR(SEARCH(("Problem"),(I478))))</formula>
    </cfRule>
  </conditionalFormatting>
  <conditionalFormatting sqref="I478:I505">
    <cfRule type="containsText" dxfId="0" priority="293" operator="containsText" text="Problem">
      <formula>NOT(ISERROR(SEARCH(("Problem"),(I478))))</formula>
    </cfRule>
  </conditionalFormatting>
  <conditionalFormatting sqref="I478:I505">
    <cfRule type="containsText" dxfId="0" priority="294" operator="containsText" text="Problem">
      <formula>NOT(ISERROR(SEARCH(("Problem"),(I478))))</formula>
    </cfRule>
  </conditionalFormatting>
  <conditionalFormatting sqref="D801:D825">
    <cfRule type="containsText" dxfId="0" priority="295" operator="containsText" text="Problem">
      <formula>NOT(ISERROR(SEARCH(("Problem"),(D801))))</formula>
    </cfRule>
  </conditionalFormatting>
  <conditionalFormatting sqref="D801:D825">
    <cfRule type="containsText" dxfId="0" priority="296" operator="containsText" text="Problem">
      <formula>NOT(ISERROR(SEARCH(("Problem"),(D801))))</formula>
    </cfRule>
  </conditionalFormatting>
  <conditionalFormatting sqref="D565:D589">
    <cfRule type="containsText" dxfId="0" priority="297" operator="containsText" text="Problem">
      <formula>NOT(ISERROR(SEARCH(("Problem"),(D565))))</formula>
    </cfRule>
  </conditionalFormatting>
  <conditionalFormatting sqref="D565:D589">
    <cfRule type="containsText" dxfId="0" priority="298" operator="containsText" text="Problem">
      <formula>NOT(ISERROR(SEARCH(("Problem"),(D565))))</formula>
    </cfRule>
  </conditionalFormatting>
  <conditionalFormatting sqref="I536">
    <cfRule type="containsText" dxfId="0" priority="299" operator="containsText" text="Problem">
      <formula>NOT(ISERROR(SEARCH(("Problem"),(I536))))</formula>
    </cfRule>
  </conditionalFormatting>
  <conditionalFormatting sqref="I536">
    <cfRule type="containsText" dxfId="0" priority="300" operator="containsText" text="Problem">
      <formula>NOT(ISERROR(SEARCH(("Problem"),(I536))))</formula>
    </cfRule>
  </conditionalFormatting>
  <conditionalFormatting sqref="I536">
    <cfRule type="containsText" dxfId="0" priority="301" operator="containsText" text="Problem">
      <formula>NOT(ISERROR(SEARCH(("Problem"),(I536))))</formula>
    </cfRule>
  </conditionalFormatting>
  <conditionalFormatting sqref="H241">
    <cfRule type="containsText" dxfId="0" priority="302" operator="containsText" text="Problem">
      <formula>NOT(ISERROR(SEARCH(("Problem"),(H241))))</formula>
    </cfRule>
  </conditionalFormatting>
  <conditionalFormatting sqref="H241">
    <cfRule type="containsText" dxfId="0" priority="303" operator="containsText" text="Problem">
      <formula>NOT(ISERROR(SEARCH(("Problem"),(H241))))</formula>
    </cfRule>
  </conditionalFormatting>
  <conditionalFormatting sqref="H241">
    <cfRule type="containsText" dxfId="0" priority="304" operator="containsText" text="Problem">
      <formula>NOT(ISERROR(SEARCH(("Problem"),(H241))))</formula>
    </cfRule>
  </conditionalFormatting>
  <conditionalFormatting sqref="F419:F446">
    <cfRule type="containsText" dxfId="0" priority="305" operator="containsText" text="Problem">
      <formula>NOT(ISERROR(SEARCH(("Problem"),(F419))))</formula>
    </cfRule>
  </conditionalFormatting>
  <conditionalFormatting sqref="F419:F446">
    <cfRule type="containsText" dxfId="0" priority="306" operator="containsText" text="Problem">
      <formula>NOT(ISERROR(SEARCH(("Problem"),(F419))))</formula>
    </cfRule>
  </conditionalFormatting>
  <conditionalFormatting sqref="F419:F446">
    <cfRule type="containsText" dxfId="0" priority="307" operator="containsText" text="Problem">
      <formula>NOT(ISERROR(SEARCH(("Problem"),(F419))))</formula>
    </cfRule>
  </conditionalFormatting>
  <conditionalFormatting sqref="H6:H34">
    <cfRule type="containsText" dxfId="0" priority="308" operator="containsText" text="Problem">
      <formula>NOT(ISERROR(SEARCH(("Problem"),(H6))))</formula>
    </cfRule>
  </conditionalFormatting>
  <conditionalFormatting sqref="H6:H34">
    <cfRule type="containsText" dxfId="0" priority="309" operator="containsText" text="Problem">
      <formula>NOT(ISERROR(SEARCH(("Problem"),(H6))))</formula>
    </cfRule>
  </conditionalFormatting>
  <conditionalFormatting sqref="H6:H34">
    <cfRule type="containsText" dxfId="0" priority="310" operator="containsText" text="Problem">
      <formula>NOT(ISERROR(SEARCH(("Problem"),(H6))))</formula>
    </cfRule>
  </conditionalFormatting>
  <conditionalFormatting sqref="E123">
    <cfRule type="containsText" dxfId="0" priority="311" operator="containsText" text="Problem">
      <formula>NOT(ISERROR(SEARCH(("Problem"),(E123))))</formula>
    </cfRule>
  </conditionalFormatting>
  <conditionalFormatting sqref="E123">
    <cfRule type="containsText" dxfId="0" priority="312" operator="containsText" text="Problem">
      <formula>NOT(ISERROR(SEARCH(("Problem"),(E123))))</formula>
    </cfRule>
  </conditionalFormatting>
  <conditionalFormatting sqref="E123">
    <cfRule type="containsText" dxfId="0" priority="313" operator="containsText" text="Problem">
      <formula>NOT(ISERROR(SEARCH(("Problem"),(E123))))</formula>
    </cfRule>
  </conditionalFormatting>
  <conditionalFormatting sqref="E832:E859">
    <cfRule type="containsText" dxfId="0" priority="314" operator="containsText" text="Problem">
      <formula>NOT(ISERROR(SEARCH(("Problem"),(E832))))</formula>
    </cfRule>
  </conditionalFormatting>
  <conditionalFormatting sqref="E832:E859">
    <cfRule type="containsText" dxfId="0" priority="315" operator="containsText" text="Problem">
      <formula>NOT(ISERROR(SEARCH(("Problem"),(E832))))</formula>
    </cfRule>
  </conditionalFormatting>
  <conditionalFormatting sqref="E832:E859">
    <cfRule type="containsText" dxfId="0" priority="316" operator="containsText" text="Problem">
      <formula>NOT(ISERROR(SEARCH(("Problem"),(E832))))</formula>
    </cfRule>
  </conditionalFormatting>
  <conditionalFormatting sqref="I183:I210">
    <cfRule type="containsText" dxfId="0" priority="317" operator="containsText" text="Problem">
      <formula>NOT(ISERROR(SEARCH(("Problem"),(I183))))</formula>
    </cfRule>
  </conditionalFormatting>
  <conditionalFormatting sqref="I183:I210">
    <cfRule type="containsText" dxfId="0" priority="318" operator="containsText" text="Problem">
      <formula>NOT(ISERROR(SEARCH(("Problem"),(I183))))</formula>
    </cfRule>
  </conditionalFormatting>
  <conditionalFormatting sqref="I183:I210">
    <cfRule type="containsText" dxfId="0" priority="319" operator="containsText" text="Problem">
      <formula>NOT(ISERROR(SEARCH(("Problem"),(I183))))</formula>
    </cfRule>
  </conditionalFormatting>
  <conditionalFormatting sqref="I183:I210">
    <cfRule type="containsText" dxfId="0" priority="320" operator="containsText" text="Problem">
      <formula>NOT(ISERROR(SEARCH(("Problem"),(I183))))</formula>
    </cfRule>
  </conditionalFormatting>
  <conditionalFormatting sqref="G772">
    <cfRule type="containsText" dxfId="0" priority="321" operator="containsText" text="Problem">
      <formula>NOT(ISERROR(SEARCH(("Problem"),(G772))))</formula>
    </cfRule>
  </conditionalFormatting>
  <conditionalFormatting sqref="G772">
    <cfRule type="containsText" dxfId="0" priority="322" operator="containsText" text="Problem">
      <formula>NOT(ISERROR(SEARCH(("Problem"),(G772))))</formula>
    </cfRule>
  </conditionalFormatting>
  <conditionalFormatting sqref="G772">
    <cfRule type="containsText" dxfId="0" priority="323" operator="containsText" text="Problem">
      <formula>NOT(ISERROR(SEARCH(("Problem"),(G772))))</formula>
    </cfRule>
  </conditionalFormatting>
  <conditionalFormatting sqref="I537:I564">
    <cfRule type="containsText" dxfId="0" priority="324" operator="containsText" text="Problem">
      <formula>NOT(ISERROR(SEARCH(("Problem"),(I537))))</formula>
    </cfRule>
  </conditionalFormatting>
  <conditionalFormatting sqref="I537:I564">
    <cfRule type="containsText" dxfId="0" priority="325" operator="containsText" text="Problem">
      <formula>NOT(ISERROR(SEARCH(("Problem"),(I537))))</formula>
    </cfRule>
  </conditionalFormatting>
  <conditionalFormatting sqref="I537:I564">
    <cfRule type="containsText" dxfId="0" priority="326" operator="containsText" text="Problem">
      <formula>NOT(ISERROR(SEARCH(("Problem"),(I537))))</formula>
    </cfRule>
  </conditionalFormatting>
  <conditionalFormatting sqref="I537:I564">
    <cfRule type="containsText" dxfId="0" priority="327" operator="containsText" text="Problem">
      <formula>NOT(ISERROR(SEARCH(("Problem"),(I537))))</formula>
    </cfRule>
  </conditionalFormatting>
  <conditionalFormatting sqref="D831">
    <cfRule type="containsText" dxfId="0" priority="328" operator="containsText" text="Problem">
      <formula>NOT(ISERROR(SEARCH(("Problem"),(D831))))</formula>
    </cfRule>
  </conditionalFormatting>
  <conditionalFormatting sqref="D65:D92">
    <cfRule type="containsText" dxfId="0" priority="329" operator="containsText" text="Problem">
      <formula>NOT(ISERROR(SEARCH(("Problem"),(D65))))</formula>
    </cfRule>
  </conditionalFormatting>
  <conditionalFormatting sqref="D65:D92">
    <cfRule type="containsText" dxfId="0" priority="330" operator="containsText" text="Problem">
      <formula>NOT(ISERROR(SEARCH(("Problem"),(D65))))</formula>
    </cfRule>
  </conditionalFormatting>
  <conditionalFormatting sqref="D65:D92">
    <cfRule type="containsText" dxfId="0" priority="331" operator="containsText" text="Problem">
      <formula>NOT(ISERROR(SEARCH(("Problem"),(D65))))</formula>
    </cfRule>
  </conditionalFormatting>
  <conditionalFormatting sqref="C239 E239:I239">
    <cfRule type="containsText" dxfId="0" priority="332" operator="containsText" text="Problem">
      <formula>NOT(ISERROR(SEARCH(("Problem"),(C239))))</formula>
    </cfRule>
  </conditionalFormatting>
  <conditionalFormatting sqref="C239 E239:I239">
    <cfRule type="containsText" dxfId="0" priority="333" operator="containsText" text="Problem">
      <formula>NOT(ISERROR(SEARCH(("Problem"),(C239))))</formula>
    </cfRule>
  </conditionalFormatting>
  <conditionalFormatting sqref="C239 E239:I239">
    <cfRule type="containsText" dxfId="0" priority="334" operator="containsText" text="Problem">
      <formula>NOT(ISERROR(SEARCH(("Problem"),(C239))))</formula>
    </cfRule>
  </conditionalFormatting>
  <conditionalFormatting sqref="B160:C160 B172:B175 B177:C178 C129:C159 C169:C175">
    <cfRule type="containsText" dxfId="0" priority="335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336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337" operator="containsText" text="Problem">
      <formula>NOT(ISERROR(SEARCH(("Problem"),(B160))))</formula>
    </cfRule>
  </conditionalFormatting>
  <conditionalFormatting sqref="H242:H269">
    <cfRule type="containsText" dxfId="0" priority="338" operator="containsText" text="Problem">
      <formula>NOT(ISERROR(SEARCH(("Problem"),(H242))))</formula>
    </cfRule>
  </conditionalFormatting>
  <conditionalFormatting sqref="H242:H269">
    <cfRule type="containsText" dxfId="0" priority="339" operator="containsText" text="Problem">
      <formula>NOT(ISERROR(SEARCH(("Problem"),(H242))))</formula>
    </cfRule>
  </conditionalFormatting>
  <conditionalFormatting sqref="H242:H269">
    <cfRule type="containsText" dxfId="0" priority="340" operator="containsText" text="Problem">
      <formula>NOT(ISERROR(SEARCH(("Problem"),(H242))))</formula>
    </cfRule>
  </conditionalFormatting>
  <conditionalFormatting sqref="D152:D176">
    <cfRule type="containsText" dxfId="0" priority="341" operator="containsText" text="Problem">
      <formula>NOT(ISERROR(SEARCH(("Problem"),(D152))))</formula>
    </cfRule>
  </conditionalFormatting>
  <conditionalFormatting sqref="D152:D176">
    <cfRule type="containsText" dxfId="0" priority="342" operator="containsText" text="Problem">
      <formula>NOT(ISERROR(SEARCH(("Problem"),(D152))))</formula>
    </cfRule>
  </conditionalFormatting>
  <conditionalFormatting sqref="E891:I945">
    <cfRule type="containsText" dxfId="0" priority="343" operator="containsText" text="Problem">
      <formula>NOT(ISERROR(SEARCH(("Problem"),(E891))))</formula>
    </cfRule>
  </conditionalFormatting>
  <conditionalFormatting sqref="E891:I945">
    <cfRule type="containsText" dxfId="0" priority="344" operator="containsText" text="Problem">
      <formula>NOT(ISERROR(SEARCH(("Problem"),(E891))))</formula>
    </cfRule>
  </conditionalFormatting>
  <conditionalFormatting sqref="E891:I945">
    <cfRule type="containsText" dxfId="0" priority="345" operator="containsText" text="Problem">
      <formula>NOT(ISERROR(SEARCH(("Problem"),(E891))))</formula>
    </cfRule>
  </conditionalFormatting>
  <conditionalFormatting sqref="E537:E564">
    <cfRule type="containsText" dxfId="0" priority="346" operator="containsText" text="Problem">
      <formula>NOT(ISERROR(SEARCH(("Problem"),(E537))))</formula>
    </cfRule>
  </conditionalFormatting>
  <conditionalFormatting sqref="E537:E564">
    <cfRule type="containsText" dxfId="0" priority="347" operator="containsText" text="Problem">
      <formula>NOT(ISERROR(SEARCH(("Problem"),(E537))))</formula>
    </cfRule>
  </conditionalFormatting>
  <conditionalFormatting sqref="E537:E564">
    <cfRule type="containsText" dxfId="0" priority="348" operator="containsText" text="Problem">
      <formula>NOT(ISERROR(SEARCH(("Problem"),(E537))))</formula>
    </cfRule>
  </conditionalFormatting>
  <conditionalFormatting sqref="F418">
    <cfRule type="containsText" dxfId="0" priority="349" operator="containsText" text="Problem">
      <formula>NOT(ISERROR(SEARCH(("Problem"),(F418))))</formula>
    </cfRule>
  </conditionalFormatting>
  <conditionalFormatting sqref="F418">
    <cfRule type="containsText" dxfId="0" priority="350" operator="containsText" text="Problem">
      <formula>NOT(ISERROR(SEARCH(("Problem"),(F418))))</formula>
    </cfRule>
  </conditionalFormatting>
  <conditionalFormatting sqref="F418">
    <cfRule type="containsText" dxfId="0" priority="351" operator="containsText" text="Problem">
      <formula>NOT(ISERROR(SEARCH(("Problem"),(F418))))</formula>
    </cfRule>
  </conditionalFormatting>
  <conditionalFormatting sqref="B396:C396 B408:B411 B413:C414 C365:C395 C405:C411">
    <cfRule type="containsText" dxfId="0" priority="352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353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354" operator="containsText" text="Problem">
      <formula>NOT(ISERROR(SEARCH(("Problem"),(B396))))</formula>
    </cfRule>
  </conditionalFormatting>
  <conditionalFormatting sqref="G832:G859">
    <cfRule type="containsText" dxfId="0" priority="355" operator="containsText" text="Problem">
      <formula>NOT(ISERROR(SEARCH(("Problem"),(G832))))</formula>
    </cfRule>
  </conditionalFormatting>
  <conditionalFormatting sqref="G832:G859">
    <cfRule type="containsText" dxfId="0" priority="356" operator="containsText" text="Problem">
      <formula>NOT(ISERROR(SEARCH(("Problem"),(G832))))</formula>
    </cfRule>
  </conditionalFormatting>
  <conditionalFormatting sqref="G832:G859">
    <cfRule type="containsText" dxfId="0" priority="357" operator="containsText" text="Problem">
      <formula>NOT(ISERROR(SEARCH(("Problem"),(G832))))</formula>
    </cfRule>
  </conditionalFormatting>
  <conditionalFormatting sqref="H654">
    <cfRule type="containsText" dxfId="0" priority="358" operator="containsText" text="Problem">
      <formula>NOT(ISERROR(SEARCH(("Problem"),(H654))))</formula>
    </cfRule>
  </conditionalFormatting>
  <conditionalFormatting sqref="H654">
    <cfRule type="containsText" dxfId="0" priority="359" operator="containsText" text="Problem">
      <formula>NOT(ISERROR(SEARCH(("Problem"),(H654))))</formula>
    </cfRule>
  </conditionalFormatting>
  <conditionalFormatting sqref="H654">
    <cfRule type="containsText" dxfId="0" priority="360" operator="containsText" text="Problem">
      <formula>NOT(ISERROR(SEARCH(("Problem"),(H654))))</formula>
    </cfRule>
  </conditionalFormatting>
  <conditionalFormatting sqref="G477">
    <cfRule type="containsText" dxfId="0" priority="361" operator="containsText" text="Problem">
      <formula>NOT(ISERROR(SEARCH(("Problem"),(G477))))</formula>
    </cfRule>
  </conditionalFormatting>
  <conditionalFormatting sqref="G477">
    <cfRule type="containsText" dxfId="0" priority="362" operator="containsText" text="Problem">
      <formula>NOT(ISERROR(SEARCH(("Problem"),(G477))))</formula>
    </cfRule>
  </conditionalFormatting>
  <conditionalFormatting sqref="G477">
    <cfRule type="containsText" dxfId="0" priority="363" operator="containsText" text="Problem">
      <formula>NOT(ISERROR(SEARCH(("Problem"),(G477))))</formula>
    </cfRule>
  </conditionalFormatting>
  <conditionalFormatting sqref="F478:F505">
    <cfRule type="containsText" dxfId="0" priority="364" operator="containsText" text="Problem">
      <formula>NOT(ISERROR(SEARCH(("Problem"),(F478))))</formula>
    </cfRule>
  </conditionalFormatting>
  <conditionalFormatting sqref="F478:F505">
    <cfRule type="containsText" dxfId="0" priority="365" operator="containsText" text="Problem">
      <formula>NOT(ISERROR(SEARCH(("Problem"),(F478))))</formula>
    </cfRule>
  </conditionalFormatting>
  <conditionalFormatting sqref="F478:F505">
    <cfRule type="containsText" dxfId="0" priority="366" operator="containsText" text="Problem">
      <formula>NOT(ISERROR(SEARCH(("Problem"),(F478))))</formula>
    </cfRule>
  </conditionalFormatting>
  <conditionalFormatting sqref="G183:G210">
    <cfRule type="containsText" dxfId="0" priority="367" operator="containsText" text="Problem">
      <formula>NOT(ISERROR(SEARCH(("Problem"),(G183))))</formula>
    </cfRule>
  </conditionalFormatting>
  <conditionalFormatting sqref="G183:G210">
    <cfRule type="containsText" dxfId="0" priority="368" operator="containsText" text="Problem">
      <formula>NOT(ISERROR(SEARCH(("Problem"),(G183))))</formula>
    </cfRule>
  </conditionalFormatting>
  <conditionalFormatting sqref="G183:G210">
    <cfRule type="containsText" dxfId="0" priority="369" operator="containsText" text="Problem">
      <formula>NOT(ISERROR(SEARCH(("Problem"),(G183))))</formula>
    </cfRule>
  </conditionalFormatting>
  <conditionalFormatting sqref="A416 J416:P416">
    <cfRule type="containsText" dxfId="0" priority="370" operator="containsText" text="Problem">
      <formula>NOT(ISERROR(SEARCH(("Problem"),(A416))))</formula>
    </cfRule>
  </conditionalFormatting>
  <conditionalFormatting sqref="A416 J416:P416">
    <cfRule type="containsText" dxfId="0" priority="371" operator="containsText" text="Problem">
      <formula>NOT(ISERROR(SEARCH(("Problem"),(A416))))</formula>
    </cfRule>
  </conditionalFormatting>
  <conditionalFormatting sqref="A416 J416:P416">
    <cfRule type="containsText" dxfId="0" priority="372" operator="containsText" text="Problem">
      <formula>NOT(ISERROR(SEARCH(("Problem"),(A416))))</formula>
    </cfRule>
  </conditionalFormatting>
  <conditionalFormatting sqref="H65:H92">
    <cfRule type="containsText" dxfId="0" priority="373" operator="containsText" text="Problem">
      <formula>NOT(ISERROR(SEARCH(("Problem"),(H65))))</formula>
    </cfRule>
  </conditionalFormatting>
  <conditionalFormatting sqref="H65:H92">
    <cfRule type="containsText" dxfId="0" priority="374" operator="containsText" text="Problem">
      <formula>NOT(ISERROR(SEARCH(("Problem"),(H65))))</formula>
    </cfRule>
  </conditionalFormatting>
  <conditionalFormatting sqref="H65:H92">
    <cfRule type="containsText" dxfId="0" priority="375" operator="containsText" text="Problem">
      <formula>NOT(ISERROR(SEARCH(("Problem"),(H65))))</formula>
    </cfRule>
  </conditionalFormatting>
  <conditionalFormatting sqref="E418">
    <cfRule type="containsText" dxfId="0" priority="376" operator="containsText" text="Problem">
      <formula>NOT(ISERROR(SEARCH(("Problem"),(E418))))</formula>
    </cfRule>
  </conditionalFormatting>
  <conditionalFormatting sqref="E418">
    <cfRule type="containsText" dxfId="0" priority="377" operator="containsText" text="Problem">
      <formula>NOT(ISERROR(SEARCH(("Problem"),(E418))))</formula>
    </cfRule>
  </conditionalFormatting>
  <conditionalFormatting sqref="E418">
    <cfRule type="containsText" dxfId="0" priority="378" operator="containsText" text="Problem">
      <formula>NOT(ISERROR(SEARCH(("Problem"),(E418))))</formula>
    </cfRule>
  </conditionalFormatting>
  <conditionalFormatting sqref="B927:C927 B939:B942 B944:C945 C896:C926 C936:C942">
    <cfRule type="containsText" dxfId="0" priority="379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380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381" operator="containsText" text="Problem">
      <formula>NOT(ISERROR(SEARCH(("Problem"),(B927))))</formula>
    </cfRule>
  </conditionalFormatting>
  <conditionalFormatting sqref="A890:A945">
    <cfRule type="containsText" dxfId="0" priority="382" operator="containsText" text="Problem">
      <formula>NOT(ISERROR(SEARCH(("Problem"),(A890))))</formula>
    </cfRule>
  </conditionalFormatting>
  <conditionalFormatting sqref="A890:A945">
    <cfRule type="containsText" dxfId="0" priority="383" operator="containsText" text="Problem">
      <formula>NOT(ISERROR(SEARCH(("Problem"),(A890))))</formula>
    </cfRule>
  </conditionalFormatting>
  <conditionalFormatting sqref="A890:A945">
    <cfRule type="containsText" dxfId="0" priority="384" operator="containsText" text="Problem">
      <formula>NOT(ISERROR(SEARCH(("Problem"),(A890))))</formula>
    </cfRule>
  </conditionalFormatting>
  <conditionalFormatting sqref="F64">
    <cfRule type="containsText" dxfId="0" priority="385" operator="containsText" text="Problem">
      <formula>NOT(ISERROR(SEARCH(("Problem"),(F64))))</formula>
    </cfRule>
  </conditionalFormatting>
  <conditionalFormatting sqref="F64">
    <cfRule type="containsText" dxfId="0" priority="386" operator="containsText" text="Problem">
      <formula>NOT(ISERROR(SEARCH(("Problem"),(F64))))</formula>
    </cfRule>
  </conditionalFormatting>
  <conditionalFormatting sqref="F64">
    <cfRule type="containsText" dxfId="0" priority="387" operator="containsText" text="Problem">
      <formula>NOT(ISERROR(SEARCH(("Problem"),(F64))))</formula>
    </cfRule>
  </conditionalFormatting>
  <conditionalFormatting sqref="B4 C3:C4 D4 D61:H61 E3:I4 K917:P918">
    <cfRule type="containsText" dxfId="0" priority="388" operator="containsText" text="Problem">
      <formula>NOT(ISERROR(SEARCH(("Problem"),(B4))))</formula>
    </cfRule>
  </conditionalFormatting>
  <conditionalFormatting sqref="B4 C3:C4 D4 D61:H61 E3:I4 K917:P918">
    <cfRule type="containsText" dxfId="0" priority="389" operator="containsText" text="Problem">
      <formula>NOT(ISERROR(SEARCH(("Problem"),(B4))))</formula>
    </cfRule>
  </conditionalFormatting>
  <conditionalFormatting sqref="B4 C3:C4 D4 D61:H61 E3:I4 K917:P918">
    <cfRule type="containsText" dxfId="0" priority="390" operator="containsText" text="Problem">
      <formula>NOT(ISERROR(SEARCH(("Problem"),(B4))))</formula>
    </cfRule>
  </conditionalFormatting>
  <conditionalFormatting sqref="C652 E652:I652">
    <cfRule type="containsText" dxfId="0" priority="391" operator="containsText" text="Problem">
      <formula>NOT(ISERROR(SEARCH(("Problem"),(C652))))</formula>
    </cfRule>
  </conditionalFormatting>
  <conditionalFormatting sqref="C652 E652:I652">
    <cfRule type="containsText" dxfId="0" priority="392" operator="containsText" text="Problem">
      <formula>NOT(ISERROR(SEARCH(("Problem"),(C652))))</formula>
    </cfRule>
  </conditionalFormatting>
  <conditionalFormatting sqref="C652 E652:I652">
    <cfRule type="containsText" dxfId="0" priority="393" operator="containsText" text="Problem">
      <formula>NOT(ISERROR(SEARCH(("Problem"),(C652))))</formula>
    </cfRule>
  </conditionalFormatting>
  <conditionalFormatting sqref="H301:H328">
    <cfRule type="containsText" dxfId="0" priority="394" operator="containsText" text="Problem">
      <formula>NOT(ISERROR(SEARCH(("Problem"),(H301))))</formula>
    </cfRule>
  </conditionalFormatting>
  <conditionalFormatting sqref="H301:H328">
    <cfRule type="containsText" dxfId="0" priority="395" operator="containsText" text="Problem">
      <formula>NOT(ISERROR(SEARCH(("Problem"),(H301))))</formula>
    </cfRule>
  </conditionalFormatting>
  <conditionalFormatting sqref="H301:H328">
    <cfRule type="containsText" dxfId="0" priority="396" operator="containsText" text="Problem">
      <formula>NOT(ISERROR(SEARCH(("Problem"),(H301))))</formula>
    </cfRule>
  </conditionalFormatting>
  <conditionalFormatting sqref="E300">
    <cfRule type="containsText" dxfId="0" priority="397" operator="containsText" text="Problem">
      <formula>NOT(ISERROR(SEARCH(("Problem"),(E300))))</formula>
    </cfRule>
  </conditionalFormatting>
  <conditionalFormatting sqref="E300">
    <cfRule type="containsText" dxfId="0" priority="398" operator="containsText" text="Problem">
      <formula>NOT(ISERROR(SEARCH(("Problem"),(E300))))</formula>
    </cfRule>
  </conditionalFormatting>
  <conditionalFormatting sqref="E300">
    <cfRule type="containsText" dxfId="0" priority="399" operator="containsText" text="Problem">
      <formula>NOT(ISERROR(SEARCH(("Problem"),(E300))))</formula>
    </cfRule>
  </conditionalFormatting>
  <conditionalFormatting sqref="D236:D237 E211:H237">
    <cfRule type="containsText" dxfId="0" priority="400" operator="containsText" text="Problem">
      <formula>NOT(ISERROR(SEARCH(("Problem"),(D236))))</formula>
    </cfRule>
  </conditionalFormatting>
  <conditionalFormatting sqref="D236:D237 E211:H237">
    <cfRule type="containsText" dxfId="0" priority="401" operator="containsText" text="Problem">
      <formula>NOT(ISERROR(SEARCH(("Problem"),(D236))))</formula>
    </cfRule>
  </conditionalFormatting>
  <conditionalFormatting sqref="D236:D237 E211:H237">
    <cfRule type="containsText" dxfId="0" priority="402" operator="containsText" text="Problem">
      <formula>NOT(ISERROR(SEARCH(("Problem"),(D236))))</formula>
    </cfRule>
  </conditionalFormatting>
  <conditionalFormatting sqref="A121 J121:P121">
    <cfRule type="containsText" dxfId="0" priority="403" operator="containsText" text="Problem">
      <formula>NOT(ISERROR(SEARCH(("Problem"),(A121))))</formula>
    </cfRule>
  </conditionalFormatting>
  <conditionalFormatting sqref="A121 J121:P121">
    <cfRule type="containsText" dxfId="0" priority="404" operator="containsText" text="Problem">
      <formula>NOT(ISERROR(SEARCH(("Problem"),(A121))))</formula>
    </cfRule>
  </conditionalFormatting>
  <conditionalFormatting sqref="A121 J121:P121">
    <cfRule type="containsText" dxfId="0" priority="405" operator="containsText" text="Problem">
      <formula>NOT(ISERROR(SEARCH(("Problem"),(A121))))</formula>
    </cfRule>
  </conditionalFormatting>
  <conditionalFormatting sqref="E241">
    <cfRule type="containsText" dxfId="0" priority="406" operator="containsText" text="Problem">
      <formula>NOT(ISERROR(SEARCH(("Problem"),(E241))))</formula>
    </cfRule>
  </conditionalFormatting>
  <conditionalFormatting sqref="E241">
    <cfRule type="containsText" dxfId="0" priority="407" operator="containsText" text="Problem">
      <formula>NOT(ISERROR(SEARCH(("Problem"),(E241))))</formula>
    </cfRule>
  </conditionalFormatting>
  <conditionalFormatting sqref="E241">
    <cfRule type="containsText" dxfId="0" priority="408" operator="containsText" text="Problem">
      <formula>NOT(ISERROR(SEARCH(("Problem"),(E241))))</formula>
    </cfRule>
  </conditionalFormatting>
  <conditionalFormatting sqref="I359">
    <cfRule type="containsText" dxfId="0" priority="409" operator="containsText" text="Problem">
      <formula>NOT(ISERROR(SEARCH(("Problem"),(I359))))</formula>
    </cfRule>
  </conditionalFormatting>
  <conditionalFormatting sqref="I359">
    <cfRule type="containsText" dxfId="0" priority="410" operator="containsText" text="Problem">
      <formula>NOT(ISERROR(SEARCH(("Problem"),(I359))))</formula>
    </cfRule>
  </conditionalFormatting>
  <conditionalFormatting sqref="I359">
    <cfRule type="containsText" dxfId="0" priority="411" operator="containsText" text="Problem">
      <formula>NOT(ISERROR(SEARCH(("Problem"),(I359))))</formula>
    </cfRule>
  </conditionalFormatting>
  <conditionalFormatting sqref="A536:A591">
    <cfRule type="containsText" dxfId="0" priority="412" operator="containsText" text="Problem">
      <formula>NOT(ISERROR(SEARCH(("Problem"),(A536))))</formula>
    </cfRule>
  </conditionalFormatting>
  <conditionalFormatting sqref="A536:A591">
    <cfRule type="containsText" dxfId="0" priority="413" operator="containsText" text="Problem">
      <formula>NOT(ISERROR(SEARCH(("Problem"),(A536))))</formula>
    </cfRule>
  </conditionalFormatting>
  <conditionalFormatting sqref="A536:A591">
    <cfRule type="containsText" dxfId="0" priority="414" operator="containsText" text="Problem">
      <formula>NOT(ISERROR(SEARCH(("Problem"),(A536))))</formula>
    </cfRule>
  </conditionalFormatting>
  <conditionalFormatting sqref="A3:A61 B42:C42 B54:B57 B59:C61 C11:C41 C51:C57 I35:I61 J3:P61">
    <cfRule type="containsText" dxfId="0" priority="415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416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417" operator="containsText" text="Problem">
      <formula>NOT(ISERROR(SEARCH(("Problem"),(A3))))</formula>
    </cfRule>
  </conditionalFormatting>
  <conditionalFormatting sqref="G773:G800">
    <cfRule type="containsText" dxfId="0" priority="418" operator="containsText" text="Problem">
      <formula>NOT(ISERROR(SEARCH(("Problem"),(G773))))</formula>
    </cfRule>
  </conditionalFormatting>
  <conditionalFormatting sqref="G773:G800">
    <cfRule type="containsText" dxfId="0" priority="419" operator="containsText" text="Problem">
      <formula>NOT(ISERROR(SEARCH(("Problem"),(G773))))</formula>
    </cfRule>
  </conditionalFormatting>
  <conditionalFormatting sqref="G773:G800">
    <cfRule type="containsText" dxfId="0" priority="420" operator="containsText" text="Problem">
      <formula>NOT(ISERROR(SEARCH(("Problem"),(G773))))</formula>
    </cfRule>
  </conditionalFormatting>
  <conditionalFormatting sqref="D183:D210">
    <cfRule type="containsText" dxfId="0" priority="421" operator="containsText" text="Problem">
      <formula>NOT(ISERROR(SEARCH(("Problem"),(D183))))</formula>
    </cfRule>
  </conditionalFormatting>
  <conditionalFormatting sqref="D183:D210">
    <cfRule type="containsText" dxfId="0" priority="422" operator="containsText" text="Problem">
      <formula>NOT(ISERROR(SEARCH(("Problem"),(D183))))</formula>
    </cfRule>
  </conditionalFormatting>
  <conditionalFormatting sqref="D183:D210">
    <cfRule type="containsText" dxfId="0" priority="423" operator="containsText" text="Problem">
      <formula>NOT(ISERROR(SEARCH(("Problem"),(D183))))</formula>
    </cfRule>
  </conditionalFormatting>
  <conditionalFormatting sqref="E65:E92">
    <cfRule type="containsText" dxfId="0" priority="424" operator="containsText" text="Problem">
      <formula>NOT(ISERROR(SEARCH(("Problem"),(E65))))</formula>
    </cfRule>
  </conditionalFormatting>
  <conditionalFormatting sqref="E65:E92">
    <cfRule type="containsText" dxfId="0" priority="425" operator="containsText" text="Problem">
      <formula>NOT(ISERROR(SEARCH(("Problem"),(E65))))</formula>
    </cfRule>
  </conditionalFormatting>
  <conditionalFormatting sqref="E65:E92">
    <cfRule type="containsText" dxfId="0" priority="426" operator="containsText" text="Problem">
      <formula>NOT(ISERROR(SEARCH(("Problem"),(E65))))</formula>
    </cfRule>
  </conditionalFormatting>
  <conditionalFormatting sqref="D177:D178 E152:H178">
    <cfRule type="containsText" dxfId="0" priority="427" operator="containsText" text="Problem">
      <formula>NOT(ISERROR(SEARCH(("Problem"),(D177))))</formula>
    </cfRule>
  </conditionalFormatting>
  <conditionalFormatting sqref="D177:D178 E152:H178">
    <cfRule type="containsText" dxfId="0" priority="428" operator="containsText" text="Problem">
      <formula>NOT(ISERROR(SEARCH(("Problem"),(D177))))</formula>
    </cfRule>
  </conditionalFormatting>
  <conditionalFormatting sqref="D177:D178 E152:H178">
    <cfRule type="containsText" dxfId="0" priority="429" operator="containsText" text="Problem">
      <formula>NOT(ISERROR(SEARCH(("Problem"),(D177))))</formula>
    </cfRule>
  </conditionalFormatting>
  <conditionalFormatting sqref="F5">
    <cfRule type="containsText" dxfId="0" priority="430" operator="containsText" text="Problem">
      <formula>NOT(ISERROR(SEARCH(("Problem"),(F5))))</formula>
    </cfRule>
  </conditionalFormatting>
  <conditionalFormatting sqref="F5">
    <cfRule type="containsText" dxfId="0" priority="431" operator="containsText" text="Problem">
      <formula>NOT(ISERROR(SEARCH(("Problem"),(F5))))</formula>
    </cfRule>
  </conditionalFormatting>
  <conditionalFormatting sqref="F5">
    <cfRule type="containsText" dxfId="0" priority="432" operator="containsText" text="Problem">
      <formula>NOT(ISERROR(SEARCH(("Problem"),(F5))))</formula>
    </cfRule>
  </conditionalFormatting>
  <conditionalFormatting sqref="F124:F151">
    <cfRule type="containsText" dxfId="0" priority="433" operator="containsText" text="Problem">
      <formula>NOT(ISERROR(SEARCH(("Problem"),(F124))))</formula>
    </cfRule>
  </conditionalFormatting>
  <conditionalFormatting sqref="F124:F151">
    <cfRule type="containsText" dxfId="0" priority="434" operator="containsText" text="Problem">
      <formula>NOT(ISERROR(SEARCH(("Problem"),(F124))))</formula>
    </cfRule>
  </conditionalFormatting>
  <conditionalFormatting sqref="F124:F151">
    <cfRule type="containsText" dxfId="0" priority="435" operator="containsText" text="Problem">
      <formula>NOT(ISERROR(SEARCH(("Problem"),(F124))))</formula>
    </cfRule>
  </conditionalFormatting>
  <conditionalFormatting sqref="D536">
    <cfRule type="containsText" dxfId="0" priority="436" operator="containsText" text="Problem">
      <formula>NOT(ISERROR(SEARCH(("Problem"),(D536))))</formula>
    </cfRule>
  </conditionalFormatting>
  <conditionalFormatting sqref="A123:A178">
    <cfRule type="containsText" dxfId="0" priority="437" operator="containsText" text="Problem">
      <formula>NOT(ISERROR(SEARCH(("Problem"),(A123))))</formula>
    </cfRule>
  </conditionalFormatting>
  <conditionalFormatting sqref="A123:A178">
    <cfRule type="containsText" dxfId="0" priority="438" operator="containsText" text="Problem">
      <formula>NOT(ISERROR(SEARCH(("Problem"),(A123))))</formula>
    </cfRule>
  </conditionalFormatting>
  <conditionalFormatting sqref="A123:A178">
    <cfRule type="containsText" dxfId="0" priority="439" operator="containsText" text="Problem">
      <formula>NOT(ISERROR(SEARCH(("Problem"),(A123))))</formula>
    </cfRule>
  </conditionalFormatting>
  <conditionalFormatting sqref="E419:E446">
    <cfRule type="containsText" dxfId="0" priority="440" operator="containsText" text="Problem">
      <formula>NOT(ISERROR(SEARCH(("Problem"),(E419))))</formula>
    </cfRule>
  </conditionalFormatting>
  <conditionalFormatting sqref="E419:E446">
    <cfRule type="containsText" dxfId="0" priority="441" operator="containsText" text="Problem">
      <formula>NOT(ISERROR(SEARCH(("Problem"),(E419))))</formula>
    </cfRule>
  </conditionalFormatting>
  <conditionalFormatting sqref="E419:E446">
    <cfRule type="containsText" dxfId="0" priority="442" operator="containsText" text="Problem">
      <formula>NOT(ISERROR(SEARCH(("Problem"),(E419))))</formula>
    </cfRule>
  </conditionalFormatting>
  <conditionalFormatting sqref="E360:E387">
    <cfRule type="containsText" dxfId="0" priority="443" operator="containsText" text="Problem">
      <formula>NOT(ISERROR(SEARCH(("Problem"),(E360))))</formula>
    </cfRule>
  </conditionalFormatting>
  <conditionalFormatting sqref="E360:E387">
    <cfRule type="containsText" dxfId="0" priority="444" operator="containsText" text="Problem">
      <formula>NOT(ISERROR(SEARCH(("Problem"),(E360))))</formula>
    </cfRule>
  </conditionalFormatting>
  <conditionalFormatting sqref="E360:E387">
    <cfRule type="containsText" dxfId="0" priority="445" operator="containsText" text="Problem">
      <formula>NOT(ISERROR(SEARCH(("Problem"),(E360))))</formula>
    </cfRule>
  </conditionalFormatting>
  <conditionalFormatting sqref="I301:I328">
    <cfRule type="containsText" dxfId="0" priority="446" operator="containsText" text="Problem">
      <formula>NOT(ISERROR(SEARCH(("Problem"),(I301))))</formula>
    </cfRule>
  </conditionalFormatting>
  <conditionalFormatting sqref="I301:I328">
    <cfRule type="containsText" dxfId="0" priority="447" operator="containsText" text="Problem">
      <formula>NOT(ISERROR(SEARCH(("Problem"),(I301))))</formula>
    </cfRule>
  </conditionalFormatting>
  <conditionalFormatting sqref="I301:I328">
    <cfRule type="containsText" dxfId="0" priority="448" operator="containsText" text="Problem">
      <formula>NOT(ISERROR(SEARCH(("Problem"),(I301))))</formula>
    </cfRule>
  </conditionalFormatting>
  <conditionalFormatting sqref="I301:I328">
    <cfRule type="containsText" dxfId="0" priority="449" operator="containsText" text="Problem">
      <formula>NOT(ISERROR(SEARCH(("Problem"),(I301))))</formula>
    </cfRule>
  </conditionalFormatting>
  <conditionalFormatting sqref="I773:I800">
    <cfRule type="containsText" dxfId="0" priority="450" operator="containsText" text="Problem">
      <formula>NOT(ISERROR(SEARCH(("Problem"),(I773))))</formula>
    </cfRule>
  </conditionalFormatting>
  <conditionalFormatting sqref="I773:I800">
    <cfRule type="containsText" dxfId="0" priority="451" operator="containsText" text="Problem">
      <formula>NOT(ISERROR(SEARCH(("Problem"),(I773))))</formula>
    </cfRule>
  </conditionalFormatting>
  <conditionalFormatting sqref="I773:I800">
    <cfRule type="containsText" dxfId="0" priority="452" operator="containsText" text="Problem">
      <formula>NOT(ISERROR(SEARCH(("Problem"),(I773))))</formula>
    </cfRule>
  </conditionalFormatting>
  <conditionalFormatting sqref="I773:I800">
    <cfRule type="containsText" dxfId="0" priority="453" operator="containsText" text="Problem">
      <formula>NOT(ISERROR(SEARCH(("Problem"),(I773))))</formula>
    </cfRule>
  </conditionalFormatting>
  <conditionalFormatting sqref="F65:F92">
    <cfRule type="containsText" dxfId="0" priority="454" operator="containsText" text="Problem">
      <formula>NOT(ISERROR(SEARCH(("Problem"),(F65))))</formula>
    </cfRule>
  </conditionalFormatting>
  <conditionalFormatting sqref="F65:F92">
    <cfRule type="containsText" dxfId="0" priority="455" operator="containsText" text="Problem">
      <formula>NOT(ISERROR(SEARCH(("Problem"),(F65))))</formula>
    </cfRule>
  </conditionalFormatting>
  <conditionalFormatting sqref="F65:F92">
    <cfRule type="containsText" dxfId="0" priority="456" operator="containsText" text="Problem">
      <formula>NOT(ISERROR(SEARCH(("Problem"),(F65))))</formula>
    </cfRule>
  </conditionalFormatting>
  <conditionalFormatting sqref="A829 J829:P829">
    <cfRule type="containsText" dxfId="0" priority="457" operator="containsText" text="Problem">
      <formula>NOT(ISERROR(SEARCH(("Problem"),(A829))))</formula>
    </cfRule>
  </conditionalFormatting>
  <conditionalFormatting sqref="A829 J829:P829">
    <cfRule type="containsText" dxfId="0" priority="458" operator="containsText" text="Problem">
      <formula>NOT(ISERROR(SEARCH(("Problem"),(A829))))</formula>
    </cfRule>
  </conditionalFormatting>
  <conditionalFormatting sqref="A829 J829:P829">
    <cfRule type="containsText" dxfId="0" priority="459" operator="containsText" text="Problem">
      <formula>NOT(ISERROR(SEARCH(("Problem"),(A829))))</formula>
    </cfRule>
  </conditionalFormatting>
  <conditionalFormatting sqref="A831:A886">
    <cfRule type="containsText" dxfId="0" priority="460" operator="containsText" text="Problem">
      <formula>NOT(ISERROR(SEARCH(("Problem"),(A831))))</formula>
    </cfRule>
  </conditionalFormatting>
  <conditionalFormatting sqref="A831:A886">
    <cfRule type="containsText" dxfId="0" priority="461" operator="containsText" text="Problem">
      <formula>NOT(ISERROR(SEARCH(("Problem"),(A831))))</formula>
    </cfRule>
  </conditionalFormatting>
  <conditionalFormatting sqref="A831:A886">
    <cfRule type="containsText" dxfId="0" priority="462" operator="containsText" text="Problem">
      <formula>NOT(ISERROR(SEARCH(("Problem"),(A831))))</formula>
    </cfRule>
  </conditionalFormatting>
  <conditionalFormatting sqref="A476:I476 A533:H533 I506:I533 J476:P533">
    <cfRule type="containsText" dxfId="0" priority="463" operator="containsText" text="Problem">
      <formula>NOT(ISERROR(SEARCH(("Problem"),(A476))))</formula>
    </cfRule>
  </conditionalFormatting>
  <conditionalFormatting sqref="A476:I476 A533:H533 I506:I533 J476:P533">
    <cfRule type="containsText" dxfId="0" priority="464" operator="containsText" text="Problem">
      <formula>NOT(ISERROR(SEARCH(("Problem"),(A476))))</formula>
    </cfRule>
  </conditionalFormatting>
  <conditionalFormatting sqref="A476:I476 A533:H533 I506:I533 J476:P533">
    <cfRule type="containsText" dxfId="0" priority="465" operator="containsText" text="Problem">
      <formula>NOT(ISERROR(SEARCH(("Problem"),(A476))))</formula>
    </cfRule>
  </conditionalFormatting>
  <conditionalFormatting sqref="E301:E328">
    <cfRule type="containsText" dxfId="0" priority="466" operator="containsText" text="Problem">
      <formula>NOT(ISERROR(SEARCH(("Problem"),(E301))))</formula>
    </cfRule>
  </conditionalFormatting>
  <conditionalFormatting sqref="E301:E328">
    <cfRule type="containsText" dxfId="0" priority="467" operator="containsText" text="Problem">
      <formula>NOT(ISERROR(SEARCH(("Problem"),(E301))))</formula>
    </cfRule>
  </conditionalFormatting>
  <conditionalFormatting sqref="E301:E328">
    <cfRule type="containsText" dxfId="0" priority="468" operator="containsText" text="Problem">
      <formula>NOT(ISERROR(SEARCH(("Problem"),(E301))))</formula>
    </cfRule>
  </conditionalFormatting>
  <conditionalFormatting sqref="I123">
    <cfRule type="containsText" dxfId="0" priority="469" operator="containsText" text="Problem">
      <formula>NOT(ISERROR(SEARCH(("Problem"),(I123))))</formula>
    </cfRule>
  </conditionalFormatting>
  <conditionalFormatting sqref="I123">
    <cfRule type="containsText" dxfId="0" priority="470" operator="containsText" text="Problem">
      <formula>NOT(ISERROR(SEARCH(("Problem"),(I123))))</formula>
    </cfRule>
  </conditionalFormatting>
  <conditionalFormatting sqref="I123">
    <cfRule type="containsText" dxfId="0" priority="471" operator="containsText" text="Problem">
      <formula>NOT(ISERROR(SEARCH(("Problem"),(I123))))</formula>
    </cfRule>
  </conditionalFormatting>
  <conditionalFormatting sqref="E183:E210">
    <cfRule type="containsText" dxfId="0" priority="472" operator="containsText" text="Problem">
      <formula>NOT(ISERROR(SEARCH(("Problem"),(E183))))</formula>
    </cfRule>
  </conditionalFormatting>
  <conditionalFormatting sqref="E183:E210">
    <cfRule type="containsText" dxfId="0" priority="473" operator="containsText" text="Problem">
      <formula>NOT(ISERROR(SEARCH(("Problem"),(E183))))</formula>
    </cfRule>
  </conditionalFormatting>
  <conditionalFormatting sqref="E183:E210">
    <cfRule type="containsText" dxfId="0" priority="474" operator="containsText" text="Problem">
      <formula>NOT(ISERROR(SEARCH(("Problem"),(E183))))</formula>
    </cfRule>
  </conditionalFormatting>
  <conditionalFormatting sqref="E64">
    <cfRule type="containsText" dxfId="0" priority="475" operator="containsText" text="Problem">
      <formula>NOT(ISERROR(SEARCH(("Problem"),(E64))))</formula>
    </cfRule>
  </conditionalFormatting>
  <conditionalFormatting sqref="E64">
    <cfRule type="containsText" dxfId="0" priority="476" operator="containsText" text="Problem">
      <formula>NOT(ISERROR(SEARCH(("Problem"),(E64))))</formula>
    </cfRule>
  </conditionalFormatting>
  <conditionalFormatting sqref="E64">
    <cfRule type="containsText" dxfId="0" priority="477" operator="containsText" text="Problem">
      <formula>NOT(ISERROR(SEARCH(("Problem"),(E64))))</formula>
    </cfRule>
  </conditionalFormatting>
  <conditionalFormatting sqref="A359:A414">
    <cfRule type="containsText" dxfId="0" priority="478" operator="containsText" text="Problem">
      <formula>NOT(ISERROR(SEARCH(("Problem"),(A359))))</formula>
    </cfRule>
  </conditionalFormatting>
  <conditionalFormatting sqref="A359:A414">
    <cfRule type="containsText" dxfId="0" priority="479" operator="containsText" text="Problem">
      <formula>NOT(ISERROR(SEARCH(("Problem"),(A359))))</formula>
    </cfRule>
  </conditionalFormatting>
  <conditionalFormatting sqref="A359:A414">
    <cfRule type="containsText" dxfId="0" priority="480" operator="containsText" text="Problem">
      <formula>NOT(ISERROR(SEARCH(("Problem"),(A359))))</formula>
    </cfRule>
  </conditionalFormatting>
  <conditionalFormatting sqref="E359">
    <cfRule type="containsText" dxfId="0" priority="481" operator="containsText" text="Problem">
      <formula>NOT(ISERROR(SEARCH(("Problem"),(E359))))</formula>
    </cfRule>
  </conditionalFormatting>
  <conditionalFormatting sqref="E359">
    <cfRule type="containsText" dxfId="0" priority="482" operator="containsText" text="Problem">
      <formula>NOT(ISERROR(SEARCH(("Problem"),(E359))))</formula>
    </cfRule>
  </conditionalFormatting>
  <conditionalFormatting sqref="E359">
    <cfRule type="containsText" dxfId="0" priority="483" operator="containsText" text="Problem">
      <formula>NOT(ISERROR(SEARCH(("Problem"),(E359))))</formula>
    </cfRule>
  </conditionalFormatting>
  <conditionalFormatting sqref="G6:G34">
    <cfRule type="containsText" dxfId="0" priority="484" operator="containsText" text="Problem">
      <formula>NOT(ISERROR(SEARCH(("Problem"),(G6))))</formula>
    </cfRule>
  </conditionalFormatting>
  <conditionalFormatting sqref="G6:G34">
    <cfRule type="containsText" dxfId="0" priority="485" operator="containsText" text="Problem">
      <formula>NOT(ISERROR(SEARCH(("Problem"),(G6))))</formula>
    </cfRule>
  </conditionalFormatting>
  <conditionalFormatting sqref="G6:G34">
    <cfRule type="containsText" dxfId="0" priority="486" operator="containsText" text="Problem">
      <formula>NOT(ISERROR(SEARCH(("Problem"),(G6))))</formula>
    </cfRule>
  </conditionalFormatting>
  <conditionalFormatting sqref="I418">
    <cfRule type="containsText" dxfId="0" priority="487" operator="containsText" text="Problem">
      <formula>NOT(ISERROR(SEARCH(("Problem"),(I418))))</formula>
    </cfRule>
  </conditionalFormatting>
  <conditionalFormatting sqref="I418">
    <cfRule type="containsText" dxfId="0" priority="488" operator="containsText" text="Problem">
      <formula>NOT(ISERROR(SEARCH(("Problem"),(I418))))</formula>
    </cfRule>
  </conditionalFormatting>
  <conditionalFormatting sqref="I418">
    <cfRule type="containsText" dxfId="0" priority="489" operator="containsText" text="Problem">
      <formula>NOT(ISERROR(SEARCH(("Problem"),(I418))))</formula>
    </cfRule>
  </conditionalFormatting>
  <conditionalFormatting sqref="H537:H564">
    <cfRule type="containsText" dxfId="0" priority="490" operator="containsText" text="Problem">
      <formula>NOT(ISERROR(SEARCH(("Problem"),(H537))))</formula>
    </cfRule>
  </conditionalFormatting>
  <conditionalFormatting sqref="H537:H564">
    <cfRule type="containsText" dxfId="0" priority="491" operator="containsText" text="Problem">
      <formula>NOT(ISERROR(SEARCH(("Problem"),(H537))))</formula>
    </cfRule>
  </conditionalFormatting>
  <conditionalFormatting sqref="H537:H564">
    <cfRule type="containsText" dxfId="0" priority="492" operator="containsText" text="Problem">
      <formula>NOT(ISERROR(SEARCH(("Problem"),(H537))))</formula>
    </cfRule>
  </conditionalFormatting>
  <conditionalFormatting sqref="A358:I358 A415:H415 I388:I415 J358:P415">
    <cfRule type="containsText" dxfId="0" priority="493" operator="containsText" text="Problem">
      <formula>NOT(ISERROR(SEARCH(("Problem"),(A358))))</formula>
    </cfRule>
  </conditionalFormatting>
  <conditionalFormatting sqref="A358:I358 A415:H415 I388:I415 J358:P415">
    <cfRule type="containsText" dxfId="0" priority="494" operator="containsText" text="Problem">
      <formula>NOT(ISERROR(SEARCH(("Problem"),(A358))))</formula>
    </cfRule>
  </conditionalFormatting>
  <conditionalFormatting sqref="A358:I358 A415:H415 I388:I415 J358:P415">
    <cfRule type="containsText" dxfId="0" priority="495" operator="containsText" text="Problem">
      <formula>NOT(ISERROR(SEARCH(("Problem"),(A358))))</formula>
    </cfRule>
  </conditionalFormatting>
  <conditionalFormatting sqref="D93:D117">
    <cfRule type="containsText" dxfId="0" priority="496" operator="containsText" text="Problem">
      <formula>NOT(ISERROR(SEARCH(("Problem"),(D93))))</formula>
    </cfRule>
  </conditionalFormatting>
  <conditionalFormatting sqref="D93:D117">
    <cfRule type="containsText" dxfId="0" priority="497" operator="containsText" text="Problem">
      <formula>NOT(ISERROR(SEARCH(("Problem"),(D93))))</formula>
    </cfRule>
  </conditionalFormatting>
  <conditionalFormatting sqref="E890:I890">
    <cfRule type="containsText" dxfId="0" priority="498" operator="containsText" text="Problem">
      <formula>NOT(ISERROR(SEARCH(("Problem"),(E890))))</formula>
    </cfRule>
  </conditionalFormatting>
  <conditionalFormatting sqref="E890:I890">
    <cfRule type="containsText" dxfId="0" priority="499" operator="containsText" text="Problem">
      <formula>NOT(ISERROR(SEARCH(("Problem"),(E890))))</formula>
    </cfRule>
  </conditionalFormatting>
  <conditionalFormatting sqref="E890:I890">
    <cfRule type="containsText" dxfId="0" priority="500" operator="containsText" text="Problem">
      <formula>NOT(ISERROR(SEARCH(("Problem"),(E890))))</formula>
    </cfRule>
  </conditionalFormatting>
  <conditionalFormatting sqref="D360:D387">
    <cfRule type="containsText" dxfId="0" priority="501" operator="containsText" text="Problem">
      <formula>NOT(ISERROR(SEARCH(("Problem"),(D360))))</formula>
    </cfRule>
  </conditionalFormatting>
  <conditionalFormatting sqref="D360:D387">
    <cfRule type="containsText" dxfId="0" priority="502" operator="containsText" text="Problem">
      <formula>NOT(ISERROR(SEARCH(("Problem"),(D360))))</formula>
    </cfRule>
  </conditionalFormatting>
  <conditionalFormatting sqref="D360:D387">
    <cfRule type="containsText" dxfId="0" priority="503" operator="containsText" text="Problem">
      <formula>NOT(ISERROR(SEARCH(("Problem"),(D360))))</formula>
    </cfRule>
  </conditionalFormatting>
  <conditionalFormatting sqref="A475 J475:P475">
    <cfRule type="containsText" dxfId="0" priority="504" operator="containsText" text="Problem">
      <formula>NOT(ISERROR(SEARCH(("Problem"),(A475))))</formula>
    </cfRule>
  </conditionalFormatting>
  <conditionalFormatting sqref="A475 J475:P475">
    <cfRule type="containsText" dxfId="0" priority="505" operator="containsText" text="Problem">
      <formula>NOT(ISERROR(SEARCH(("Problem"),(A475))))</formula>
    </cfRule>
  </conditionalFormatting>
  <conditionalFormatting sqref="A475 J475:P475">
    <cfRule type="containsText" dxfId="0" priority="506" operator="containsText" text="Problem">
      <formula>NOT(ISERROR(SEARCH(("Problem"),(A475))))</formula>
    </cfRule>
  </conditionalFormatting>
  <conditionalFormatting sqref="G831">
    <cfRule type="containsText" dxfId="0" priority="507" operator="containsText" text="Problem">
      <formula>NOT(ISERROR(SEARCH(("Problem"),(G831))))</formula>
    </cfRule>
  </conditionalFormatting>
  <conditionalFormatting sqref="G831">
    <cfRule type="containsText" dxfId="0" priority="508" operator="containsText" text="Problem">
      <formula>NOT(ISERROR(SEARCH(("Problem"),(G831))))</formula>
    </cfRule>
  </conditionalFormatting>
  <conditionalFormatting sqref="G831">
    <cfRule type="containsText" dxfId="0" priority="509" operator="containsText" text="Problem">
      <formula>NOT(ISERROR(SEARCH(("Problem"),(G831))))</formula>
    </cfRule>
  </conditionalFormatting>
  <conditionalFormatting sqref="C534 E534:I534">
    <cfRule type="containsText" dxfId="0" priority="510" operator="containsText" text="Problem">
      <formula>NOT(ISERROR(SEARCH(("Problem"),(C534))))</formula>
    </cfRule>
  </conditionalFormatting>
  <conditionalFormatting sqref="C534 E534:I534">
    <cfRule type="containsText" dxfId="0" priority="511" operator="containsText" text="Problem">
      <formula>NOT(ISERROR(SEARCH(("Problem"),(C534))))</formula>
    </cfRule>
  </conditionalFormatting>
  <conditionalFormatting sqref="C534 E534:I534">
    <cfRule type="containsText" dxfId="0" priority="512" operator="containsText" text="Problem">
      <formula>NOT(ISERROR(SEARCH(("Problem"),(C534))))</formula>
    </cfRule>
  </conditionalFormatting>
  <conditionalFormatting sqref="H419:H446">
    <cfRule type="containsText" dxfId="0" priority="513" operator="containsText" text="Problem">
      <formula>NOT(ISERROR(SEARCH(("Problem"),(H419))))</formula>
    </cfRule>
  </conditionalFormatting>
  <conditionalFormatting sqref="H419:H446">
    <cfRule type="containsText" dxfId="0" priority="514" operator="containsText" text="Problem">
      <formula>NOT(ISERROR(SEARCH(("Problem"),(H419))))</formula>
    </cfRule>
  </conditionalFormatting>
  <conditionalFormatting sqref="H419:H446">
    <cfRule type="containsText" dxfId="0" priority="515" operator="containsText" text="Problem">
      <formula>NOT(ISERROR(SEARCH(("Problem"),(H419))))</formula>
    </cfRule>
  </conditionalFormatting>
  <conditionalFormatting sqref="E654">
    <cfRule type="containsText" dxfId="0" priority="516" operator="containsText" text="Problem">
      <formula>NOT(ISERROR(SEARCH(("Problem"),(E654))))</formula>
    </cfRule>
  </conditionalFormatting>
  <conditionalFormatting sqref="E654">
    <cfRule type="containsText" dxfId="0" priority="517" operator="containsText" text="Problem">
      <formula>NOT(ISERROR(SEARCH(("Problem"),(E654))))</formula>
    </cfRule>
  </conditionalFormatting>
  <conditionalFormatting sqref="E654">
    <cfRule type="containsText" dxfId="0" priority="518" operator="containsText" text="Problem">
      <formula>NOT(ISERROR(SEARCH(("Problem"),(E654))))</formula>
    </cfRule>
  </conditionalFormatting>
  <conditionalFormatting sqref="A653:I653 A710:H710 I683:I710 J653:P710">
    <cfRule type="containsText" dxfId="0" priority="519" operator="containsText" text="Problem">
      <formula>NOT(ISERROR(SEARCH(("Problem"),(A653))))</formula>
    </cfRule>
  </conditionalFormatting>
  <conditionalFormatting sqref="A653:I653 A710:H710 I683:I710 J653:P710">
    <cfRule type="containsText" dxfId="0" priority="520" operator="containsText" text="Problem">
      <formula>NOT(ISERROR(SEARCH(("Problem"),(A653))))</formula>
    </cfRule>
  </conditionalFormatting>
  <conditionalFormatting sqref="A653:I653 A710:H710 I683:I710 J653:P710">
    <cfRule type="containsText" dxfId="0" priority="521" operator="containsText" text="Problem">
      <formula>NOT(ISERROR(SEARCH(("Problem"),(A653))))</formula>
    </cfRule>
  </conditionalFormatting>
  <conditionalFormatting sqref="C357 E357:I357">
    <cfRule type="containsText" dxfId="0" priority="522" operator="containsText" text="Problem">
      <formula>NOT(ISERROR(SEARCH(("Problem"),(C357))))</formula>
    </cfRule>
  </conditionalFormatting>
  <conditionalFormatting sqref="C357 E357:I357">
    <cfRule type="containsText" dxfId="0" priority="523" operator="containsText" text="Problem">
      <formula>NOT(ISERROR(SEARCH(("Problem"),(C357))))</formula>
    </cfRule>
  </conditionalFormatting>
  <conditionalFormatting sqref="C357 E357:I357">
    <cfRule type="containsText" dxfId="0" priority="524" operator="containsText" text="Problem">
      <formula>NOT(ISERROR(SEARCH(("Problem"),(C357))))</formula>
    </cfRule>
  </conditionalFormatting>
  <conditionalFormatting sqref="H360:H387">
    <cfRule type="containsText" dxfId="0" priority="525" operator="containsText" text="Problem">
      <formula>NOT(ISERROR(SEARCH(("Problem"),(H360))))</formula>
    </cfRule>
  </conditionalFormatting>
  <conditionalFormatting sqref="H360:H387">
    <cfRule type="containsText" dxfId="0" priority="526" operator="containsText" text="Problem">
      <formula>NOT(ISERROR(SEARCH(("Problem"),(H360))))</formula>
    </cfRule>
  </conditionalFormatting>
  <conditionalFormatting sqref="H360:H387">
    <cfRule type="containsText" dxfId="0" priority="527" operator="containsText" text="Problem">
      <formula>NOT(ISERROR(SEARCH(("Problem"),(H360))))</formula>
    </cfRule>
  </conditionalFormatting>
  <conditionalFormatting sqref="G713">
    <cfRule type="containsText" dxfId="0" priority="528" operator="containsText" text="Problem">
      <formula>NOT(ISERROR(SEARCH(("Problem"),(G713))))</formula>
    </cfRule>
  </conditionalFormatting>
  <conditionalFormatting sqref="G713">
    <cfRule type="containsText" dxfId="0" priority="529" operator="containsText" text="Problem">
      <formula>NOT(ISERROR(SEARCH(("Problem"),(G713))))</formula>
    </cfRule>
  </conditionalFormatting>
  <conditionalFormatting sqref="G713">
    <cfRule type="containsText" dxfId="0" priority="530" operator="containsText" text="Problem">
      <formula>NOT(ISERROR(SEARCH(("Problem"),(G713))))</formula>
    </cfRule>
  </conditionalFormatting>
  <conditionalFormatting sqref="G596:G623">
    <cfRule type="containsText" dxfId="0" priority="531" operator="containsText" text="Problem">
      <formula>NOT(ISERROR(SEARCH(("Problem"),(G596))))</formula>
    </cfRule>
  </conditionalFormatting>
  <conditionalFormatting sqref="G596:G623">
    <cfRule type="containsText" dxfId="0" priority="532" operator="containsText" text="Problem">
      <formula>NOT(ISERROR(SEARCH(("Problem"),(G596))))</formula>
    </cfRule>
  </conditionalFormatting>
  <conditionalFormatting sqref="G596:G623">
    <cfRule type="containsText" dxfId="0" priority="533" operator="containsText" text="Problem">
      <formula>NOT(ISERROR(SEARCH(("Problem"),(G596))))</formula>
    </cfRule>
  </conditionalFormatting>
  <conditionalFormatting sqref="H123">
    <cfRule type="containsText" dxfId="0" priority="534" operator="containsText" text="Problem">
      <formula>NOT(ISERROR(SEARCH(("Problem"),(H123))))</formula>
    </cfRule>
  </conditionalFormatting>
  <conditionalFormatting sqref="H123">
    <cfRule type="containsText" dxfId="0" priority="535" operator="containsText" text="Problem">
      <formula>NOT(ISERROR(SEARCH(("Problem"),(H123))))</formula>
    </cfRule>
  </conditionalFormatting>
  <conditionalFormatting sqref="H123">
    <cfRule type="containsText" dxfId="0" priority="536" operator="containsText" text="Problem">
      <formula>NOT(ISERROR(SEARCH(("Problem"),(H123))))</formula>
    </cfRule>
  </conditionalFormatting>
  <conditionalFormatting sqref="D832:D859">
    <cfRule type="containsText" dxfId="0" priority="537" operator="containsText" text="Problem">
      <formula>NOT(ISERROR(SEARCH(("Problem"),(D832))))</formula>
    </cfRule>
  </conditionalFormatting>
  <conditionalFormatting sqref="D832:D859">
    <cfRule type="containsText" dxfId="0" priority="538" operator="containsText" text="Problem">
      <formula>NOT(ISERROR(SEARCH(("Problem"),(D832))))</formula>
    </cfRule>
  </conditionalFormatting>
  <conditionalFormatting sqref="D832:D859">
    <cfRule type="containsText" dxfId="0" priority="539" operator="containsText" text="Problem">
      <formula>NOT(ISERROR(SEARCH(("Problem"),(D832))))</formula>
    </cfRule>
  </conditionalFormatting>
  <conditionalFormatting sqref="E6:E34">
    <cfRule type="containsText" dxfId="0" priority="540" operator="containsText" text="Problem">
      <formula>NOT(ISERROR(SEARCH(("Problem"),(E6))))</formula>
    </cfRule>
  </conditionalFormatting>
  <conditionalFormatting sqref="E6:E34">
    <cfRule type="containsText" dxfId="0" priority="541" operator="containsText" text="Problem">
      <formula>NOT(ISERROR(SEARCH(("Problem"),(E6))))</formula>
    </cfRule>
  </conditionalFormatting>
  <conditionalFormatting sqref="E6:E34">
    <cfRule type="containsText" dxfId="0" priority="542" operator="containsText" text="Problem">
      <formula>NOT(ISERROR(SEARCH(("Problem"),(E6))))</formula>
    </cfRule>
  </conditionalFormatting>
  <conditionalFormatting sqref="E242:E269">
    <cfRule type="containsText" dxfId="0" priority="543" operator="containsText" text="Problem">
      <formula>NOT(ISERROR(SEARCH(("Problem"),(E242))))</formula>
    </cfRule>
  </conditionalFormatting>
  <conditionalFormatting sqref="E242:E269">
    <cfRule type="containsText" dxfId="0" priority="544" operator="containsText" text="Problem">
      <formula>NOT(ISERROR(SEARCH(("Problem"),(E242))))</formula>
    </cfRule>
  </conditionalFormatting>
  <conditionalFormatting sqref="E242:E269">
    <cfRule type="containsText" dxfId="0" priority="545" operator="containsText" text="Problem">
      <formula>NOT(ISERROR(SEARCH(("Problem"),(E242))))</formula>
    </cfRule>
  </conditionalFormatting>
  <conditionalFormatting sqref="D885:D886 E860:H886">
    <cfRule type="containsText" dxfId="0" priority="546" operator="containsText" text="Problem">
      <formula>NOT(ISERROR(SEARCH(("Problem"),(D885))))</formula>
    </cfRule>
  </conditionalFormatting>
  <conditionalFormatting sqref="D885:D886 E860:H886">
    <cfRule type="containsText" dxfId="0" priority="547" operator="containsText" text="Problem">
      <formula>NOT(ISERROR(SEARCH(("Problem"),(D885))))</formula>
    </cfRule>
  </conditionalFormatting>
  <conditionalFormatting sqref="D885:D886 E860:H886">
    <cfRule type="containsText" dxfId="0" priority="548" operator="containsText" text="Problem">
      <formula>NOT(ISERROR(SEARCH(("Problem"),(D885))))</formula>
    </cfRule>
  </conditionalFormatting>
  <conditionalFormatting sqref="A535:I535 A592:H592 I565:I592 J535:P592">
    <cfRule type="containsText" dxfId="0" priority="549" operator="containsText" text="Problem">
      <formula>NOT(ISERROR(SEARCH(("Problem"),(A535))))</formula>
    </cfRule>
  </conditionalFormatting>
  <conditionalFormatting sqref="A535:I535 A592:H592 I565:I592 J535:P592">
    <cfRule type="containsText" dxfId="0" priority="550" operator="containsText" text="Problem">
      <formula>NOT(ISERROR(SEARCH(("Problem"),(A535))))</formula>
    </cfRule>
  </conditionalFormatting>
  <conditionalFormatting sqref="A535:I535 A592:H592 I565:I592 J535:P592">
    <cfRule type="containsText" dxfId="0" priority="551" operator="containsText" text="Problem">
      <formula>NOT(ISERROR(SEARCH(("Problem"),(A535))))</formula>
    </cfRule>
  </conditionalFormatting>
  <conditionalFormatting sqref="D211:D235">
    <cfRule type="containsText" dxfId="0" priority="552" operator="containsText" text="Problem">
      <formula>NOT(ISERROR(SEARCH(("Problem"),(D211))))</formula>
    </cfRule>
  </conditionalFormatting>
  <conditionalFormatting sqref="D211:D235">
    <cfRule type="containsText" dxfId="0" priority="553" operator="containsText" text="Problem">
      <formula>NOT(ISERROR(SEARCH(("Problem"),(D211))))</formula>
    </cfRule>
  </conditionalFormatting>
  <conditionalFormatting sqref="A298 J298:P298">
    <cfRule type="containsText" dxfId="0" priority="554" operator="containsText" text="Problem">
      <formula>NOT(ISERROR(SEARCH(("Problem"),(A298))))</formula>
    </cfRule>
  </conditionalFormatting>
  <conditionalFormatting sqref="A298 J298:P298">
    <cfRule type="containsText" dxfId="0" priority="555" operator="containsText" text="Problem">
      <formula>NOT(ISERROR(SEARCH(("Problem"),(A298))))</formula>
    </cfRule>
  </conditionalFormatting>
  <conditionalFormatting sqref="A298 J298:P298">
    <cfRule type="containsText" dxfId="0" priority="556" operator="containsText" text="Problem">
      <formula>NOT(ISERROR(SEARCH(("Problem"),(A298))))</formula>
    </cfRule>
  </conditionalFormatting>
  <conditionalFormatting sqref="F655:F682">
    <cfRule type="containsText" dxfId="0" priority="557" operator="containsText" text="Problem">
      <formula>NOT(ISERROR(SEARCH(("Problem"),(F655))))</formula>
    </cfRule>
  </conditionalFormatting>
  <conditionalFormatting sqref="F655:F682">
    <cfRule type="containsText" dxfId="0" priority="558" operator="containsText" text="Problem">
      <formula>NOT(ISERROR(SEARCH(("Problem"),(F655))))</formula>
    </cfRule>
  </conditionalFormatting>
  <conditionalFormatting sqref="F655:F682">
    <cfRule type="containsText" dxfId="0" priority="559" operator="containsText" text="Problem">
      <formula>NOT(ISERROR(SEARCH(("Problem"),(F655))))</formula>
    </cfRule>
  </conditionalFormatting>
  <conditionalFormatting sqref="F596:F623">
    <cfRule type="containsText" dxfId="0" priority="560" operator="containsText" text="Problem">
      <formula>NOT(ISERROR(SEARCH(("Problem"),(F596))))</formula>
    </cfRule>
  </conditionalFormatting>
  <conditionalFormatting sqref="F596:F623">
    <cfRule type="containsText" dxfId="0" priority="561" operator="containsText" text="Problem">
      <formula>NOT(ISERROR(SEARCH(("Problem"),(F596))))</formula>
    </cfRule>
  </conditionalFormatting>
  <conditionalFormatting sqref="F596:F623">
    <cfRule type="containsText" dxfId="0" priority="562" operator="containsText" text="Problem">
      <formula>NOT(ISERROR(SEARCH(("Problem"),(F596))))</formula>
    </cfRule>
  </conditionalFormatting>
  <conditionalFormatting sqref="H536">
    <cfRule type="containsText" dxfId="0" priority="563" operator="containsText" text="Problem">
      <formula>NOT(ISERROR(SEARCH(("Problem"),(H536))))</formula>
    </cfRule>
  </conditionalFormatting>
  <conditionalFormatting sqref="H536">
    <cfRule type="containsText" dxfId="0" priority="564" operator="containsText" text="Problem">
      <formula>NOT(ISERROR(SEARCH(("Problem"),(H536))))</formula>
    </cfRule>
  </conditionalFormatting>
  <conditionalFormatting sqref="H536">
    <cfRule type="containsText" dxfId="0" priority="565" operator="containsText" text="Problem">
      <formula>NOT(ISERROR(SEARCH(("Problem"),(H536))))</formula>
    </cfRule>
  </conditionalFormatting>
  <conditionalFormatting sqref="H831">
    <cfRule type="containsText" dxfId="0" priority="566" operator="containsText" text="Problem">
      <formula>NOT(ISERROR(SEARCH(("Problem"),(H831))))</formula>
    </cfRule>
  </conditionalFormatting>
  <conditionalFormatting sqref="H831">
    <cfRule type="containsText" dxfId="0" priority="567" operator="containsText" text="Problem">
      <formula>NOT(ISERROR(SEARCH(("Problem"),(H831))))</formula>
    </cfRule>
  </conditionalFormatting>
  <conditionalFormatting sqref="H831">
    <cfRule type="containsText" dxfId="0" priority="568" operator="containsText" text="Problem">
      <formula>NOT(ISERROR(SEARCH(("Problem"),(H831))))</formula>
    </cfRule>
  </conditionalFormatting>
  <conditionalFormatting sqref="E831">
    <cfRule type="containsText" dxfId="0" priority="569" operator="containsText" text="Problem">
      <formula>NOT(ISERROR(SEARCH(("Problem"),(E831))))</formula>
    </cfRule>
  </conditionalFormatting>
  <conditionalFormatting sqref="E831">
    <cfRule type="containsText" dxfId="0" priority="570" operator="containsText" text="Problem">
      <formula>NOT(ISERROR(SEARCH(("Problem"),(E831))))</formula>
    </cfRule>
  </conditionalFormatting>
  <conditionalFormatting sqref="E831">
    <cfRule type="containsText" dxfId="0" priority="571" operator="containsText" text="Problem">
      <formula>NOT(ISERROR(SEARCH(("Problem"),(E831))))</formula>
    </cfRule>
  </conditionalFormatting>
  <conditionalFormatting sqref="G536">
    <cfRule type="containsText" dxfId="0" priority="572" operator="containsText" text="Problem">
      <formula>NOT(ISERROR(SEARCH(("Problem"),(G536))))</formula>
    </cfRule>
  </conditionalFormatting>
  <conditionalFormatting sqref="G536">
    <cfRule type="containsText" dxfId="0" priority="573" operator="containsText" text="Problem">
      <formula>NOT(ISERROR(SEARCH(("Problem"),(G536))))</formula>
    </cfRule>
  </conditionalFormatting>
  <conditionalFormatting sqref="G536">
    <cfRule type="containsText" dxfId="0" priority="574" operator="containsText" text="Problem">
      <formula>NOT(ISERROR(SEARCH(("Problem"),(G536))))</formula>
    </cfRule>
  </conditionalFormatting>
  <conditionalFormatting sqref="D6:D34">
    <cfRule type="containsText" dxfId="0" priority="575" operator="containsText" text="Problem">
      <formula>NOT(ISERROR(SEARCH(("Problem"),(D6))))</formula>
    </cfRule>
  </conditionalFormatting>
  <conditionalFormatting sqref="D6:D34">
    <cfRule type="containsText" dxfId="0" priority="576" operator="containsText" text="Problem">
      <formula>NOT(ISERROR(SEARCH(("Problem"),(D6))))</formula>
    </cfRule>
  </conditionalFormatting>
  <conditionalFormatting sqref="D6:D34">
    <cfRule type="containsText" dxfId="0" priority="577" operator="containsText" text="Problem">
      <formula>NOT(ISERROR(SEARCH(("Problem"),(D6))))</formula>
    </cfRule>
  </conditionalFormatting>
  <conditionalFormatting sqref="A889:C889 A946:P946 D889:D890 E889:I889 J889:P890 K891:P945">
    <cfRule type="containsText" dxfId="0" priority="578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579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580" operator="containsText" text="Problem">
      <formula>NOT(ISERROR(SEARCH(("Problem"),(A889))))</formula>
    </cfRule>
  </conditionalFormatting>
  <conditionalFormatting sqref="E5">
    <cfRule type="containsText" dxfId="0" priority="581" operator="containsText" text="Problem">
      <formula>NOT(ISERROR(SEARCH(("Problem"),(E5))))</formula>
    </cfRule>
  </conditionalFormatting>
  <conditionalFormatting sqref="E5">
    <cfRule type="containsText" dxfId="0" priority="582" operator="containsText" text="Problem">
      <formula>NOT(ISERROR(SEARCH(("Problem"),(E5))))</formula>
    </cfRule>
  </conditionalFormatting>
  <conditionalFormatting sqref="E5">
    <cfRule type="containsText" dxfId="0" priority="583" operator="containsText" text="Problem">
      <formula>NOT(ISERROR(SEARCH(("Problem"),(E5))))</formula>
    </cfRule>
  </conditionalFormatting>
  <conditionalFormatting sqref="A64:A119">
    <cfRule type="containsText" dxfId="0" priority="584" operator="containsText" text="Problem">
      <formula>NOT(ISERROR(SEARCH(("Problem"),(A64))))</formula>
    </cfRule>
  </conditionalFormatting>
  <conditionalFormatting sqref="A64:A119">
    <cfRule type="containsText" dxfId="0" priority="585" operator="containsText" text="Problem">
      <formula>NOT(ISERROR(SEARCH(("Problem"),(A64))))</formula>
    </cfRule>
  </conditionalFormatting>
  <conditionalFormatting sqref="A64:A119">
    <cfRule type="containsText" dxfId="0" priority="586" operator="containsText" text="Problem">
      <formula>NOT(ISERROR(SEARCH(("Problem"),(A64))))</formula>
    </cfRule>
  </conditionalFormatting>
  <conditionalFormatting sqref="D413:D414 E388:H414">
    <cfRule type="containsText" dxfId="0" priority="587" operator="containsText" text="Problem">
      <formula>NOT(ISERROR(SEARCH(("Problem"),(D413))))</formula>
    </cfRule>
  </conditionalFormatting>
  <conditionalFormatting sqref="D413:D414 E388:H414">
    <cfRule type="containsText" dxfId="0" priority="588" operator="containsText" text="Problem">
      <formula>NOT(ISERROR(SEARCH(("Problem"),(D413))))</formula>
    </cfRule>
  </conditionalFormatting>
  <conditionalFormatting sqref="D413:D414 E388:H414">
    <cfRule type="containsText" dxfId="0" priority="589" operator="containsText" text="Problem">
      <formula>NOT(ISERROR(SEARCH(("Problem"),(D413))))</formula>
    </cfRule>
  </conditionalFormatting>
  <conditionalFormatting sqref="A830:I830 A887:H887 I860:I887 J830:P887">
    <cfRule type="containsText" dxfId="0" priority="590" operator="containsText" text="Problem">
      <formula>NOT(ISERROR(SEARCH(("Problem"),(A830))))</formula>
    </cfRule>
  </conditionalFormatting>
  <conditionalFormatting sqref="A830:I830 A887:H887 I860:I887 J830:P887">
    <cfRule type="containsText" dxfId="0" priority="591" operator="containsText" text="Problem">
      <formula>NOT(ISERROR(SEARCH(("Problem"),(A830))))</formula>
    </cfRule>
  </conditionalFormatting>
  <conditionalFormatting sqref="A830:I830 A887:H887 I860:I887 J830:P887">
    <cfRule type="containsText" dxfId="0" priority="592" operator="containsText" text="Problem">
      <formula>NOT(ISERROR(SEARCH(("Problem"),(A830))))</formula>
    </cfRule>
  </conditionalFormatting>
  <conditionalFormatting sqref="D891:D945 J891:J945">
    <cfRule type="containsText" dxfId="0" priority="593" operator="containsText" text="Problem">
      <formula>NOT(ISERROR(SEARCH(("Problem"),(D891))))</formula>
    </cfRule>
  </conditionalFormatting>
  <conditionalFormatting sqref="D891:D945 J891:J945">
    <cfRule type="containsText" dxfId="0" priority="594" operator="containsText" text="Problem">
      <formula>NOT(ISERROR(SEARCH(("Problem"),(D891))))</formula>
    </cfRule>
  </conditionalFormatting>
  <conditionalFormatting sqref="D891:D945 J891:J945">
    <cfRule type="containsText" dxfId="0" priority="595" operator="containsText" text="Problem">
      <formula>NOT(ISERROR(SEARCH(("Problem"),(D891))))</formula>
    </cfRule>
  </conditionalFormatting>
  <conditionalFormatting sqref="A888 E888:P888">
    <cfRule type="containsText" dxfId="0" priority="596" operator="containsText" text="Problem">
      <formula>NOT(ISERROR(SEARCH(("Problem"),(A888))))</formula>
    </cfRule>
  </conditionalFormatting>
  <conditionalFormatting sqref="A888 E888:P888">
    <cfRule type="containsText" dxfId="0" priority="597" operator="containsText" text="Problem">
      <formula>NOT(ISERROR(SEARCH(("Problem"),(A888))))</formula>
    </cfRule>
  </conditionalFormatting>
  <conditionalFormatting sqref="A888 E888:P888">
    <cfRule type="containsText" dxfId="0" priority="598" operator="containsText" text="Problem">
      <formula>NOT(ISERROR(SEARCH(("Problem"),(A888))))</formula>
    </cfRule>
  </conditionalFormatting>
  <conditionalFormatting sqref="D683:D707">
    <cfRule type="containsText" dxfId="0" priority="599" operator="containsText" text="Problem">
      <formula>NOT(ISERROR(SEARCH(("Problem"),(D683))))</formula>
    </cfRule>
  </conditionalFormatting>
  <conditionalFormatting sqref="D683:D707">
    <cfRule type="containsText" dxfId="0" priority="600" operator="containsText" text="Problem">
      <formula>NOT(ISERROR(SEARCH(("Problem"),(D683))))</formula>
    </cfRule>
  </conditionalFormatting>
  <conditionalFormatting sqref="C770 E770:I770">
    <cfRule type="containsText" dxfId="0" priority="601" operator="containsText" text="Problem">
      <formula>NOT(ISERROR(SEARCH(("Problem"),(C770))))</formula>
    </cfRule>
  </conditionalFormatting>
  <conditionalFormatting sqref="C770 E770:I770">
    <cfRule type="containsText" dxfId="0" priority="602" operator="containsText" text="Problem">
      <formula>NOT(ISERROR(SEARCH(("Problem"),(C770))))</formula>
    </cfRule>
  </conditionalFormatting>
  <conditionalFormatting sqref="C770 E770:I770">
    <cfRule type="containsText" dxfId="0" priority="603" operator="containsText" text="Problem">
      <formula>NOT(ISERROR(SEARCH(("Problem"),(C770))))</formula>
    </cfRule>
  </conditionalFormatting>
  <conditionalFormatting sqref="I595">
    <cfRule type="containsText" dxfId="0" priority="604" operator="containsText" text="Problem">
      <formula>NOT(ISERROR(SEARCH(("Problem"),(I595))))</formula>
    </cfRule>
  </conditionalFormatting>
  <conditionalFormatting sqref="I595">
    <cfRule type="containsText" dxfId="0" priority="605" operator="containsText" text="Problem">
      <formula>NOT(ISERROR(SEARCH(("Problem"),(I595))))</formula>
    </cfRule>
  </conditionalFormatting>
  <conditionalFormatting sqref="I595">
    <cfRule type="containsText" dxfId="0" priority="606" operator="containsText" text="Problem">
      <formula>NOT(ISERROR(SEARCH(("Problem"),(I595))))</formula>
    </cfRule>
  </conditionalFormatting>
  <conditionalFormatting sqref="D773:D800">
    <cfRule type="containsText" dxfId="0" priority="607" operator="containsText" text="Problem">
      <formula>NOT(ISERROR(SEARCH(("Problem"),(D773))))</formula>
    </cfRule>
  </conditionalFormatting>
  <conditionalFormatting sqref="D773:D800">
    <cfRule type="containsText" dxfId="0" priority="608" operator="containsText" text="Problem">
      <formula>NOT(ISERROR(SEARCH(("Problem"),(D773))))</formula>
    </cfRule>
  </conditionalFormatting>
  <conditionalFormatting sqref="D773:D800">
    <cfRule type="containsText" dxfId="0" priority="609" operator="containsText" text="Problem">
      <formula>NOT(ISERROR(SEARCH(("Problem"),(D773))))</formula>
    </cfRule>
  </conditionalFormatting>
  <conditionalFormatting sqref="A712:I712 A769:H769 I742:I769 J712:P769">
    <cfRule type="containsText" dxfId="0" priority="610" operator="containsText" text="Problem">
      <formula>NOT(ISERROR(SEARCH(("Problem"),(A712))))</formula>
    </cfRule>
  </conditionalFormatting>
  <conditionalFormatting sqref="A712:I712 A769:H769 I742:I769 J712:P769">
    <cfRule type="containsText" dxfId="0" priority="611" operator="containsText" text="Problem">
      <formula>NOT(ISERROR(SEARCH(("Problem"),(A712))))</formula>
    </cfRule>
  </conditionalFormatting>
  <conditionalFormatting sqref="A712:I712 A769:H769 I742:I769 J712:P769">
    <cfRule type="containsText" dxfId="0" priority="612" operator="containsText" text="Problem">
      <formula>NOT(ISERROR(SEARCH(("Problem"),(A712))))</formula>
    </cfRule>
  </conditionalFormatting>
  <conditionalFormatting sqref="A654:A709">
    <cfRule type="containsText" dxfId="0" priority="613" operator="containsText" text="Problem">
      <formula>NOT(ISERROR(SEARCH(("Problem"),(A654))))</formula>
    </cfRule>
  </conditionalFormatting>
  <conditionalFormatting sqref="A654:A709">
    <cfRule type="containsText" dxfId="0" priority="614" operator="containsText" text="Problem">
      <formula>NOT(ISERROR(SEARCH(("Problem"),(A654))))</formula>
    </cfRule>
  </conditionalFormatting>
  <conditionalFormatting sqref="A654:A709">
    <cfRule type="containsText" dxfId="0" priority="615" operator="containsText" text="Problem">
      <formula>NOT(ISERROR(SEARCH(("Problem"),(A654))))</formula>
    </cfRule>
  </conditionalFormatting>
  <conditionalFormatting sqref="F300">
    <cfRule type="containsText" dxfId="0" priority="616" operator="containsText" text="Problem">
      <formula>NOT(ISERROR(SEARCH(("Problem"),(F300))))</formula>
    </cfRule>
  </conditionalFormatting>
  <conditionalFormatting sqref="F300">
    <cfRule type="containsText" dxfId="0" priority="617" operator="containsText" text="Problem">
      <formula>NOT(ISERROR(SEARCH(("Problem"),(F300))))</formula>
    </cfRule>
  </conditionalFormatting>
  <conditionalFormatting sqref="F300">
    <cfRule type="containsText" dxfId="0" priority="618" operator="containsText" text="Problem">
      <formula>NOT(ISERROR(SEARCH(("Problem"),(F300))))</formula>
    </cfRule>
  </conditionalFormatting>
  <conditionalFormatting sqref="D506:D530">
    <cfRule type="containsText" dxfId="0" priority="619" operator="containsText" text="Problem">
      <formula>NOT(ISERROR(SEARCH(("Problem"),(D506))))</formula>
    </cfRule>
  </conditionalFormatting>
  <conditionalFormatting sqref="D506:D530">
    <cfRule type="containsText" dxfId="0" priority="620" operator="containsText" text="Problem">
      <formula>NOT(ISERROR(SEARCH(("Problem"),(D506))))</formula>
    </cfRule>
  </conditionalFormatting>
  <conditionalFormatting sqref="A300:A355">
    <cfRule type="containsText" dxfId="0" priority="621" operator="containsText" text="Problem">
      <formula>NOT(ISERROR(SEARCH(("Problem"),(A300))))</formula>
    </cfRule>
  </conditionalFormatting>
  <conditionalFormatting sqref="A300:A355">
    <cfRule type="containsText" dxfId="0" priority="622" operator="containsText" text="Problem">
      <formula>NOT(ISERROR(SEARCH(("Problem"),(A300))))</formula>
    </cfRule>
  </conditionalFormatting>
  <conditionalFormatting sqref="A300:A355">
    <cfRule type="containsText" dxfId="0" priority="623" operator="containsText" text="Problem">
      <formula>NOT(ISERROR(SEARCH(("Problem"),(A300))))</formula>
    </cfRule>
  </conditionalFormatting>
  <conditionalFormatting sqref="H418">
    <cfRule type="containsText" dxfId="0" priority="624" operator="containsText" text="Problem">
      <formula>NOT(ISERROR(SEARCH(("Problem"),(H418))))</formula>
    </cfRule>
  </conditionalFormatting>
  <conditionalFormatting sqref="H418">
    <cfRule type="containsText" dxfId="0" priority="625" operator="containsText" text="Problem">
      <formula>NOT(ISERROR(SEARCH(("Problem"),(H418))))</formula>
    </cfRule>
  </conditionalFormatting>
  <conditionalFormatting sqref="H418">
    <cfRule type="containsText" dxfId="0" priority="626" operator="containsText" text="Problem">
      <formula>NOT(ISERROR(SEARCH(("Problem"),(H418))))</formula>
    </cfRule>
  </conditionalFormatting>
  <conditionalFormatting sqref="D590:D591 E565:H591">
    <cfRule type="containsText" dxfId="0" priority="627" operator="containsText" text="Problem">
      <formula>NOT(ISERROR(SEARCH(("Problem"),(D590))))</formula>
    </cfRule>
  </conditionalFormatting>
  <conditionalFormatting sqref="D590:D591 E565:H591">
    <cfRule type="containsText" dxfId="0" priority="628" operator="containsText" text="Problem">
      <formula>NOT(ISERROR(SEARCH(("Problem"),(D590))))</formula>
    </cfRule>
  </conditionalFormatting>
  <conditionalFormatting sqref="D590:D591 E565:H591">
    <cfRule type="containsText" dxfId="0" priority="629" operator="containsText" text="Problem">
      <formula>NOT(ISERROR(SEARCH(("Problem"),(D590))))</formula>
    </cfRule>
  </conditionalFormatting>
  <conditionalFormatting sqref="H773:H800">
    <cfRule type="containsText" dxfId="0" priority="630" operator="containsText" text="Problem">
      <formula>NOT(ISERROR(SEARCH(("Problem"),(H773))))</formula>
    </cfRule>
  </conditionalFormatting>
  <conditionalFormatting sqref="H773:H800">
    <cfRule type="containsText" dxfId="0" priority="631" operator="containsText" text="Problem">
      <formula>NOT(ISERROR(SEARCH(("Problem"),(H773))))</formula>
    </cfRule>
  </conditionalFormatting>
  <conditionalFormatting sqref="H773:H800">
    <cfRule type="containsText" dxfId="0" priority="632" operator="containsText" text="Problem">
      <formula>NOT(ISERROR(SEARCH(("Problem"),(H773))))</formula>
    </cfRule>
  </conditionalFormatting>
  <conditionalFormatting sqref="F714:F741">
    <cfRule type="containsText" dxfId="0" priority="633" operator="containsText" text="Problem">
      <formula>NOT(ISERROR(SEARCH(("Problem"),(F714))))</formula>
    </cfRule>
  </conditionalFormatting>
  <conditionalFormatting sqref="F714:F741">
    <cfRule type="containsText" dxfId="0" priority="634" operator="containsText" text="Problem">
      <formula>NOT(ISERROR(SEARCH(("Problem"),(F714))))</formula>
    </cfRule>
  </conditionalFormatting>
  <conditionalFormatting sqref="F714:F741">
    <cfRule type="containsText" dxfId="0" priority="635" operator="containsText" text="Problem">
      <formula>NOT(ISERROR(SEARCH(("Problem"),(F714))))</formula>
    </cfRule>
  </conditionalFormatting>
  <conditionalFormatting sqref="D767:D768 E742:H768">
    <cfRule type="containsText" dxfId="0" priority="636" operator="containsText" text="Problem">
      <formula>NOT(ISERROR(SEARCH(("Problem"),(D767))))</formula>
    </cfRule>
  </conditionalFormatting>
  <conditionalFormatting sqref="D767:D768 E742:H768">
    <cfRule type="containsText" dxfId="0" priority="637" operator="containsText" text="Problem">
      <formula>NOT(ISERROR(SEARCH(("Problem"),(D767))))</formula>
    </cfRule>
  </conditionalFormatting>
  <conditionalFormatting sqref="D767:D768 E742:H768">
    <cfRule type="containsText" dxfId="0" priority="638" operator="containsText" text="Problem">
      <formula>NOT(ISERROR(SEARCH(("Problem"),(D767))))</formula>
    </cfRule>
  </conditionalFormatting>
  <conditionalFormatting sqref="E595">
    <cfRule type="containsText" dxfId="0" priority="639" operator="containsText" text="Problem">
      <formula>NOT(ISERROR(SEARCH(("Problem"),(E595))))</formula>
    </cfRule>
  </conditionalFormatting>
  <conditionalFormatting sqref="E595">
    <cfRule type="containsText" dxfId="0" priority="640" operator="containsText" text="Problem">
      <formula>NOT(ISERROR(SEARCH(("Problem"),(E595))))</formula>
    </cfRule>
  </conditionalFormatting>
  <conditionalFormatting sqref="E595">
    <cfRule type="containsText" dxfId="0" priority="641" operator="containsText" text="Problem">
      <formula>NOT(ISERROR(SEARCH(("Problem"),(E595))))</formula>
    </cfRule>
  </conditionalFormatting>
  <conditionalFormatting sqref="F713">
    <cfRule type="containsText" dxfId="0" priority="642" operator="containsText" text="Problem">
      <formula>NOT(ISERROR(SEARCH(("Problem"),(F713))))</formula>
    </cfRule>
  </conditionalFormatting>
  <conditionalFormatting sqref="F713">
    <cfRule type="containsText" dxfId="0" priority="643" operator="containsText" text="Problem">
      <formula>NOT(ISERROR(SEARCH(("Problem"),(F713))))</formula>
    </cfRule>
  </conditionalFormatting>
  <conditionalFormatting sqref="F713">
    <cfRule type="containsText" dxfId="0" priority="644" operator="containsText" text="Problem">
      <formula>NOT(ISERROR(SEARCH(("Problem"),(F713))))</formula>
    </cfRule>
  </conditionalFormatting>
  <conditionalFormatting sqref="G360:G387">
    <cfRule type="containsText" dxfId="0" priority="645" operator="containsText" text="Problem">
      <formula>NOT(ISERROR(SEARCH(("Problem"),(G360))))</formula>
    </cfRule>
  </conditionalFormatting>
  <conditionalFormatting sqref="G360:G387">
    <cfRule type="containsText" dxfId="0" priority="646" operator="containsText" text="Problem">
      <formula>NOT(ISERROR(SEARCH(("Problem"),(G360))))</formula>
    </cfRule>
  </conditionalFormatting>
  <conditionalFormatting sqref="G360:G387">
    <cfRule type="containsText" dxfId="0" priority="647" operator="containsText" text="Problem">
      <formula>NOT(ISERROR(SEARCH(("Problem"),(G360))))</formula>
    </cfRule>
  </conditionalFormatting>
  <conditionalFormatting sqref="G359">
    <cfRule type="containsText" dxfId="0" priority="648" operator="containsText" text="Problem">
      <formula>NOT(ISERROR(SEARCH(("Problem"),(G359))))</formula>
    </cfRule>
  </conditionalFormatting>
  <conditionalFormatting sqref="G359">
    <cfRule type="containsText" dxfId="0" priority="649" operator="containsText" text="Problem">
      <formula>NOT(ISERROR(SEARCH(("Problem"),(G359))))</formula>
    </cfRule>
  </conditionalFormatting>
  <conditionalFormatting sqref="G359">
    <cfRule type="containsText" dxfId="0" priority="650" operator="containsText" text="Problem">
      <formula>NOT(ISERROR(SEARCH(("Problem"),(G359))))</formula>
    </cfRule>
  </conditionalFormatting>
  <conditionalFormatting sqref="D478:D505">
    <cfRule type="containsText" dxfId="0" priority="651" operator="containsText" text="Problem">
      <formula>NOT(ISERROR(SEARCH(("Problem"),(D478))))</formula>
    </cfRule>
  </conditionalFormatting>
  <conditionalFormatting sqref="D478:D505">
    <cfRule type="containsText" dxfId="0" priority="652" operator="containsText" text="Problem">
      <formula>NOT(ISERROR(SEARCH(("Problem"),(D478))))</formula>
    </cfRule>
  </conditionalFormatting>
  <conditionalFormatting sqref="D478:D505">
    <cfRule type="containsText" dxfId="0" priority="653" operator="containsText" text="Problem">
      <formula>NOT(ISERROR(SEARCH(("Problem"),(D478))))</formula>
    </cfRule>
  </conditionalFormatting>
  <conditionalFormatting sqref="A770 J770:P770">
    <cfRule type="containsText" dxfId="0" priority="654" operator="containsText" text="Problem">
      <formula>NOT(ISERROR(SEARCH(("Problem"),(A770))))</formula>
    </cfRule>
  </conditionalFormatting>
  <conditionalFormatting sqref="A770 J770:P770">
    <cfRule type="containsText" dxfId="0" priority="655" operator="containsText" text="Problem">
      <formula>NOT(ISERROR(SEARCH(("Problem"),(A770))))</formula>
    </cfRule>
  </conditionalFormatting>
  <conditionalFormatting sqref="A770 J770:P770">
    <cfRule type="containsText" dxfId="0" priority="656" operator="containsText" text="Problem">
      <formula>NOT(ISERROR(SEARCH(("Problem"),(A770))))</formula>
    </cfRule>
  </conditionalFormatting>
  <conditionalFormatting sqref="A594:I594 A651:H651 I624:I651 J594:P651">
    <cfRule type="containsText" dxfId="0" priority="657" operator="containsText" text="Problem">
      <formula>NOT(ISERROR(SEARCH(("Problem"),(A594))))</formula>
    </cfRule>
  </conditionalFormatting>
  <conditionalFormatting sqref="A594:I594 A651:H651 I624:I651 J594:P651">
    <cfRule type="containsText" dxfId="0" priority="658" operator="containsText" text="Problem">
      <formula>NOT(ISERROR(SEARCH(("Problem"),(A594))))</formula>
    </cfRule>
  </conditionalFormatting>
  <conditionalFormatting sqref="A594:I594 A651:H651 I624:I651 J594:P651">
    <cfRule type="containsText" dxfId="0" priority="659" operator="containsText" text="Problem">
      <formula>NOT(ISERROR(SEARCH(("Problem"),(A594))))</formula>
    </cfRule>
  </conditionalFormatting>
  <conditionalFormatting sqref="I64">
    <cfRule type="containsText" dxfId="0" priority="660" operator="containsText" text="Problem">
      <formula>NOT(ISERROR(SEARCH(("Problem"),(I64))))</formula>
    </cfRule>
  </conditionalFormatting>
  <conditionalFormatting sqref="I64">
    <cfRule type="containsText" dxfId="0" priority="661" operator="containsText" text="Problem">
      <formula>NOT(ISERROR(SEARCH(("Problem"),(I64))))</formula>
    </cfRule>
  </conditionalFormatting>
  <conditionalFormatting sqref="I64">
    <cfRule type="containsText" dxfId="0" priority="662" operator="containsText" text="Problem">
      <formula>NOT(ISERROR(SEARCH(("Problem"),(I64))))</formula>
    </cfRule>
  </conditionalFormatting>
  <conditionalFormatting sqref="D826:D827 E801:H827">
    <cfRule type="containsText" dxfId="0" priority="663" operator="containsText" text="Problem">
      <formula>NOT(ISERROR(SEARCH(("Problem"),(D826))))</formula>
    </cfRule>
  </conditionalFormatting>
  <conditionalFormatting sqref="D826:D827 E801:H827">
    <cfRule type="containsText" dxfId="0" priority="664" operator="containsText" text="Problem">
      <formula>NOT(ISERROR(SEARCH(("Problem"),(D826))))</formula>
    </cfRule>
  </conditionalFormatting>
  <conditionalFormatting sqref="D826:D827 E801:H827">
    <cfRule type="containsText" dxfId="0" priority="665" operator="containsText" text="Problem">
      <formula>NOT(ISERROR(SEARCH(("Problem"),(D826))))</formula>
    </cfRule>
  </conditionalFormatting>
  <conditionalFormatting sqref="H300">
    <cfRule type="containsText" dxfId="0" priority="666" operator="containsText" text="Problem">
      <formula>NOT(ISERROR(SEARCH(("Problem"),(H300))))</formula>
    </cfRule>
  </conditionalFormatting>
  <conditionalFormatting sqref="H300">
    <cfRule type="containsText" dxfId="0" priority="667" operator="containsText" text="Problem">
      <formula>NOT(ISERROR(SEARCH(("Problem"),(H300))))</formula>
    </cfRule>
  </conditionalFormatting>
  <conditionalFormatting sqref="H300">
    <cfRule type="containsText" dxfId="0" priority="668" operator="containsText" text="Problem">
      <formula>NOT(ISERROR(SEARCH(("Problem"),(H300))))</formula>
    </cfRule>
  </conditionalFormatting>
  <conditionalFormatting sqref="H183:H210">
    <cfRule type="containsText" dxfId="0" priority="669" operator="containsText" text="Problem">
      <formula>NOT(ISERROR(SEARCH(("Problem"),(H183))))</formula>
    </cfRule>
  </conditionalFormatting>
  <conditionalFormatting sqref="H183:H210">
    <cfRule type="containsText" dxfId="0" priority="670" operator="containsText" text="Problem">
      <formula>NOT(ISERROR(SEARCH(("Problem"),(H183))))</formula>
    </cfRule>
  </conditionalFormatting>
  <conditionalFormatting sqref="H183:H210">
    <cfRule type="containsText" dxfId="0" priority="671" operator="containsText" text="Problem">
      <formula>NOT(ISERROR(SEARCH(("Problem"),(H183))))</formula>
    </cfRule>
  </conditionalFormatting>
  <conditionalFormatting sqref="D241">
    <cfRule type="containsText" dxfId="0" priority="672" operator="containsText" text="Problem">
      <formula>NOT(ISERROR(SEARCH(("Problem"),(D241))))</formula>
    </cfRule>
  </conditionalFormatting>
  <conditionalFormatting sqref="D301:D328">
    <cfRule type="containsText" dxfId="0" priority="673" operator="containsText" text="Problem">
      <formula>NOT(ISERROR(SEARCH(("Problem"),(D301))))</formula>
    </cfRule>
  </conditionalFormatting>
  <conditionalFormatting sqref="D301:D328">
    <cfRule type="containsText" dxfId="0" priority="674" operator="containsText" text="Problem">
      <formula>NOT(ISERROR(SEARCH(("Problem"),(D301))))</formula>
    </cfRule>
  </conditionalFormatting>
  <conditionalFormatting sqref="D301:D328">
    <cfRule type="containsText" dxfId="0" priority="675" operator="containsText" text="Problem">
      <formula>NOT(ISERROR(SEARCH(("Problem"),(D301))))</formula>
    </cfRule>
  </conditionalFormatting>
  <conditionalFormatting sqref="E655:E682">
    <cfRule type="containsText" dxfId="0" priority="676" operator="containsText" text="Problem">
      <formula>NOT(ISERROR(SEARCH(("Problem"),(E655))))</formula>
    </cfRule>
  </conditionalFormatting>
  <conditionalFormatting sqref="E655:E682">
    <cfRule type="containsText" dxfId="0" priority="677" operator="containsText" text="Problem">
      <formula>NOT(ISERROR(SEARCH(("Problem"),(E655))))</formula>
    </cfRule>
  </conditionalFormatting>
  <conditionalFormatting sqref="E655:E682">
    <cfRule type="containsText" dxfId="0" priority="678" operator="containsText" text="Problem">
      <formula>NOT(ISERROR(SEARCH(("Problem"),(E655))))</formula>
    </cfRule>
  </conditionalFormatting>
  <conditionalFormatting sqref="H477">
    <cfRule type="containsText" dxfId="0" priority="679" operator="containsText" text="Problem">
      <formula>NOT(ISERROR(SEARCH(("Problem"),(H477))))</formula>
    </cfRule>
  </conditionalFormatting>
  <conditionalFormatting sqref="H477">
    <cfRule type="containsText" dxfId="0" priority="680" operator="containsText" text="Problem">
      <formula>NOT(ISERROR(SEARCH(("Problem"),(H477))))</formula>
    </cfRule>
  </conditionalFormatting>
  <conditionalFormatting sqref="H477">
    <cfRule type="containsText" dxfId="0" priority="681" operator="containsText" text="Problem">
      <formula>NOT(ISERROR(SEARCH(("Problem"),(H477))))</formula>
    </cfRule>
  </conditionalFormatting>
  <conditionalFormatting sqref="G124:G151">
    <cfRule type="containsText" dxfId="0" priority="682" operator="containsText" text="Problem">
      <formula>NOT(ISERROR(SEARCH(("Problem"),(G124))))</formula>
    </cfRule>
  </conditionalFormatting>
  <conditionalFormatting sqref="G124:G151">
    <cfRule type="containsText" dxfId="0" priority="683" operator="containsText" text="Problem">
      <formula>NOT(ISERROR(SEARCH(("Problem"),(G124))))</formula>
    </cfRule>
  </conditionalFormatting>
  <conditionalFormatting sqref="G124:G151">
    <cfRule type="containsText" dxfId="0" priority="684" operator="containsText" text="Problem">
      <formula>NOT(ISERROR(SEARCH(("Problem"),(G124))))</formula>
    </cfRule>
  </conditionalFormatting>
  <conditionalFormatting sqref="A181:P181 A238:H238 I211:I238 J182:M238 O182:P238">
    <cfRule type="containsText" dxfId="0" priority="685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686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687" operator="containsText" text="Problem">
      <formula>NOT(ISERROR(SEARCH(("Problem"),(A181))))</formula>
    </cfRule>
  </conditionalFormatting>
  <conditionalFormatting sqref="F772">
    <cfRule type="containsText" dxfId="0" priority="688" operator="containsText" text="Problem">
      <formula>NOT(ISERROR(SEARCH(("Problem"),(F772))))</formula>
    </cfRule>
  </conditionalFormatting>
  <conditionalFormatting sqref="F772">
    <cfRule type="containsText" dxfId="0" priority="689" operator="containsText" text="Problem">
      <formula>NOT(ISERROR(SEARCH(("Problem"),(F772))))</formula>
    </cfRule>
  </conditionalFormatting>
  <conditionalFormatting sqref="F772">
    <cfRule type="containsText" dxfId="0" priority="690" operator="containsText" text="Problem">
      <formula>NOT(ISERROR(SEARCH(("Problem"),(F772))))</formula>
    </cfRule>
  </conditionalFormatting>
  <conditionalFormatting sqref="A771:I771 A828:H828 I801:I828 J771:P828">
    <cfRule type="containsText" dxfId="0" priority="691" operator="containsText" text="Problem">
      <formula>NOT(ISERROR(SEARCH(("Problem"),(A771))))</formula>
    </cfRule>
  </conditionalFormatting>
  <conditionalFormatting sqref="A771:I771 A828:H828 I801:I828 J771:P828">
    <cfRule type="containsText" dxfId="0" priority="692" operator="containsText" text="Problem">
      <formula>NOT(ISERROR(SEARCH(("Problem"),(A771))))</formula>
    </cfRule>
  </conditionalFormatting>
  <conditionalFormatting sqref="A771:I771 A828:H828 I801:I828 J771:P828">
    <cfRule type="containsText" dxfId="0" priority="693" operator="containsText" text="Problem">
      <formula>NOT(ISERROR(SEARCH(("Problem"),(A771))))</formula>
    </cfRule>
  </conditionalFormatting>
  <conditionalFormatting sqref="F477">
    <cfRule type="containsText" dxfId="0" priority="694" operator="containsText" text="Problem">
      <formula>NOT(ISERROR(SEARCH(("Problem"),(F477))))</formula>
    </cfRule>
  </conditionalFormatting>
  <conditionalFormatting sqref="F477">
    <cfRule type="containsText" dxfId="0" priority="695" operator="containsText" text="Problem">
      <formula>NOT(ISERROR(SEARCH(("Problem"),(F477))))</formula>
    </cfRule>
  </conditionalFormatting>
  <conditionalFormatting sqref="F477">
    <cfRule type="containsText" dxfId="0" priority="696" operator="containsText" text="Problem">
      <formula>NOT(ISERROR(SEARCH(("Problem"),(F477))))</formula>
    </cfRule>
  </conditionalFormatting>
  <conditionalFormatting sqref="F595">
    <cfRule type="containsText" dxfId="0" priority="697" operator="containsText" text="Problem">
      <formula>NOT(ISERROR(SEARCH(("Problem"),(F595))))</formula>
    </cfRule>
  </conditionalFormatting>
  <conditionalFormatting sqref="F595">
    <cfRule type="containsText" dxfId="0" priority="698" operator="containsText" text="Problem">
      <formula>NOT(ISERROR(SEARCH(("Problem"),(F595))))</formula>
    </cfRule>
  </conditionalFormatting>
  <conditionalFormatting sqref="F595">
    <cfRule type="containsText" dxfId="0" priority="699" operator="containsText" text="Problem">
      <formula>NOT(ISERROR(SEARCH(("Problem"),(F595))))</formula>
    </cfRule>
  </conditionalFormatting>
  <conditionalFormatting sqref="A477:A532">
    <cfRule type="containsText" dxfId="0" priority="700" operator="containsText" text="Problem">
      <formula>NOT(ISERROR(SEARCH(("Problem"),(A477))))</formula>
    </cfRule>
  </conditionalFormatting>
  <conditionalFormatting sqref="A477:A532">
    <cfRule type="containsText" dxfId="0" priority="701" operator="containsText" text="Problem">
      <formula>NOT(ISERROR(SEARCH(("Problem"),(A477))))</formula>
    </cfRule>
  </conditionalFormatting>
  <conditionalFormatting sqref="A477:A532">
    <cfRule type="containsText" dxfId="0" priority="702" operator="containsText" text="Problem">
      <formula>NOT(ISERROR(SEARCH(("Problem"),(A477))))</formula>
    </cfRule>
  </conditionalFormatting>
  <conditionalFormatting sqref="D118:D119 E93:H119">
    <cfRule type="containsText" dxfId="0" priority="703" operator="containsText" text="Problem">
      <formula>NOT(ISERROR(SEARCH(("Problem"),(D118))))</formula>
    </cfRule>
  </conditionalFormatting>
  <conditionalFormatting sqref="D118:D119 E93:H119">
    <cfRule type="containsText" dxfId="0" priority="704" operator="containsText" text="Problem">
      <formula>NOT(ISERROR(SEARCH(("Problem"),(D118))))</formula>
    </cfRule>
  </conditionalFormatting>
  <conditionalFormatting sqref="D118:D119 E93:H119">
    <cfRule type="containsText" dxfId="0" priority="705" operator="containsText" text="Problem">
      <formula>NOT(ISERROR(SEARCH(("Problem"),(D118))))</formula>
    </cfRule>
  </conditionalFormatting>
  <conditionalFormatting sqref="H595">
    <cfRule type="containsText" dxfId="0" priority="706" operator="containsText" text="Problem">
      <formula>NOT(ISERROR(SEARCH(("Problem"),(H595))))</formula>
    </cfRule>
  </conditionalFormatting>
  <conditionalFormatting sqref="H595">
    <cfRule type="containsText" dxfId="0" priority="707" operator="containsText" text="Problem">
      <formula>NOT(ISERROR(SEARCH(("Problem"),(H595))))</formula>
    </cfRule>
  </conditionalFormatting>
  <conditionalFormatting sqref="H595">
    <cfRule type="containsText" dxfId="0" priority="708" operator="containsText" text="Problem">
      <formula>NOT(ISERROR(SEARCH(("Problem"),(H595))))</formula>
    </cfRule>
  </conditionalFormatting>
  <conditionalFormatting sqref="D270:D294">
    <cfRule type="containsText" dxfId="0" priority="709" operator="containsText" text="Problem">
      <formula>NOT(ISERROR(SEARCH(("Problem"),(D270))))</formula>
    </cfRule>
  </conditionalFormatting>
  <conditionalFormatting sqref="D270:D294">
    <cfRule type="containsText" dxfId="0" priority="710" operator="containsText" text="Problem">
      <formula>NOT(ISERROR(SEARCH(("Problem"),(D270))))</formula>
    </cfRule>
  </conditionalFormatting>
  <conditionalFormatting sqref="D419:D446">
    <cfRule type="containsText" dxfId="0" priority="711" operator="containsText" text="Problem">
      <formula>NOT(ISERROR(SEARCH(("Problem"),(D419))))</formula>
    </cfRule>
  </conditionalFormatting>
  <conditionalFormatting sqref="D419:D446">
    <cfRule type="containsText" dxfId="0" priority="712" operator="containsText" text="Problem">
      <formula>NOT(ISERROR(SEARCH(("Problem"),(D419))))</formula>
    </cfRule>
  </conditionalFormatting>
  <conditionalFormatting sqref="D419:D446">
    <cfRule type="containsText" dxfId="0" priority="713" operator="containsText" text="Problem">
      <formula>NOT(ISERROR(SEARCH(("Problem"),(D419))))</formula>
    </cfRule>
  </conditionalFormatting>
  <conditionalFormatting sqref="D388:D412">
    <cfRule type="containsText" dxfId="0" priority="714" operator="containsText" text="Problem">
      <formula>NOT(ISERROR(SEARCH(("Problem"),(D388))))</formula>
    </cfRule>
  </conditionalFormatting>
  <conditionalFormatting sqref="D388:D412">
    <cfRule type="containsText" dxfId="0" priority="715" operator="containsText" text="Problem">
      <formula>NOT(ISERROR(SEARCH(("Problem"),(D388))))</formula>
    </cfRule>
  </conditionalFormatting>
  <conditionalFormatting sqref="F123">
    <cfRule type="containsText" dxfId="0" priority="716" operator="containsText" text="Problem">
      <formula>NOT(ISERROR(SEARCH(("Problem"),(F123))))</formula>
    </cfRule>
  </conditionalFormatting>
  <conditionalFormatting sqref="F123">
    <cfRule type="containsText" dxfId="0" priority="717" operator="containsText" text="Problem">
      <formula>NOT(ISERROR(SEARCH(("Problem"),(F123))))</formula>
    </cfRule>
  </conditionalFormatting>
  <conditionalFormatting sqref="F123">
    <cfRule type="containsText" dxfId="0" priority="718" operator="containsText" text="Problem">
      <formula>NOT(ISERROR(SEARCH(("Problem"),(F123))))</formula>
    </cfRule>
  </conditionalFormatting>
  <conditionalFormatting sqref="G123">
    <cfRule type="containsText" dxfId="0" priority="719" operator="containsText" text="Problem">
      <formula>NOT(ISERROR(SEARCH(("Problem"),(G123))))</formula>
    </cfRule>
  </conditionalFormatting>
  <conditionalFormatting sqref="G123">
    <cfRule type="containsText" dxfId="0" priority="720" operator="containsText" text="Problem">
      <formula>NOT(ISERROR(SEARCH(("Problem"),(G123))))</formula>
    </cfRule>
  </conditionalFormatting>
  <conditionalFormatting sqref="G123">
    <cfRule type="containsText" dxfId="0" priority="721" operator="containsText" text="Problem">
      <formula>NOT(ISERROR(SEARCH(("Problem"),(G123))))</formula>
    </cfRule>
  </conditionalFormatting>
  <conditionalFormatting sqref="D477">
    <cfRule type="containsText" dxfId="0" priority="722" operator="containsText" text="Problem">
      <formula>NOT(ISERROR(SEARCH(("Problem"),(D477))))</formula>
    </cfRule>
  </conditionalFormatting>
  <conditionalFormatting sqref="A534 J534:P534">
    <cfRule type="containsText" dxfId="0" priority="723" operator="containsText" text="Problem">
      <formula>NOT(ISERROR(SEARCH(("Problem"),(A534))))</formula>
    </cfRule>
  </conditionalFormatting>
  <conditionalFormatting sqref="A534 J534:P534">
    <cfRule type="containsText" dxfId="0" priority="724" operator="containsText" text="Problem">
      <formula>NOT(ISERROR(SEARCH(("Problem"),(A534))))</formula>
    </cfRule>
  </conditionalFormatting>
  <conditionalFormatting sqref="A534 J534:P534">
    <cfRule type="containsText" dxfId="0" priority="725" operator="containsText" text="Problem">
      <formula>NOT(ISERROR(SEARCH(("Problem"),(A534))))</formula>
    </cfRule>
  </conditionalFormatting>
  <conditionalFormatting sqref="I6:I34">
    <cfRule type="containsText" dxfId="0" priority="726" operator="containsText" text="Problem">
      <formula>NOT(ISERROR(SEARCH(("Problem"),(I6))))</formula>
    </cfRule>
  </conditionalFormatting>
  <conditionalFormatting sqref="I6:I34">
    <cfRule type="containsText" dxfId="0" priority="727" operator="containsText" text="Problem">
      <formula>NOT(ISERROR(SEARCH(("Problem"),(I6))))</formula>
    </cfRule>
  </conditionalFormatting>
  <conditionalFormatting sqref="I6:I34">
    <cfRule type="containsText" dxfId="0" priority="728" operator="containsText" text="Problem">
      <formula>NOT(ISERROR(SEARCH(("Problem"),(I6))))</formula>
    </cfRule>
  </conditionalFormatting>
  <conditionalFormatting sqref="I6:I34">
    <cfRule type="containsText" dxfId="0" priority="729" operator="containsText" text="Problem">
      <formula>NOT(ISERROR(SEARCH(("Problem"),(I6))))</formula>
    </cfRule>
  </conditionalFormatting>
  <conditionalFormatting sqref="I6:I34">
    <cfRule type="containsText" dxfId="0" priority="730" operator="containsText" text="Problem">
      <formula>NOT(ISERROR(SEARCH(("Problem"),(I6))))</formula>
    </cfRule>
  </conditionalFormatting>
  <conditionalFormatting sqref="I6:I34">
    <cfRule type="containsText" dxfId="0" priority="731" operator="containsText" text="Problem">
      <formula>NOT(ISERROR(SEARCH(("Problem"),(I6))))</formula>
    </cfRule>
  </conditionalFormatting>
  <conditionalFormatting sqref="D649:D650 E624:H650">
    <cfRule type="containsText" dxfId="0" priority="732" operator="containsText" text="Problem">
      <formula>NOT(ISERROR(SEARCH(("Problem"),(D649))))</formula>
    </cfRule>
  </conditionalFormatting>
  <conditionalFormatting sqref="D649:D650 E624:H650">
    <cfRule type="containsText" dxfId="0" priority="733" operator="containsText" text="Problem">
      <formula>NOT(ISERROR(SEARCH(("Problem"),(D649))))</formula>
    </cfRule>
  </conditionalFormatting>
  <conditionalFormatting sqref="D649:D650 E624:H650">
    <cfRule type="containsText" dxfId="0" priority="734" operator="containsText" text="Problem">
      <formula>NOT(ISERROR(SEARCH(("Problem"),(D649))))</formula>
    </cfRule>
  </conditionalFormatting>
  <conditionalFormatting sqref="G714:G741">
    <cfRule type="containsText" dxfId="0" priority="735" operator="containsText" text="Problem">
      <formula>NOT(ISERROR(SEARCH(("Problem"),(G714))))</formula>
    </cfRule>
  </conditionalFormatting>
  <conditionalFormatting sqref="G714:G741">
    <cfRule type="containsText" dxfId="0" priority="736" operator="containsText" text="Problem">
      <formula>NOT(ISERROR(SEARCH(("Problem"),(G714))))</formula>
    </cfRule>
  </conditionalFormatting>
  <conditionalFormatting sqref="G714:G741">
    <cfRule type="containsText" dxfId="0" priority="737" operator="containsText" text="Problem">
      <formula>NOT(ISERROR(SEARCH(("Problem"),(G714))))</formula>
    </cfRule>
  </conditionalFormatting>
  <conditionalFormatting sqref="H832:H859">
    <cfRule type="containsText" dxfId="0" priority="738" operator="containsText" text="Problem">
      <formula>NOT(ISERROR(SEARCH(("Problem"),(H832))))</formula>
    </cfRule>
  </conditionalFormatting>
  <conditionalFormatting sqref="H832:H859">
    <cfRule type="containsText" dxfId="0" priority="739" operator="containsText" text="Problem">
      <formula>NOT(ISERROR(SEARCH(("Problem"),(H832))))</formula>
    </cfRule>
  </conditionalFormatting>
  <conditionalFormatting sqref="H832:H859">
    <cfRule type="containsText" dxfId="0" priority="740" operator="containsText" text="Problem">
      <formula>NOT(ISERROR(SEARCH(("Problem"),(H832))))</formula>
    </cfRule>
  </conditionalFormatting>
  <conditionalFormatting sqref="G537:G564">
    <cfRule type="containsText" dxfId="0" priority="741" operator="containsText" text="Problem">
      <formula>NOT(ISERROR(SEARCH(("Problem"),(G537))))</formula>
    </cfRule>
  </conditionalFormatting>
  <conditionalFormatting sqref="G537:G564">
    <cfRule type="containsText" dxfId="0" priority="742" operator="containsText" text="Problem">
      <formula>NOT(ISERROR(SEARCH(("Problem"),(G537))))</formula>
    </cfRule>
  </conditionalFormatting>
  <conditionalFormatting sqref="G537:G564">
    <cfRule type="containsText" dxfId="0" priority="743" operator="containsText" text="Problem">
      <formula>NOT(ISERROR(SEARCH(("Problem"),(G537))))</formula>
    </cfRule>
  </conditionalFormatting>
  <conditionalFormatting sqref="H478:H505">
    <cfRule type="containsText" dxfId="0" priority="744" operator="containsText" text="Problem">
      <formula>NOT(ISERROR(SEARCH(("Problem"),(H478))))</formula>
    </cfRule>
  </conditionalFormatting>
  <conditionalFormatting sqref="H478:H505">
    <cfRule type="containsText" dxfId="0" priority="745" operator="containsText" text="Problem">
      <formula>NOT(ISERROR(SEARCH(("Problem"),(H478))))</formula>
    </cfRule>
  </conditionalFormatting>
  <conditionalFormatting sqref="H478:H505">
    <cfRule type="containsText" dxfId="0" priority="746" operator="containsText" text="Problem">
      <formula>NOT(ISERROR(SEARCH(("Problem"),(H478))))</formula>
    </cfRule>
  </conditionalFormatting>
  <conditionalFormatting sqref="B455:C455 B467:B470 B472:C473 C424:C454 C464:C470">
    <cfRule type="containsText" dxfId="0" priority="747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748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749" operator="containsText" text="Problem">
      <formula>NOT(ISERROR(SEARCH(("Problem"),(B455))))</formula>
    </cfRule>
  </conditionalFormatting>
  <conditionalFormatting sqref="B809:C809 B821:B824 B826:C827 C778:C808 C818:C824">
    <cfRule type="containsText" dxfId="0" priority="750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751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752" operator="containsText" text="Problem">
      <formula>NOT(ISERROR(SEARCH(("Problem"),(B809))))</formula>
    </cfRule>
  </conditionalFormatting>
  <conditionalFormatting sqref="H655:H682">
    <cfRule type="containsText" dxfId="0" priority="753" operator="containsText" text="Problem">
      <formula>NOT(ISERROR(SEARCH(("Problem"),(H655))))</formula>
    </cfRule>
  </conditionalFormatting>
  <conditionalFormatting sqref="H655:H682">
    <cfRule type="containsText" dxfId="0" priority="754" operator="containsText" text="Problem">
      <formula>NOT(ISERROR(SEARCH(("Problem"),(H655))))</formula>
    </cfRule>
  </conditionalFormatting>
  <conditionalFormatting sqref="H655:H682">
    <cfRule type="containsText" dxfId="0" priority="755" operator="containsText" text="Problem">
      <formula>NOT(ISERROR(SEARCH(("Problem"),(H655))))</formula>
    </cfRule>
  </conditionalFormatting>
  <conditionalFormatting sqref="C62 E62:I62">
    <cfRule type="containsText" dxfId="0" priority="756" operator="containsText" text="Problem">
      <formula>NOT(ISERROR(SEARCH(("Problem"),(C62))))</formula>
    </cfRule>
  </conditionalFormatting>
  <conditionalFormatting sqref="C62 E62:I62">
    <cfRule type="containsText" dxfId="0" priority="757" operator="containsText" text="Problem">
      <formula>NOT(ISERROR(SEARCH(("Problem"),(C62))))</formula>
    </cfRule>
  </conditionalFormatting>
  <conditionalFormatting sqref="C62 E62:I62">
    <cfRule type="containsText" dxfId="0" priority="758" operator="containsText" text="Problem">
      <formula>NOT(ISERROR(SEARCH(("Problem"),(C62))))</formula>
    </cfRule>
  </conditionalFormatting>
  <conditionalFormatting sqref="B219:C219 B231:B234 B236:C237 C188:C218 C228:C234">
    <cfRule type="containsText" dxfId="0" priority="759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760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761" operator="containsText" text="Problem">
      <formula>NOT(ISERROR(SEARCH(("Problem"),(B219))))</formula>
    </cfRule>
  </conditionalFormatting>
  <conditionalFormatting sqref="G478:G505">
    <cfRule type="containsText" dxfId="0" priority="762" operator="containsText" text="Problem">
      <formula>NOT(ISERROR(SEARCH(("Problem"),(G478))))</formula>
    </cfRule>
  </conditionalFormatting>
  <conditionalFormatting sqref="G478:G505">
    <cfRule type="containsText" dxfId="0" priority="763" operator="containsText" text="Problem">
      <formula>NOT(ISERROR(SEARCH(("Problem"),(G478))))</formula>
    </cfRule>
  </conditionalFormatting>
  <conditionalFormatting sqref="G478:G505">
    <cfRule type="containsText" dxfId="0" priority="764" operator="containsText" text="Problem">
      <formula>NOT(ISERROR(SEARCH(("Problem"),(G478))))</formula>
    </cfRule>
  </conditionalFormatting>
  <conditionalFormatting sqref="B278:C278 B290:B293 B295:C296 C247:C277 C287:C293">
    <cfRule type="containsText" dxfId="0" priority="765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766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767" operator="containsText" text="Problem">
      <formula>NOT(ISERROR(SEARCH(("Problem"),(B278))))</formula>
    </cfRule>
  </conditionalFormatting>
  <conditionalFormatting sqref="H64">
    <cfRule type="containsText" dxfId="0" priority="768" operator="containsText" text="Problem">
      <formula>NOT(ISERROR(SEARCH(("Problem"),(H64))))</formula>
    </cfRule>
  </conditionalFormatting>
  <conditionalFormatting sqref="H64">
    <cfRule type="containsText" dxfId="0" priority="769" operator="containsText" text="Problem">
      <formula>NOT(ISERROR(SEARCH(("Problem"),(H64))))</formula>
    </cfRule>
  </conditionalFormatting>
  <conditionalFormatting sqref="H64">
    <cfRule type="containsText" dxfId="0" priority="770" operator="containsText" text="Problem">
      <formula>NOT(ISERROR(SEARCH(("Problem"),(H64))))</formula>
    </cfRule>
  </conditionalFormatting>
  <conditionalFormatting sqref="I831">
    <cfRule type="containsText" dxfId="0" priority="771" operator="containsText" text="Problem">
      <formula>NOT(ISERROR(SEARCH(("Problem"),(I831))))</formula>
    </cfRule>
  </conditionalFormatting>
  <conditionalFormatting sqref="I831">
    <cfRule type="containsText" dxfId="0" priority="772" operator="containsText" text="Problem">
      <formula>NOT(ISERROR(SEARCH(("Problem"),(I831))))</formula>
    </cfRule>
  </conditionalFormatting>
  <conditionalFormatting sqref="I831">
    <cfRule type="containsText" dxfId="0" priority="773" operator="containsText" text="Problem">
      <formula>NOT(ISERROR(SEARCH(("Problem"),(I831))))</formula>
    </cfRule>
  </conditionalFormatting>
  <conditionalFormatting sqref="D123">
    <cfRule type="containsText" dxfId="0" priority="774" operator="containsText" text="Problem">
      <formula>NOT(ISERROR(SEARCH(("Problem"),(D123))))</formula>
    </cfRule>
  </conditionalFormatting>
  <conditionalFormatting sqref="C593 E593:I593">
    <cfRule type="containsText" dxfId="0" priority="775" operator="containsText" text="Problem">
      <formula>NOT(ISERROR(SEARCH(("Problem"),(C593))))</formula>
    </cfRule>
  </conditionalFormatting>
  <conditionalFormatting sqref="C593 E593:I593">
    <cfRule type="containsText" dxfId="0" priority="776" operator="containsText" text="Problem">
      <formula>NOT(ISERROR(SEARCH(("Problem"),(C593))))</formula>
    </cfRule>
  </conditionalFormatting>
  <conditionalFormatting sqref="C593 E593:I593">
    <cfRule type="containsText" dxfId="0" priority="777" operator="containsText" text="Problem">
      <formula>NOT(ISERROR(SEARCH(("Problem"),(C593))))</formula>
    </cfRule>
  </conditionalFormatting>
  <conditionalFormatting sqref="A652 J652:P652">
    <cfRule type="containsText" dxfId="0" priority="778" operator="containsText" text="Problem">
      <formula>NOT(ISERROR(SEARCH(("Problem"),(A652))))</formula>
    </cfRule>
  </conditionalFormatting>
  <conditionalFormatting sqref="A652 J652:P652">
    <cfRule type="containsText" dxfId="0" priority="779" operator="containsText" text="Problem">
      <formula>NOT(ISERROR(SEARCH(("Problem"),(A652))))</formula>
    </cfRule>
  </conditionalFormatting>
  <conditionalFormatting sqref="A652 J652:P652">
    <cfRule type="containsText" dxfId="0" priority="780" operator="containsText" text="Problem">
      <formula>NOT(ISERROR(SEARCH(("Problem"),(A652))))</formula>
    </cfRule>
  </conditionalFormatting>
  <conditionalFormatting sqref="A772:A827">
    <cfRule type="containsText" dxfId="0" priority="781" operator="containsText" text="Problem">
      <formula>NOT(ISERROR(SEARCH(("Problem"),(A772))))</formula>
    </cfRule>
  </conditionalFormatting>
  <conditionalFormatting sqref="A772:A827">
    <cfRule type="containsText" dxfId="0" priority="782" operator="containsText" text="Problem">
      <formula>NOT(ISERROR(SEARCH(("Problem"),(A772))))</formula>
    </cfRule>
  </conditionalFormatting>
  <conditionalFormatting sqref="A772:A827">
    <cfRule type="containsText" dxfId="0" priority="783" operator="containsText" text="Problem">
      <formula>NOT(ISERROR(SEARCH(("Problem"),(A772))))</formula>
    </cfRule>
  </conditionalFormatting>
  <conditionalFormatting sqref="F242:F269">
    <cfRule type="containsText" dxfId="0" priority="784" operator="containsText" text="Problem">
      <formula>NOT(ISERROR(SEARCH(("Problem"),(F242))))</formula>
    </cfRule>
  </conditionalFormatting>
  <conditionalFormatting sqref="F242:F269">
    <cfRule type="containsText" dxfId="0" priority="785" operator="containsText" text="Problem">
      <formula>NOT(ISERROR(SEARCH(("Problem"),(F242))))</formula>
    </cfRule>
  </conditionalFormatting>
  <conditionalFormatting sqref="F242:F269">
    <cfRule type="containsText" dxfId="0" priority="786" operator="containsText" text="Problem">
      <formula>NOT(ISERROR(SEARCH(("Problem"),(F242))))</formula>
    </cfRule>
  </conditionalFormatting>
  <conditionalFormatting sqref="D60 E35:H60">
    <cfRule type="containsText" dxfId="0" priority="787" operator="containsText" text="Problem">
      <formula>NOT(ISERROR(SEARCH(("Problem"),(D60))))</formula>
    </cfRule>
  </conditionalFormatting>
  <conditionalFormatting sqref="D60 E35:H60">
    <cfRule type="containsText" dxfId="0" priority="788" operator="containsText" text="Problem">
      <formula>NOT(ISERROR(SEARCH(("Problem"),(D60))))</formula>
    </cfRule>
  </conditionalFormatting>
  <conditionalFormatting sqref="D60 E35:H60">
    <cfRule type="containsText" dxfId="0" priority="789" operator="containsText" text="Problem">
      <formula>NOT(ISERROR(SEARCH(("Problem"),(D60))))</formula>
    </cfRule>
  </conditionalFormatting>
  <conditionalFormatting sqref="D447:D471">
    <cfRule type="containsText" dxfId="0" priority="790" operator="containsText" text="Problem">
      <formula>NOT(ISERROR(SEARCH(("Problem"),(D447))))</formula>
    </cfRule>
  </conditionalFormatting>
  <conditionalFormatting sqref="D447:D471">
    <cfRule type="containsText" dxfId="0" priority="791" operator="containsText" text="Problem">
      <formula>NOT(ISERROR(SEARCH(("Problem"),(D447))))</formula>
    </cfRule>
  </conditionalFormatting>
  <conditionalFormatting sqref="I772">
    <cfRule type="containsText" dxfId="0" priority="792" operator="containsText" text="Problem">
      <formula>NOT(ISERROR(SEARCH(("Problem"),(I772))))</formula>
    </cfRule>
  </conditionalFormatting>
  <conditionalFormatting sqref="I772">
    <cfRule type="containsText" dxfId="0" priority="793" operator="containsText" text="Problem">
      <formula>NOT(ISERROR(SEARCH(("Problem"),(I772))))</formula>
    </cfRule>
  </conditionalFormatting>
  <conditionalFormatting sqref="I772">
    <cfRule type="containsText" dxfId="0" priority="794" operator="containsText" text="Problem">
      <formula>NOT(ISERROR(SEARCH(("Problem"),(I772))))</formula>
    </cfRule>
  </conditionalFormatting>
  <conditionalFormatting sqref="E714:E741">
    <cfRule type="containsText" dxfId="0" priority="795" operator="containsText" text="Problem">
      <formula>NOT(ISERROR(SEARCH(("Problem"),(E714))))</formula>
    </cfRule>
  </conditionalFormatting>
  <conditionalFormatting sqref="E714:E741">
    <cfRule type="containsText" dxfId="0" priority="796" operator="containsText" text="Problem">
      <formula>NOT(ISERROR(SEARCH(("Problem"),(E714))))</formula>
    </cfRule>
  </conditionalFormatting>
  <conditionalFormatting sqref="E714:E741">
    <cfRule type="containsText" dxfId="0" priority="797" operator="containsText" text="Problem">
      <formula>NOT(ISERROR(SEARCH(("Problem"),(E714))))</formula>
    </cfRule>
  </conditionalFormatting>
  <conditionalFormatting sqref="N182:N238">
    <cfRule type="containsText" dxfId="0" priority="798" operator="containsText" text="Problem">
      <formula>NOT(ISERROR(SEARCH(("Problem"),(N182))))</formula>
    </cfRule>
  </conditionalFormatting>
  <conditionalFormatting sqref="N182:N238">
    <cfRule type="containsText" dxfId="0" priority="799" operator="containsText" text="Problem">
      <formula>NOT(ISERROR(SEARCH(("Problem"),(N182))))</formula>
    </cfRule>
  </conditionalFormatting>
  <conditionalFormatting sqref="N182:N238">
    <cfRule type="containsText" dxfId="0" priority="800" operator="containsText" text="Problem">
      <formula>NOT(ISERROR(SEARCH(("Problem"),(N182))))</formula>
    </cfRule>
  </conditionalFormatting>
  <conditionalFormatting sqref="D713">
    <cfRule type="containsText" dxfId="0" priority="801" operator="containsText" text="Problem">
      <formula>NOT(ISERROR(SEARCH(("Problem"),(D713))))</formula>
    </cfRule>
  </conditionalFormatting>
  <conditionalFormatting sqref="E124:E151">
    <cfRule type="containsText" dxfId="0" priority="802" operator="containsText" text="Problem">
      <formula>NOT(ISERROR(SEARCH(("Problem"),(E124))))</formula>
    </cfRule>
  </conditionalFormatting>
  <conditionalFormatting sqref="E124:E151">
    <cfRule type="containsText" dxfId="0" priority="803" operator="containsText" text="Problem">
      <formula>NOT(ISERROR(SEARCH(("Problem"),(E124))))</formula>
    </cfRule>
  </conditionalFormatting>
  <conditionalFormatting sqref="E124:E151">
    <cfRule type="containsText" dxfId="0" priority="804" operator="containsText" text="Problem">
      <formula>NOT(ISERROR(SEARCH(("Problem"),(E124))))</formula>
    </cfRule>
  </conditionalFormatting>
  <conditionalFormatting sqref="E772">
    <cfRule type="containsText" dxfId="0" priority="805" operator="containsText" text="Problem">
      <formula>NOT(ISERROR(SEARCH(("Problem"),(E772))))</formula>
    </cfRule>
  </conditionalFormatting>
  <conditionalFormatting sqref="E772">
    <cfRule type="containsText" dxfId="0" priority="806" operator="containsText" text="Problem">
      <formula>NOT(ISERROR(SEARCH(("Problem"),(E772))))</formula>
    </cfRule>
  </conditionalFormatting>
  <conditionalFormatting sqref="E772">
    <cfRule type="containsText" dxfId="0" priority="807" operator="containsText" text="Problem">
      <formula>NOT(ISERROR(SEARCH(("Problem"),(E772))))</formula>
    </cfRule>
  </conditionalFormatting>
  <conditionalFormatting sqref="F537:F564">
    <cfRule type="containsText" dxfId="0" priority="808" operator="containsText" text="Problem">
      <formula>NOT(ISERROR(SEARCH(("Problem"),(F537))))</formula>
    </cfRule>
  </conditionalFormatting>
  <conditionalFormatting sqref="F537:F564">
    <cfRule type="containsText" dxfId="0" priority="809" operator="containsText" text="Problem">
      <formula>NOT(ISERROR(SEARCH(("Problem"),(F537))))</formula>
    </cfRule>
  </conditionalFormatting>
  <conditionalFormatting sqref="F537:F564">
    <cfRule type="containsText" dxfId="0" priority="810" operator="containsText" text="Problem">
      <formula>NOT(ISERROR(SEARCH(("Problem"),(F537))))</formula>
    </cfRule>
  </conditionalFormatting>
  <conditionalFormatting sqref="B337:C337 B349:B352 B354:C355 C306:C336 C346:C352">
    <cfRule type="containsText" dxfId="0" priority="811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812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813" operator="containsText" text="Problem">
      <formula>NOT(ISERROR(SEARCH(("Problem"),(B337))))</formula>
    </cfRule>
  </conditionalFormatting>
  <conditionalFormatting sqref="I242:I269">
    <cfRule type="containsText" dxfId="0" priority="814" operator="containsText" text="Problem">
      <formula>NOT(ISERROR(SEARCH(("Problem"),(I242))))</formula>
    </cfRule>
  </conditionalFormatting>
  <conditionalFormatting sqref="I242:I269">
    <cfRule type="containsText" dxfId="0" priority="815" operator="containsText" text="Problem">
      <formula>NOT(ISERROR(SEARCH(("Problem"),(I242))))</formula>
    </cfRule>
  </conditionalFormatting>
  <conditionalFormatting sqref="I242:I269">
    <cfRule type="containsText" dxfId="0" priority="816" operator="containsText" text="Problem">
      <formula>NOT(ISERROR(SEARCH(("Problem"),(I242))))</formula>
    </cfRule>
  </conditionalFormatting>
  <conditionalFormatting sqref="I242:I269">
    <cfRule type="containsText" dxfId="0" priority="817" operator="containsText" text="Problem">
      <formula>NOT(ISERROR(SEARCH(("Problem"),(I242))))</formula>
    </cfRule>
  </conditionalFormatting>
  <conditionalFormatting sqref="D655:D682">
    <cfRule type="containsText" dxfId="0" priority="818" operator="containsText" text="Problem">
      <formula>NOT(ISERROR(SEARCH(("Problem"),(D655))))</formula>
    </cfRule>
  </conditionalFormatting>
  <conditionalFormatting sqref="D655:D682">
    <cfRule type="containsText" dxfId="0" priority="819" operator="containsText" text="Problem">
      <formula>NOT(ISERROR(SEARCH(("Problem"),(D655))))</formula>
    </cfRule>
  </conditionalFormatting>
  <conditionalFormatting sqref="D655:D682">
    <cfRule type="containsText" dxfId="0" priority="820" operator="containsText" text="Problem">
      <formula>NOT(ISERROR(SEARCH(("Problem"),(D655))))</formula>
    </cfRule>
  </conditionalFormatting>
  <conditionalFormatting sqref="D300">
    <cfRule type="containsText" dxfId="0" priority="821" operator="containsText" text="Problem">
      <formula>NOT(ISERROR(SEARCH(("Problem"),(D300))))</formula>
    </cfRule>
  </conditionalFormatting>
  <conditionalFormatting sqref="A418:A473">
    <cfRule type="containsText" dxfId="0" priority="822" operator="containsText" text="Problem">
      <formula>NOT(ISERROR(SEARCH(("Problem"),(A418))))</formula>
    </cfRule>
  </conditionalFormatting>
  <conditionalFormatting sqref="A418:A473">
    <cfRule type="containsText" dxfId="0" priority="823" operator="containsText" text="Problem">
      <formula>NOT(ISERROR(SEARCH(("Problem"),(A418))))</formula>
    </cfRule>
  </conditionalFormatting>
  <conditionalFormatting sqref="A418:A473">
    <cfRule type="containsText" dxfId="0" priority="824" operator="containsText" text="Problem">
      <formula>NOT(ISERROR(SEARCH(("Problem"),(A418))))</formula>
    </cfRule>
  </conditionalFormatting>
  <conditionalFormatting sqref="H124:H151">
    <cfRule type="containsText" dxfId="0" priority="825" operator="containsText" text="Problem">
      <formula>NOT(ISERROR(SEARCH(("Problem"),(H124))))</formula>
    </cfRule>
  </conditionalFormatting>
  <conditionalFormatting sqref="H124:H151">
    <cfRule type="containsText" dxfId="0" priority="826" operator="containsText" text="Problem">
      <formula>NOT(ISERROR(SEARCH(("Problem"),(H124))))</formula>
    </cfRule>
  </conditionalFormatting>
  <conditionalFormatting sqref="H124:H151">
    <cfRule type="containsText" dxfId="0" priority="827" operator="containsText" text="Problem">
      <formula>NOT(ISERROR(SEARCH(("Problem"),(H124))))</formula>
    </cfRule>
  </conditionalFormatting>
  <conditionalFormatting sqref="D624:D648">
    <cfRule type="containsText" dxfId="0" priority="828" operator="containsText" text="Problem">
      <formula>NOT(ISERROR(SEARCH(("Problem"),(D624))))</formula>
    </cfRule>
  </conditionalFormatting>
  <conditionalFormatting sqref="D624:D648">
    <cfRule type="containsText" dxfId="0" priority="829" operator="containsText" text="Problem">
      <formula>NOT(ISERROR(SEARCH(("Problem"),(D624))))</formula>
    </cfRule>
  </conditionalFormatting>
  <conditionalFormatting sqref="G5">
    <cfRule type="containsText" dxfId="0" priority="830" operator="containsText" text="Problem">
      <formula>NOT(ISERROR(SEARCH(("Problem"),(G5))))</formula>
    </cfRule>
  </conditionalFormatting>
  <conditionalFormatting sqref="G5">
    <cfRule type="containsText" dxfId="0" priority="831" operator="containsText" text="Problem">
      <formula>NOT(ISERROR(SEARCH(("Problem"),(G5))))</formula>
    </cfRule>
  </conditionalFormatting>
  <conditionalFormatting sqref="G5">
    <cfRule type="containsText" dxfId="0" priority="832" operator="containsText" text="Problem">
      <formula>NOT(ISERROR(SEARCH(("Problem"),(G5))))</formula>
    </cfRule>
  </conditionalFormatting>
  <conditionalFormatting sqref="C298 E298:I298">
    <cfRule type="containsText" dxfId="0" priority="833" operator="containsText" text="Problem">
      <formula>NOT(ISERROR(SEARCH(("Problem"),(C298))))</formula>
    </cfRule>
  </conditionalFormatting>
  <conditionalFormatting sqref="C298 E298:I298">
    <cfRule type="containsText" dxfId="0" priority="834" operator="containsText" text="Problem">
      <formula>NOT(ISERROR(SEARCH(("Problem"),(C298))))</formula>
    </cfRule>
  </conditionalFormatting>
  <conditionalFormatting sqref="C298 E298:I298">
    <cfRule type="containsText" dxfId="0" priority="835" operator="containsText" text="Problem">
      <formula>NOT(ISERROR(SEARCH(("Problem"),(C298))))</formula>
    </cfRule>
  </conditionalFormatting>
  <conditionalFormatting sqref="D654">
    <cfRule type="containsText" dxfId="0" priority="836" operator="containsText" text="Problem">
      <formula>NOT(ISERROR(SEARCH(("Problem"),(D654))))</formula>
    </cfRule>
  </conditionalFormatting>
  <conditionalFormatting sqref="A240:I240 A297:H297 I270:I297 J240:P297">
    <cfRule type="containsText" dxfId="0" priority="837" operator="containsText" text="Problem">
      <formula>NOT(ISERROR(SEARCH(("Problem"),(A240))))</formula>
    </cfRule>
  </conditionalFormatting>
  <conditionalFormatting sqref="A240:I240 A297:H297 I270:I297 J240:P297">
    <cfRule type="containsText" dxfId="0" priority="838" operator="containsText" text="Problem">
      <formula>NOT(ISERROR(SEARCH(("Problem"),(A240))))</formula>
    </cfRule>
  </conditionalFormatting>
  <conditionalFormatting sqref="A240:I240 A297:H297 I270:I297 J240:P297">
    <cfRule type="containsText" dxfId="0" priority="839" operator="containsText" text="Problem">
      <formula>NOT(ISERROR(SEARCH(("Problem"),(A240))))</formula>
    </cfRule>
  </conditionalFormatting>
  <conditionalFormatting sqref="D64">
    <cfRule type="containsText" dxfId="0" priority="840" operator="containsText" text="Problem">
      <formula>NOT(ISERROR(SEARCH(("Problem"),(D64))))</formula>
    </cfRule>
  </conditionalFormatting>
  <conditionalFormatting sqref="D182">
    <cfRule type="containsText" dxfId="0" priority="841" operator="containsText" text="Problem">
      <formula>NOT(ISERROR(SEARCH(("Problem"),(D182))))</formula>
    </cfRule>
  </conditionalFormatting>
  <conditionalFormatting sqref="D772">
    <cfRule type="containsText" dxfId="0" priority="842" operator="containsText" text="Problem">
      <formula>NOT(ISERROR(SEARCH(("Problem"),(D772))))</formula>
    </cfRule>
  </conditionalFormatting>
  <conditionalFormatting sqref="D35:D59">
    <cfRule type="containsText" dxfId="0" priority="843" operator="containsText" text="Problem">
      <formula>NOT(ISERROR(SEARCH(("Problem"),(D35))))</formula>
    </cfRule>
  </conditionalFormatting>
  <conditionalFormatting sqref="D35:D59">
    <cfRule type="containsText" dxfId="0" priority="844" operator="containsText" text="Problem">
      <formula>NOT(ISERROR(SEARCH(("Problem"),(D35))))</formula>
    </cfRule>
  </conditionalFormatting>
  <conditionalFormatting sqref="D35:D59">
    <cfRule type="containsText" dxfId="0" priority="845" operator="containsText" text="Problem">
      <formula>NOT(ISERROR(SEARCH(("Problem"),(D35))))</formula>
    </cfRule>
  </conditionalFormatting>
  <conditionalFormatting sqref="D595">
    <cfRule type="containsText" dxfId="0" priority="846" operator="containsText" text="Problem">
      <formula>NOT(ISERROR(SEARCH(("Problem"),(D595))))</formula>
    </cfRule>
  </conditionalFormatting>
  <conditionalFormatting sqref="D329:D353">
    <cfRule type="containsText" dxfId="0" priority="847" operator="containsText" text="Problem">
      <formula>NOT(ISERROR(SEARCH(("Problem"),(D329))))</formula>
    </cfRule>
  </conditionalFormatting>
  <conditionalFormatting sqref="D329:D353">
    <cfRule type="containsText" dxfId="0" priority="848" operator="containsText" text="Problem">
      <formula>NOT(ISERROR(SEARCH(("Problem"),(D329))))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8.57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86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>
      <c r="A3" s="10"/>
      <c r="B3" s="11" t="s">
        <v>3</v>
      </c>
      <c r="C3" s="39"/>
      <c r="D3" s="13"/>
      <c r="E3" s="11"/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>
      <c r="A5" s="28">
        <v>1.0</v>
      </c>
      <c r="B5" s="29" t="s">
        <v>22</v>
      </c>
      <c r="C5" s="30">
        <v>192.17</v>
      </c>
      <c r="D5" s="3"/>
      <c r="E5" s="31"/>
      <c r="F5" s="3"/>
      <c r="G5" s="3"/>
      <c r="H5" s="3"/>
      <c r="I5" s="3"/>
      <c r="J5" s="3" t="str">
        <f t="shared" ref="J5:J61" si="1">D5+E5-F5-G5+H5</f>
        <v>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>
      <c r="A6" s="28">
        <v>2.0</v>
      </c>
      <c r="B6" s="29" t="s">
        <v>23</v>
      </c>
      <c r="C6" s="30">
        <v>9.26</v>
      </c>
      <c r="D6" s="3"/>
      <c r="E6" s="31"/>
      <c r="F6" s="3"/>
      <c r="G6" s="3"/>
      <c r="H6" s="3"/>
      <c r="I6" s="3"/>
      <c r="J6" s="3" t="str">
        <f t="shared" si="1"/>
        <v>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>
      <c r="A7" s="28">
        <v>3.0</v>
      </c>
      <c r="B7" s="29" t="s">
        <v>24</v>
      </c>
      <c r="C7" s="30">
        <v>87.79</v>
      </c>
      <c r="D7" s="3"/>
      <c r="E7" s="31"/>
      <c r="F7" s="3"/>
      <c r="G7" s="3"/>
      <c r="H7" s="3"/>
      <c r="I7" s="3"/>
      <c r="J7" s="3" t="str">
        <f t="shared" si="1"/>
        <v>0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>
      <c r="A8" s="28">
        <v>4.0</v>
      </c>
      <c r="B8" s="29" t="s">
        <v>25</v>
      </c>
      <c r="C8" s="30">
        <v>55.55</v>
      </c>
      <c r="D8" s="3"/>
      <c r="E8" s="31"/>
      <c r="F8" s="3"/>
      <c r="G8" s="3"/>
      <c r="H8" s="3"/>
      <c r="I8" s="3"/>
      <c r="J8" s="3" t="str">
        <f t="shared" si="1"/>
        <v>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>
      <c r="A9" s="28">
        <v>5.0</v>
      </c>
      <c r="B9" s="29" t="s">
        <v>26</v>
      </c>
      <c r="C9" s="30">
        <v>70.01</v>
      </c>
      <c r="D9" s="3"/>
      <c r="E9" s="31"/>
      <c r="F9" s="3"/>
      <c r="G9" s="3"/>
      <c r="H9" s="3"/>
      <c r="I9" s="3"/>
      <c r="J9" s="3" t="str">
        <f t="shared" si="1"/>
        <v>0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>
      <c r="A10" s="28">
        <v>6.0</v>
      </c>
      <c r="B10" s="29" t="s">
        <v>27</v>
      </c>
      <c r="C10" s="30">
        <v>73.92999999999999</v>
      </c>
      <c r="D10" s="3"/>
      <c r="E10" s="31"/>
      <c r="F10" s="3"/>
      <c r="G10" s="3"/>
      <c r="H10" s="3"/>
      <c r="I10" s="3"/>
      <c r="J10" s="3" t="str">
        <f t="shared" si="1"/>
        <v>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>
      <c r="A11" s="28">
        <v>7.0</v>
      </c>
      <c r="B11" s="29" t="s">
        <v>28</v>
      </c>
      <c r="C11" s="30">
        <v>13.91</v>
      </c>
      <c r="D11" s="3"/>
      <c r="E11" s="31"/>
      <c r="F11" s="3"/>
      <c r="G11" s="3"/>
      <c r="H11" s="3"/>
      <c r="I11" s="3"/>
      <c r="J11" s="3" t="str">
        <f t="shared" si="1"/>
        <v>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/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"/>
      <c r="E14" s="31"/>
      <c r="F14" s="3"/>
      <c r="G14" s="3"/>
      <c r="H14" s="3"/>
      <c r="I14" s="3"/>
      <c r="J14" s="3" t="str">
        <f t="shared" si="1"/>
        <v>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>
      <c r="A15" s="28">
        <v>11.0</v>
      </c>
      <c r="B15" s="29" t="s">
        <v>32</v>
      </c>
      <c r="C15" s="30">
        <v>102.17</v>
      </c>
      <c r="D15" s="3"/>
      <c r="E15" s="31"/>
      <c r="F15" s="3"/>
      <c r="G15" s="3"/>
      <c r="H15" s="3"/>
      <c r="I15" s="3"/>
      <c r="J15" s="3" t="str">
        <f t="shared" si="1"/>
        <v>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>
      <c r="A16" s="28">
        <v>12.0</v>
      </c>
      <c r="B16" s="29" t="s">
        <v>33</v>
      </c>
      <c r="C16" s="30">
        <v>59.93</v>
      </c>
      <c r="D16" s="3"/>
      <c r="E16" s="31"/>
      <c r="F16" s="3"/>
      <c r="G16" s="3"/>
      <c r="H16" s="3"/>
      <c r="I16" s="3"/>
      <c r="J16" s="3" t="str">
        <f t="shared" si="1"/>
        <v>0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>
      <c r="A17" s="28">
        <v>13.0</v>
      </c>
      <c r="B17" s="29" t="s">
        <v>34</v>
      </c>
      <c r="C17" s="30">
        <v>118.0</v>
      </c>
      <c r="D17" s="3"/>
      <c r="E17" s="31"/>
      <c r="F17" s="3"/>
      <c r="G17" s="3"/>
      <c r="H17" s="3"/>
      <c r="I17" s="3"/>
      <c r="J17" s="3" t="str">
        <f t="shared" si="1"/>
        <v>0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>
      <c r="A18" s="28">
        <v>14.0</v>
      </c>
      <c r="B18" s="29" t="s">
        <v>35</v>
      </c>
      <c r="C18" s="30">
        <v>52.83</v>
      </c>
      <c r="D18" s="3"/>
      <c r="E18" s="31"/>
      <c r="F18" s="3"/>
      <c r="G18" s="3"/>
      <c r="H18" s="3"/>
      <c r="I18" s="3"/>
      <c r="J18" s="3" t="str">
        <f t="shared" si="1"/>
        <v>0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>
      <c r="A19" s="28">
        <v>15.0</v>
      </c>
      <c r="B19" s="29" t="s">
        <v>36</v>
      </c>
      <c r="C19" s="30">
        <v>93.2</v>
      </c>
      <c r="D19" s="3"/>
      <c r="E19" s="31"/>
      <c r="F19" s="3"/>
      <c r="G19" s="3"/>
      <c r="H19" s="3"/>
      <c r="I19" s="3"/>
      <c r="J19" s="3" t="str">
        <f t="shared" si="1"/>
        <v>0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>
      <c r="A20" s="28">
        <v>16.0</v>
      </c>
      <c r="B20" s="29" t="s">
        <v>37</v>
      </c>
      <c r="C20" s="30">
        <v>61.02</v>
      </c>
      <c r="D20" s="3"/>
      <c r="E20" s="31"/>
      <c r="F20" s="3"/>
      <c r="G20" s="3"/>
      <c r="H20" s="3"/>
      <c r="I20" s="3"/>
      <c r="J20" s="3" t="str">
        <f t="shared" si="1"/>
        <v>0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15.75" customHeight="1">
      <c r="A21" s="28">
        <v>17.0</v>
      </c>
      <c r="B21" s="29" t="s">
        <v>38</v>
      </c>
      <c r="C21" s="30">
        <v>36.62</v>
      </c>
      <c r="D21" s="3"/>
      <c r="E21" s="31"/>
      <c r="F21" s="3"/>
      <c r="G21" s="3"/>
      <c r="H21" s="3"/>
      <c r="I21" s="3"/>
      <c r="J21" s="3" t="str">
        <f t="shared" si="1"/>
        <v>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15.75" customHeight="1">
      <c r="A22" s="28">
        <v>18.0</v>
      </c>
      <c r="B22" s="29" t="s">
        <v>39</v>
      </c>
      <c r="C22" s="30">
        <v>80.36</v>
      </c>
      <c r="D22" s="3"/>
      <c r="E22" s="31"/>
      <c r="F22" s="3"/>
      <c r="G22" s="3"/>
      <c r="H22" s="3"/>
      <c r="I22" s="3"/>
      <c r="J22" s="3" t="str">
        <f t="shared" si="1"/>
        <v>0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15.75" customHeight="1">
      <c r="A23" s="28">
        <v>19.0</v>
      </c>
      <c r="B23" s="29" t="s">
        <v>40</v>
      </c>
      <c r="C23" s="30">
        <v>160.56</v>
      </c>
      <c r="D23" s="3"/>
      <c r="E23" s="31"/>
      <c r="F23" s="3"/>
      <c r="G23" s="3"/>
      <c r="H23" s="3"/>
      <c r="I23" s="3"/>
      <c r="J23" s="3" t="str">
        <f t="shared" si="1"/>
        <v>0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15.75" customHeight="1">
      <c r="A24" s="28">
        <v>20.0</v>
      </c>
      <c r="B24" s="29" t="s">
        <v>41</v>
      </c>
      <c r="C24" s="30">
        <v>186.44</v>
      </c>
      <c r="D24" s="3"/>
      <c r="E24" s="31"/>
      <c r="F24" s="3"/>
      <c r="G24" s="3"/>
      <c r="H24" s="3"/>
      <c r="I24" s="3"/>
      <c r="J24" s="3" t="str">
        <f t="shared" si="1"/>
        <v>0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15.75" customHeight="1">
      <c r="A25" s="28">
        <v>21.0</v>
      </c>
      <c r="B25" s="29" t="s">
        <v>42</v>
      </c>
      <c r="C25" s="30">
        <v>92.59</v>
      </c>
      <c r="D25" s="3"/>
      <c r="E25" s="31"/>
      <c r="F25" s="3"/>
      <c r="G25" s="3"/>
      <c r="H25" s="3"/>
      <c r="I25" s="3"/>
      <c r="J25" s="3" t="str">
        <f t="shared" si="1"/>
        <v>0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15.75" customHeight="1">
      <c r="A26" s="28">
        <v>22.0</v>
      </c>
      <c r="B26" s="29" t="s">
        <v>43</v>
      </c>
      <c r="C26" s="30">
        <v>95.17</v>
      </c>
      <c r="D26" s="3"/>
      <c r="E26" s="31"/>
      <c r="F26" s="3"/>
      <c r="G26" s="3"/>
      <c r="H26" s="3"/>
      <c r="I26" s="3"/>
      <c r="J26" s="3" t="str">
        <f t="shared" si="1"/>
        <v>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15.75" customHeight="1">
      <c r="A27" s="28">
        <v>23.0</v>
      </c>
      <c r="B27" s="29" t="s">
        <v>44</v>
      </c>
      <c r="C27" s="30">
        <v>92.94</v>
      </c>
      <c r="D27" s="3"/>
      <c r="E27" s="31"/>
      <c r="F27" s="3"/>
      <c r="G27" s="3"/>
      <c r="H27" s="3"/>
      <c r="I27" s="3"/>
      <c r="J27" s="3" t="str">
        <f t="shared" si="1"/>
        <v>0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15.75" customHeight="1">
      <c r="A28" s="28">
        <v>24.0</v>
      </c>
      <c r="B28" s="29" t="s">
        <v>45</v>
      </c>
      <c r="C28" s="30">
        <v>101.82</v>
      </c>
      <c r="D28" s="3"/>
      <c r="E28" s="31"/>
      <c r="F28" s="3"/>
      <c r="G28" s="3"/>
      <c r="H28" s="3"/>
      <c r="I28" s="3"/>
      <c r="J28" s="3" t="str">
        <f t="shared" si="1"/>
        <v>0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15.75" customHeight="1">
      <c r="A29" s="28">
        <v>25.0</v>
      </c>
      <c r="B29" s="29" t="s">
        <v>46</v>
      </c>
      <c r="C29" s="30">
        <v>53.49</v>
      </c>
      <c r="D29" s="3"/>
      <c r="E29" s="31"/>
      <c r="F29" s="3"/>
      <c r="G29" s="3"/>
      <c r="H29" s="3"/>
      <c r="I29" s="3"/>
      <c r="J29" s="3" t="str">
        <f t="shared" si="1"/>
        <v>0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15.75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15.75" customHeight="1">
      <c r="A31" s="28">
        <v>27.0</v>
      </c>
      <c r="B31" s="29" t="s">
        <v>48</v>
      </c>
      <c r="C31" s="30">
        <v>116.68</v>
      </c>
      <c r="D31" s="3"/>
      <c r="E31" s="31"/>
      <c r="F31" s="3"/>
      <c r="G31" s="3"/>
      <c r="H31" s="3"/>
      <c r="I31" s="3"/>
      <c r="J31" s="3" t="str">
        <f t="shared" si="1"/>
        <v>0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15.75" customHeight="1">
      <c r="A32" s="28">
        <v>28.0</v>
      </c>
      <c r="B32" s="29" t="s">
        <v>49</v>
      </c>
      <c r="C32" s="30">
        <v>107.96</v>
      </c>
      <c r="D32" s="3"/>
      <c r="E32" s="31"/>
      <c r="F32" s="3"/>
      <c r="G32" s="3"/>
      <c r="H32" s="3"/>
      <c r="I32" s="3"/>
      <c r="J32" s="3" t="str">
        <f t="shared" si="1"/>
        <v>0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15.75" customHeight="1">
      <c r="A33" s="28">
        <v>29.0</v>
      </c>
      <c r="B33" s="29" t="s">
        <v>50</v>
      </c>
      <c r="C33" s="30">
        <v>248.89</v>
      </c>
      <c r="D33" s="3"/>
      <c r="E33" s="31"/>
      <c r="F33" s="3"/>
      <c r="G33" s="3"/>
      <c r="H33" s="3"/>
      <c r="I33" s="3"/>
      <c r="J33" s="3" t="str">
        <f t="shared" si="1"/>
        <v>0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15.75" customHeight="1">
      <c r="A34" s="28">
        <v>30.0</v>
      </c>
      <c r="B34" s="29" t="s">
        <v>51</v>
      </c>
      <c r="C34" s="30">
        <v>80.36</v>
      </c>
      <c r="D34" s="3"/>
      <c r="E34" s="31"/>
      <c r="F34" s="3"/>
      <c r="G34" s="3"/>
      <c r="H34" s="3"/>
      <c r="I34" s="3"/>
      <c r="J34" s="3" t="str">
        <f t="shared" si="1"/>
        <v>0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15.75" customHeight="1">
      <c r="A35" s="28">
        <v>31.0</v>
      </c>
      <c r="B35" s="29" t="s">
        <v>52</v>
      </c>
      <c r="C35" s="30">
        <v>52.46</v>
      </c>
      <c r="D35" s="3"/>
      <c r="E35" s="31"/>
      <c r="F35" s="27"/>
      <c r="G35" s="27"/>
      <c r="H35" s="27"/>
      <c r="I35" s="3"/>
      <c r="J35" s="3" t="str">
        <f t="shared" si="1"/>
        <v>0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15.75" customHeight="1">
      <c r="A36" s="28">
        <v>32.0</v>
      </c>
      <c r="B36" s="29" t="s">
        <v>53</v>
      </c>
      <c r="C36" s="30">
        <v>71.21</v>
      </c>
      <c r="D36" s="3"/>
      <c r="E36" s="31"/>
      <c r="F36" s="27"/>
      <c r="G36" s="27"/>
      <c r="H36" s="27"/>
      <c r="I36" s="3"/>
      <c r="J36" s="3" t="str">
        <f t="shared" si="1"/>
        <v>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15.75" customHeight="1">
      <c r="A37" s="28">
        <v>33.0</v>
      </c>
      <c r="B37" s="29" t="s">
        <v>54</v>
      </c>
      <c r="C37" s="30">
        <v>80.35</v>
      </c>
      <c r="D37" s="3"/>
      <c r="E37" s="31"/>
      <c r="F37" s="27"/>
      <c r="G37" s="27"/>
      <c r="H37" s="27"/>
      <c r="I37" s="3"/>
      <c r="J37" s="3" t="str">
        <f t="shared" si="1"/>
        <v>0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15.75" customHeight="1">
      <c r="A38" s="28">
        <v>34.0</v>
      </c>
      <c r="B38" s="29" t="s">
        <v>55</v>
      </c>
      <c r="C38" s="30">
        <v>64.18</v>
      </c>
      <c r="D38" s="3"/>
      <c r="E38" s="31"/>
      <c r="F38" s="27"/>
      <c r="G38" s="27"/>
      <c r="H38" s="27"/>
      <c r="I38" s="3"/>
      <c r="J38" s="3" t="str">
        <f t="shared" si="1"/>
        <v>0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15.75" customHeight="1">
      <c r="A39" s="28">
        <v>35.0</v>
      </c>
      <c r="B39" s="29" t="s">
        <v>56</v>
      </c>
      <c r="C39" s="30">
        <v>36.9</v>
      </c>
      <c r="D39" s="3"/>
      <c r="E39" s="31"/>
      <c r="F39" s="27"/>
      <c r="G39" s="27"/>
      <c r="H39" s="27"/>
      <c r="I39" s="3"/>
      <c r="J39" s="3" t="str">
        <f t="shared" si="1"/>
        <v>0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15.75" customHeight="1">
      <c r="A40" s="28">
        <v>36.0</v>
      </c>
      <c r="B40" s="29" t="s">
        <v>57</v>
      </c>
      <c r="C40" s="30">
        <v>101.54</v>
      </c>
      <c r="D40" s="3"/>
      <c r="E40" s="31"/>
      <c r="F40" s="27"/>
      <c r="G40" s="27"/>
      <c r="H40" s="27"/>
      <c r="I40" s="3"/>
      <c r="J40" s="3" t="str">
        <f t="shared" si="1"/>
        <v>0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/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15.75" customHeight="1">
      <c r="A42" s="28">
        <v>38.0</v>
      </c>
      <c r="B42" s="29" t="s">
        <v>59</v>
      </c>
      <c r="C42" s="30">
        <v>66.69</v>
      </c>
      <c r="D42" s="3"/>
      <c r="E42" s="31"/>
      <c r="F42" s="27"/>
      <c r="G42" s="27"/>
      <c r="H42" s="27"/>
      <c r="I42" s="3"/>
      <c r="J42" s="3" t="str">
        <f t="shared" si="1"/>
        <v>0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15.75" customHeight="1">
      <c r="A43" s="28">
        <v>39.0</v>
      </c>
      <c r="B43" s="29" t="s">
        <v>60</v>
      </c>
      <c r="C43" s="29">
        <v>150.85999999999999</v>
      </c>
      <c r="D43" s="3"/>
      <c r="E43" s="31"/>
      <c r="F43" s="27"/>
      <c r="G43" s="27"/>
      <c r="H43" s="27"/>
      <c r="I43" s="3"/>
      <c r="J43" s="3" t="str">
        <f t="shared" si="1"/>
        <v>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15.75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15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15.75" customHeight="1">
      <c r="A46" s="28">
        <v>42.0</v>
      </c>
      <c r="B46" s="29"/>
      <c r="C46" s="29"/>
      <c r="D46" s="3"/>
      <c r="E46" s="31"/>
      <c r="F46" s="27"/>
      <c r="G46" s="27"/>
      <c r="H46" s="27"/>
      <c r="I46" s="3"/>
      <c r="J46" s="3" t="str">
        <f t="shared" si="1"/>
        <v>0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15.75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15.7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15.7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0</v>
      </c>
      <c r="E61" s="3" t="str">
        <f t="shared" si="8"/>
        <v>0</v>
      </c>
      <c r="F61" s="3" t="str">
        <f t="shared" si="8"/>
        <v>0</v>
      </c>
      <c r="G61" s="3" t="str">
        <f t="shared" si="8"/>
        <v>0</v>
      </c>
      <c r="H61" s="3" t="str">
        <f t="shared" si="8"/>
        <v>0</v>
      </c>
      <c r="I61" s="3" t="str">
        <f t="shared" si="8"/>
        <v>0</v>
      </c>
      <c r="J61" s="3" t="str">
        <f t="shared" si="1"/>
        <v>0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No Issue</v>
      </c>
      <c r="P61" s="3" t="str">
        <f t="shared" si="7"/>
        <v>NoIssue</v>
      </c>
    </row>
    <row r="62" ht="15.75" customHeight="1">
      <c r="A62" s="10"/>
      <c r="B62" s="11" t="s">
        <v>3</v>
      </c>
      <c r="C62" s="39"/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/>
      <c r="E75" s="3"/>
      <c r="F75" s="3"/>
      <c r="G75" s="3"/>
      <c r="H75" s="3"/>
      <c r="I75" s="3"/>
      <c r="J75" s="3" t="str">
        <f t="shared" si="9"/>
        <v>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/>
      <c r="E76" s="3"/>
      <c r="F76" s="3"/>
      <c r="G76" s="3"/>
      <c r="H76" s="3"/>
      <c r="I76" s="3"/>
      <c r="J76" s="3" t="str">
        <f t="shared" si="9"/>
        <v>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/>
      <c r="E78" s="3"/>
      <c r="F78" s="3"/>
      <c r="G78" s="3"/>
      <c r="H78" s="3"/>
      <c r="I78" s="3"/>
      <c r="J78" s="3" t="str">
        <f t="shared" si="9"/>
        <v>0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/>
      <c r="E83" s="3"/>
      <c r="F83" s="3"/>
      <c r="G83" s="3"/>
      <c r="H83" s="3"/>
      <c r="I83" s="3"/>
      <c r="J83" s="3" t="str">
        <f t="shared" si="9"/>
        <v>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/>
      <c r="E99" s="3"/>
      <c r="F99" s="27"/>
      <c r="G99" s="27"/>
      <c r="H99" s="27"/>
      <c r="I99" s="3"/>
      <c r="J99" s="3" t="str">
        <f t="shared" si="9"/>
        <v>0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0</v>
      </c>
      <c r="E120" s="3" t="str">
        <f t="shared" si="16"/>
        <v>0</v>
      </c>
      <c r="F120" s="3" t="str">
        <f t="shared" si="16"/>
        <v>0</v>
      </c>
      <c r="G120" s="3" t="str">
        <f t="shared" si="16"/>
        <v>0</v>
      </c>
      <c r="H120" s="3" t="str">
        <f t="shared" si="16"/>
        <v>0</v>
      </c>
      <c r="I120" s="3" t="str">
        <f t="shared" si="16"/>
        <v>0</v>
      </c>
      <c r="J120" s="3" t="str">
        <f t="shared" si="9"/>
        <v>0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No Issue</v>
      </c>
      <c r="P120" s="3" t="str">
        <f t="shared" si="15"/>
        <v>NoIssue</v>
      </c>
    </row>
    <row r="121" ht="15.75" customHeight="1">
      <c r="A121" s="10"/>
      <c r="B121" s="11" t="s">
        <v>3</v>
      </c>
      <c r="C121" s="39"/>
      <c r="D121" s="13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/>
      <c r="E125" s="3"/>
      <c r="F125" s="3"/>
      <c r="G125" s="3"/>
      <c r="H125" s="3"/>
      <c r="I125" s="3"/>
      <c r="J125" s="3" t="str">
        <f t="shared" si="17"/>
        <v>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/>
      <c r="E144" s="3"/>
      <c r="F144" s="3"/>
      <c r="G144" s="3"/>
      <c r="H144" s="3"/>
      <c r="I144" s="3"/>
      <c r="J144" s="3" t="str">
        <f t="shared" si="17"/>
        <v>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/>
      <c r="E145" s="3"/>
      <c r="F145" s="3"/>
      <c r="G145" s="3"/>
      <c r="H145" s="3"/>
      <c r="I145" s="3"/>
      <c r="J145" s="3" t="str">
        <f t="shared" si="17"/>
        <v>0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/>
      <c r="E146" s="3"/>
      <c r="F146" s="3"/>
      <c r="G146" s="3"/>
      <c r="H146" s="3"/>
      <c r="I146" s="3"/>
      <c r="J146" s="3" t="str">
        <f t="shared" si="17"/>
        <v>0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/>
      <c r="E149" s="3"/>
      <c r="F149" s="3"/>
      <c r="G149" s="3"/>
      <c r="H149" s="3"/>
      <c r="I149" s="3"/>
      <c r="J149" s="3" t="str">
        <f t="shared" si="17"/>
        <v>0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/>
      <c r="E152" s="3"/>
      <c r="F152" s="27"/>
      <c r="G152" s="27"/>
      <c r="H152" s="27"/>
      <c r="I152" s="3"/>
      <c r="J152" s="3" t="str">
        <f t="shared" si="17"/>
        <v>0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/>
      <c r="E153" s="3"/>
      <c r="F153" s="27"/>
      <c r="G153" s="27"/>
      <c r="H153" s="27"/>
      <c r="I153" s="3"/>
      <c r="J153" s="3" t="str">
        <f t="shared" si="17"/>
        <v>0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/>
      <c r="E160" s="3"/>
      <c r="F160" s="27"/>
      <c r="G160" s="27"/>
      <c r="H160" s="27"/>
      <c r="I160" s="3"/>
      <c r="J160" s="3" t="str">
        <f t="shared" si="17"/>
        <v>0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0</v>
      </c>
      <c r="E179" s="3" t="str">
        <f t="shared" si="24"/>
        <v>0</v>
      </c>
      <c r="F179" s="3" t="str">
        <f t="shared" si="24"/>
        <v>0</v>
      </c>
      <c r="G179" s="3" t="str">
        <f t="shared" si="24"/>
        <v>0</v>
      </c>
      <c r="H179" s="3" t="str">
        <f t="shared" si="24"/>
        <v>0</v>
      </c>
      <c r="I179" s="3" t="str">
        <f t="shared" si="24"/>
        <v>0</v>
      </c>
      <c r="J179" s="3" t="str">
        <f t="shared" si="17"/>
        <v>0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NoIssue</v>
      </c>
    </row>
    <row r="180" ht="15.75" customHeight="1">
      <c r="A180" s="10"/>
      <c r="B180" s="11" t="s">
        <v>3</v>
      </c>
      <c r="C180" s="39"/>
      <c r="D180" s="13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/>
      <c r="E197" s="3"/>
      <c r="F197" s="3"/>
      <c r="G197" s="3"/>
      <c r="H197" s="3"/>
      <c r="I197" s="3"/>
      <c r="J197" s="3" t="str">
        <f t="shared" si="25"/>
        <v>0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/>
      <c r="E200" s="3"/>
      <c r="F200" s="3"/>
      <c r="G200" s="3"/>
      <c r="H200" s="3"/>
      <c r="I200" s="3"/>
      <c r="J200" s="3" t="str">
        <f t="shared" si="25"/>
        <v>0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/>
      <c r="E215" s="3"/>
      <c r="F215" s="27"/>
      <c r="G215" s="27"/>
      <c r="H215" s="27"/>
      <c r="I215" s="3"/>
      <c r="J215" s="3" t="str">
        <f t="shared" si="25"/>
        <v>0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/>
      <c r="E216" s="3"/>
      <c r="F216" s="27"/>
      <c r="G216" s="27"/>
      <c r="H216" s="27"/>
      <c r="I216" s="3"/>
      <c r="J216" s="3" t="str">
        <f t="shared" si="25"/>
        <v>0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/>
      <c r="E217" s="3"/>
      <c r="F217" s="27"/>
      <c r="G217" s="27"/>
      <c r="H217" s="27"/>
      <c r="I217" s="3"/>
      <c r="J217" s="3" t="str">
        <f t="shared" si="25"/>
        <v>0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/>
      <c r="E219" s="3"/>
      <c r="F219" s="27"/>
      <c r="G219" s="27"/>
      <c r="H219" s="27"/>
      <c r="I219" s="3"/>
      <c r="J219" s="3" t="str">
        <f t="shared" si="25"/>
        <v>0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0</v>
      </c>
      <c r="E238" s="3" t="str">
        <f t="shared" si="32"/>
        <v>0</v>
      </c>
      <c r="F238" s="3" t="str">
        <f t="shared" si="32"/>
        <v>0</v>
      </c>
      <c r="G238" s="3" t="str">
        <f t="shared" si="32"/>
        <v>0</v>
      </c>
      <c r="H238" s="3" t="str">
        <f t="shared" si="32"/>
        <v>0</v>
      </c>
      <c r="I238" s="3" t="str">
        <f t="shared" si="32"/>
        <v>0</v>
      </c>
      <c r="J238" s="3" t="str">
        <f t="shared" si="25"/>
        <v>0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No Issue</v>
      </c>
      <c r="P238" s="3" t="str">
        <f t="shared" si="31"/>
        <v>NoIssue</v>
      </c>
    </row>
    <row r="239" ht="15.75" customHeight="1">
      <c r="A239" s="10"/>
      <c r="B239" s="11" t="s">
        <v>3</v>
      </c>
      <c r="C239" s="39"/>
      <c r="D239" s="13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/>
      <c r="E244" s="3"/>
      <c r="F244" s="3"/>
      <c r="G244" s="3"/>
      <c r="H244" s="3"/>
      <c r="I244" s="3"/>
      <c r="J244" s="3" t="str">
        <f t="shared" si="33"/>
        <v>0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/>
      <c r="E245" s="3"/>
      <c r="F245" s="3"/>
      <c r="G245" s="3"/>
      <c r="H245" s="3"/>
      <c r="I245" s="3"/>
      <c r="J245" s="3" t="str">
        <f t="shared" si="33"/>
        <v>0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/>
      <c r="E254" s="3"/>
      <c r="F254" s="3"/>
      <c r="G254" s="3"/>
      <c r="H254" s="3"/>
      <c r="I254" s="3"/>
      <c r="J254" s="3" t="str">
        <f t="shared" si="33"/>
        <v>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/>
      <c r="E255" s="3"/>
      <c r="F255" s="3"/>
      <c r="G255" s="3"/>
      <c r="H255" s="3"/>
      <c r="I255" s="3"/>
      <c r="J255" s="3" t="str">
        <f t="shared" si="33"/>
        <v>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/>
      <c r="E261" s="3"/>
      <c r="F261" s="3"/>
      <c r="G261" s="3"/>
      <c r="H261" s="3"/>
      <c r="I261" s="3"/>
      <c r="J261" s="3" t="str">
        <f t="shared" si="33"/>
        <v>0</v>
      </c>
      <c r="K261" s="27" t="str">
        <f t="shared" si="34"/>
        <v> No Issue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/>
      <c r="E269" s="3"/>
      <c r="F269" s="3"/>
      <c r="G269" s="3"/>
      <c r="H269" s="3"/>
      <c r="I269" s="3"/>
      <c r="J269" s="3" t="str">
        <f t="shared" si="33"/>
        <v>0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/>
      <c r="E272" s="3"/>
      <c r="F272" s="27"/>
      <c r="G272" s="27"/>
      <c r="H272" s="27"/>
      <c r="I272" s="3"/>
      <c r="J272" s="3" t="str">
        <f t="shared" si="33"/>
        <v>0</v>
      </c>
      <c r="K272" s="27" t="str">
        <f t="shared" si="34"/>
        <v> No Issue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/>
      <c r="E274" s="3"/>
      <c r="F274" s="27"/>
      <c r="G274" s="27"/>
      <c r="H274" s="27"/>
      <c r="I274" s="3"/>
      <c r="J274" s="3" t="str">
        <f t="shared" si="33"/>
        <v>0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/>
      <c r="E275" s="3"/>
      <c r="F275" s="27"/>
      <c r="G275" s="27"/>
      <c r="H275" s="27"/>
      <c r="I275" s="3"/>
      <c r="J275" s="3" t="str">
        <f t="shared" si="33"/>
        <v>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/>
      <c r="E276" s="3"/>
      <c r="F276" s="27"/>
      <c r="G276" s="27"/>
      <c r="H276" s="27"/>
      <c r="I276" s="3"/>
      <c r="J276" s="3" t="str">
        <f t="shared" si="33"/>
        <v>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/>
      <c r="E278" s="3"/>
      <c r="F278" s="27"/>
      <c r="G278" s="27"/>
      <c r="H278" s="27"/>
      <c r="I278" s="3"/>
      <c r="J278" s="3" t="str">
        <f t="shared" si="33"/>
        <v>0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0</v>
      </c>
      <c r="E297" s="3" t="str">
        <f t="shared" si="40"/>
        <v>0</v>
      </c>
      <c r="F297" s="3" t="str">
        <f t="shared" si="40"/>
        <v>0</v>
      </c>
      <c r="G297" s="3" t="str">
        <f t="shared" si="40"/>
        <v>0</v>
      </c>
      <c r="H297" s="3" t="str">
        <f t="shared" si="40"/>
        <v>0</v>
      </c>
      <c r="I297" s="3" t="str">
        <f t="shared" si="40"/>
        <v>0</v>
      </c>
      <c r="J297" s="3" t="str">
        <f t="shared" si="33"/>
        <v>0</v>
      </c>
      <c r="K297" s="27" t="str">
        <f t="shared" si="34"/>
        <v> No Issue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No Issue</v>
      </c>
      <c r="P297" s="3" t="str">
        <f t="shared" si="39"/>
        <v>NoIssue</v>
      </c>
    </row>
    <row r="298" ht="15.75" customHeight="1">
      <c r="A298" s="10"/>
      <c r="B298" s="11" t="s">
        <v>3</v>
      </c>
      <c r="C298" s="39"/>
      <c r="D298" s="13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/>
      <c r="E312" s="3"/>
      <c r="F312" s="3"/>
      <c r="G312" s="3"/>
      <c r="H312" s="3"/>
      <c r="I312" s="3"/>
      <c r="J312" s="3" t="str">
        <f t="shared" si="41"/>
        <v>0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/>
      <c r="E315" s="3"/>
      <c r="F315" s="3"/>
      <c r="G315" s="3"/>
      <c r="H315" s="3"/>
      <c r="I315" s="3"/>
      <c r="J315" s="3" t="str">
        <f t="shared" si="41"/>
        <v>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/>
      <c r="E316" s="3"/>
      <c r="F316" s="3"/>
      <c r="G316" s="3"/>
      <c r="H316" s="3"/>
      <c r="I316" s="3"/>
      <c r="J316" s="3" t="str">
        <f t="shared" si="41"/>
        <v>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/>
      <c r="E318" s="3"/>
      <c r="F318" s="3"/>
      <c r="G318" s="3"/>
      <c r="H318" s="3"/>
      <c r="I318" s="3"/>
      <c r="J318" s="3" t="str">
        <f t="shared" si="41"/>
        <v>0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/>
      <c r="E319" s="3"/>
      <c r="F319" s="3"/>
      <c r="G319" s="3"/>
      <c r="H319" s="3"/>
      <c r="I319" s="3"/>
      <c r="J319" s="3" t="str">
        <f t="shared" si="41"/>
        <v>0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/>
      <c r="E320" s="3"/>
      <c r="F320" s="3"/>
      <c r="G320" s="3"/>
      <c r="H320" s="3"/>
      <c r="I320" s="3"/>
      <c r="J320" s="3" t="str">
        <f t="shared" si="41"/>
        <v>0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/>
      <c r="E326" s="3"/>
      <c r="F326" s="3"/>
      <c r="G326" s="3"/>
      <c r="H326" s="3"/>
      <c r="I326" s="3"/>
      <c r="J326" s="3" t="str">
        <f t="shared" si="41"/>
        <v>0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/>
      <c r="E333" s="3"/>
      <c r="F333" s="27"/>
      <c r="G333" s="27"/>
      <c r="H333" s="27"/>
      <c r="I333" s="3"/>
      <c r="J333" s="3" t="str">
        <f t="shared" si="41"/>
        <v>0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/>
      <c r="E334" s="3"/>
      <c r="F334" s="27"/>
      <c r="G334" s="27"/>
      <c r="H334" s="27"/>
      <c r="I334" s="3"/>
      <c r="J334" s="3" t="str">
        <f t="shared" si="41"/>
        <v>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/>
      <c r="E335" s="3"/>
      <c r="F335" s="27"/>
      <c r="G335" s="27"/>
      <c r="H335" s="27"/>
      <c r="I335" s="3"/>
      <c r="J335" s="3" t="str">
        <f t="shared" si="41"/>
        <v>0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/>
      <c r="E337" s="3"/>
      <c r="F337" s="27"/>
      <c r="G337" s="27"/>
      <c r="H337" s="27"/>
      <c r="I337" s="3"/>
      <c r="J337" s="3" t="str">
        <f t="shared" si="41"/>
        <v>0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0</v>
      </c>
      <c r="E356" s="3" t="str">
        <f t="shared" si="48"/>
        <v>0</v>
      </c>
      <c r="F356" s="3" t="str">
        <f t="shared" si="48"/>
        <v>0</v>
      </c>
      <c r="G356" s="3" t="str">
        <f t="shared" si="48"/>
        <v>0</v>
      </c>
      <c r="H356" s="3" t="str">
        <f t="shared" si="48"/>
        <v>0</v>
      </c>
      <c r="I356" s="3" t="str">
        <f t="shared" si="48"/>
        <v>0</v>
      </c>
      <c r="J356" s="3" t="str">
        <f t="shared" si="41"/>
        <v>0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No Issue</v>
      </c>
      <c r="P356" s="3" t="str">
        <f t="shared" si="47"/>
        <v>NoIssue</v>
      </c>
    </row>
    <row r="357" ht="15.75" customHeight="1">
      <c r="A357" s="10"/>
      <c r="B357" s="11" t="s">
        <v>3</v>
      </c>
      <c r="C357" s="39"/>
      <c r="D357" s="13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/>
      <c r="E363" s="3"/>
      <c r="F363" s="3"/>
      <c r="G363" s="3"/>
      <c r="H363" s="3"/>
      <c r="I363" s="3"/>
      <c r="J363" s="3" t="str">
        <f t="shared" si="49"/>
        <v>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/>
      <c r="E372" s="3"/>
      <c r="F372" s="3"/>
      <c r="G372" s="3"/>
      <c r="H372" s="3"/>
      <c r="I372" s="3"/>
      <c r="J372" s="3" t="str">
        <f t="shared" si="49"/>
        <v>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/>
      <c r="E392" s="3"/>
      <c r="F392" s="27"/>
      <c r="G392" s="27"/>
      <c r="H392" s="27"/>
      <c r="I392" s="3"/>
      <c r="J392" s="3" t="str">
        <f t="shared" si="49"/>
        <v>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/>
      <c r="F394" s="27"/>
      <c r="G394" s="27"/>
      <c r="H394" s="27"/>
      <c r="I394" s="3"/>
      <c r="J394" s="3" t="str">
        <f t="shared" si="49"/>
        <v>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0</v>
      </c>
      <c r="E415" s="3" t="str">
        <f t="shared" si="56"/>
        <v>0</v>
      </c>
      <c r="F415" s="3" t="str">
        <f t="shared" si="56"/>
        <v>0</v>
      </c>
      <c r="G415" s="3" t="str">
        <f t="shared" si="56"/>
        <v>0</v>
      </c>
      <c r="H415" s="3" t="str">
        <f t="shared" si="56"/>
        <v>0</v>
      </c>
      <c r="I415" s="3" t="str">
        <f t="shared" si="56"/>
        <v>0</v>
      </c>
      <c r="J415" s="3" t="str">
        <f t="shared" si="49"/>
        <v>0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No Issue</v>
      </c>
      <c r="P415" s="3" t="str">
        <f t="shared" si="55"/>
        <v>NoIssue</v>
      </c>
    </row>
    <row r="416" ht="15.75" customHeight="1">
      <c r="A416" s="10"/>
      <c r="B416" s="11" t="s">
        <v>3</v>
      </c>
      <c r="C416" s="39"/>
      <c r="D416" s="13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/>
      <c r="E418" s="3"/>
      <c r="F418" s="3"/>
      <c r="G418" s="3"/>
      <c r="H418" s="3"/>
      <c r="I418" s="3"/>
      <c r="J418" s="3" t="str">
        <f t="shared" ref="J418:J474" si="57">D418+E418-F418-G418+H418</f>
        <v>0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/>
      <c r="E419" s="3"/>
      <c r="F419" s="3"/>
      <c r="G419" s="3"/>
      <c r="H419" s="3"/>
      <c r="I419" s="3"/>
      <c r="J419" s="3" t="str">
        <f t="shared" si="57"/>
        <v>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/>
      <c r="E420" s="3"/>
      <c r="F420" s="3"/>
      <c r="G420" s="3"/>
      <c r="H420" s="3"/>
      <c r="I420" s="3"/>
      <c r="J420" s="3" t="str">
        <f t="shared" si="57"/>
        <v>0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/>
      <c r="E424" s="3"/>
      <c r="F424" s="3"/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/>
      <c r="E427" s="3"/>
      <c r="F427" s="3"/>
      <c r="G427" s="3"/>
      <c r="H427" s="3"/>
      <c r="I427" s="3"/>
      <c r="J427" s="3" t="str">
        <f t="shared" si="57"/>
        <v>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/>
      <c r="E431" s="3"/>
      <c r="F431" s="3"/>
      <c r="G431" s="3"/>
      <c r="H431" s="3"/>
      <c r="I431" s="3"/>
      <c r="J431" s="3" t="str">
        <f t="shared" si="57"/>
        <v>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/>
      <c r="E432" s="3"/>
      <c r="F432" s="3"/>
      <c r="G432" s="3"/>
      <c r="H432" s="3"/>
      <c r="I432" s="3"/>
      <c r="J432" s="3" t="str">
        <f t="shared" si="57"/>
        <v>0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/>
      <c r="E433" s="3"/>
      <c r="F433" s="3"/>
      <c r="G433" s="3"/>
      <c r="H433" s="3"/>
      <c r="I433" s="3"/>
      <c r="J433" s="3" t="str">
        <f t="shared" si="57"/>
        <v>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/>
      <c r="E434" s="3"/>
      <c r="F434" s="3"/>
      <c r="G434" s="3"/>
      <c r="H434" s="3"/>
      <c r="I434" s="3"/>
      <c r="J434" s="3" t="str">
        <f t="shared" si="57"/>
        <v>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/>
      <c r="E438" s="3"/>
      <c r="F438" s="3"/>
      <c r="G438" s="3"/>
      <c r="H438" s="3"/>
      <c r="I438" s="3"/>
      <c r="J438" s="3" t="str">
        <f t="shared" si="57"/>
        <v>0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/>
      <c r="E441" s="3"/>
      <c r="F441" s="3"/>
      <c r="G441" s="3"/>
      <c r="H441" s="3"/>
      <c r="I441" s="3"/>
      <c r="J441" s="3" t="str">
        <f t="shared" si="57"/>
        <v>0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/>
      <c r="E444" s="3"/>
      <c r="F444" s="3"/>
      <c r="G444" s="3"/>
      <c r="H444" s="3"/>
      <c r="I444" s="3"/>
      <c r="J444" s="3" t="str">
        <f t="shared" si="57"/>
        <v>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/>
      <c r="E447" s="3"/>
      <c r="F447" s="27"/>
      <c r="G447" s="27"/>
      <c r="H447" s="27"/>
      <c r="I447" s="3"/>
      <c r="J447" s="3" t="str">
        <f t="shared" si="57"/>
        <v>0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/>
      <c r="E449" s="3"/>
      <c r="F449" s="27"/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/>
      <c r="E451" s="3"/>
      <c r="F451" s="27"/>
      <c r="G451" s="27"/>
      <c r="H451" s="27"/>
      <c r="I451" s="3"/>
      <c r="J451" s="3" t="str">
        <f t="shared" si="57"/>
        <v>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/>
      <c r="E452" s="3"/>
      <c r="F452" s="27"/>
      <c r="G452" s="27"/>
      <c r="H452" s="27"/>
      <c r="I452" s="3"/>
      <c r="J452" s="3" t="str">
        <f t="shared" si="57"/>
        <v>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/>
      <c r="E453" s="3"/>
      <c r="F453" s="27"/>
      <c r="G453" s="27"/>
      <c r="H453" s="27"/>
      <c r="I453" s="3"/>
      <c r="J453" s="3" t="str">
        <f t="shared" si="57"/>
        <v>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/>
      <c r="E455" s="3"/>
      <c r="F455" s="27"/>
      <c r="G455" s="27"/>
      <c r="H455" s="27"/>
      <c r="I455" s="3"/>
      <c r="J455" s="3" t="str">
        <f t="shared" si="57"/>
        <v>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0</v>
      </c>
      <c r="E474" s="3" t="str">
        <f t="shared" si="64"/>
        <v>0</v>
      </c>
      <c r="F474" s="3" t="str">
        <f t="shared" si="64"/>
        <v>0</v>
      </c>
      <c r="G474" s="3" t="str">
        <f t="shared" si="64"/>
        <v>0</v>
      </c>
      <c r="H474" s="3" t="str">
        <f t="shared" si="64"/>
        <v>0</v>
      </c>
      <c r="I474" s="3" t="str">
        <f t="shared" si="64"/>
        <v>0</v>
      </c>
      <c r="J474" s="3" t="str">
        <f t="shared" si="57"/>
        <v>0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No Issue</v>
      </c>
      <c r="P474" s="3" t="str">
        <f t="shared" si="63"/>
        <v>NoIssue</v>
      </c>
    </row>
    <row r="475" ht="15.75" customHeight="1">
      <c r="A475" s="10"/>
      <c r="B475" s="11" t="s">
        <v>3</v>
      </c>
      <c r="C475" s="39"/>
      <c r="D475" s="13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/>
      <c r="E478" s="3"/>
      <c r="F478" s="3"/>
      <c r="G478" s="3"/>
      <c r="H478" s="3"/>
      <c r="I478" s="3"/>
      <c r="J478" s="3" t="str">
        <f t="shared" si="65"/>
        <v>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/>
      <c r="E499" s="3"/>
      <c r="F499" s="3"/>
      <c r="G499" s="3"/>
      <c r="H499" s="3"/>
      <c r="I499" s="3"/>
      <c r="J499" s="3" t="str">
        <f t="shared" si="65"/>
        <v>0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/>
      <c r="E500" s="3"/>
      <c r="F500" s="3"/>
      <c r="G500" s="3"/>
      <c r="H500" s="3"/>
      <c r="I500" s="3"/>
      <c r="J500" s="3" t="str">
        <f t="shared" si="65"/>
        <v>0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/>
      <c r="E501" s="3"/>
      <c r="F501" s="3"/>
      <c r="G501" s="3"/>
      <c r="H501" s="3"/>
      <c r="I501" s="3"/>
      <c r="J501" s="3" t="str">
        <f t="shared" si="65"/>
        <v>0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/>
      <c r="E503" s="3"/>
      <c r="F503" s="3"/>
      <c r="G503" s="3"/>
      <c r="H503" s="3"/>
      <c r="I503" s="3"/>
      <c r="J503" s="3" t="str">
        <f t="shared" si="65"/>
        <v>0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/>
      <c r="E505" s="3"/>
      <c r="F505" s="3"/>
      <c r="G505" s="3"/>
      <c r="H505" s="3"/>
      <c r="I505" s="3"/>
      <c r="J505" s="3" t="str">
        <f t="shared" si="65"/>
        <v>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/>
      <c r="E506" s="3"/>
      <c r="F506" s="27"/>
      <c r="G506" s="27"/>
      <c r="H506" s="27"/>
      <c r="I506" s="3"/>
      <c r="J506" s="3" t="str">
        <f t="shared" si="65"/>
        <v>0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/>
      <c r="E510" s="3"/>
      <c r="F510" s="27"/>
      <c r="G510" s="27"/>
      <c r="H510" s="27"/>
      <c r="I510" s="3"/>
      <c r="J510" s="3" t="str">
        <f t="shared" si="65"/>
        <v>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/>
      <c r="E511" s="3"/>
      <c r="F511" s="27"/>
      <c r="G511" s="27"/>
      <c r="H511" s="27"/>
      <c r="I511" s="3"/>
      <c r="J511" s="3" t="str">
        <f t="shared" si="65"/>
        <v>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/>
      <c r="E512" s="3"/>
      <c r="F512" s="27"/>
      <c r="G512" s="27"/>
      <c r="H512" s="27"/>
      <c r="I512" s="3"/>
      <c r="J512" s="3" t="str">
        <f t="shared" si="65"/>
        <v>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/>
      <c r="E514" s="3"/>
      <c r="F514" s="27"/>
      <c r="G514" s="27"/>
      <c r="H514" s="27"/>
      <c r="I514" s="3"/>
      <c r="J514" s="3" t="str">
        <f t="shared" si="65"/>
        <v>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0</v>
      </c>
      <c r="E533" s="3" t="str">
        <f t="shared" si="72"/>
        <v>0</v>
      </c>
      <c r="F533" s="3" t="str">
        <f t="shared" si="72"/>
        <v>0</v>
      </c>
      <c r="G533" s="3" t="str">
        <f t="shared" si="72"/>
        <v>0</v>
      </c>
      <c r="H533" s="3" t="str">
        <f t="shared" si="72"/>
        <v>0</v>
      </c>
      <c r="I533" s="3" t="str">
        <f t="shared" si="72"/>
        <v>0</v>
      </c>
      <c r="J533" s="3" t="str">
        <f t="shared" si="65"/>
        <v>0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No Issue</v>
      </c>
      <c r="P533" s="3" t="str">
        <f t="shared" si="71"/>
        <v>NoIssue</v>
      </c>
    </row>
    <row r="534" ht="15.75" customHeight="1">
      <c r="A534" s="10"/>
      <c r="B534" s="11" t="s">
        <v>3</v>
      </c>
      <c r="C534" s="39"/>
      <c r="D534" s="13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/>
      <c r="E540" s="3"/>
      <c r="F540" s="3"/>
      <c r="G540" s="3"/>
      <c r="H540" s="3"/>
      <c r="I540" s="3"/>
      <c r="J540" s="3" t="str">
        <f t="shared" si="73"/>
        <v>0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/>
      <c r="E547" s="3"/>
      <c r="F547" s="3"/>
      <c r="G547" s="3"/>
      <c r="H547" s="3"/>
      <c r="I547" s="3"/>
      <c r="J547" s="3" t="str">
        <f t="shared" si="73"/>
        <v>0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/>
      <c r="E548" s="3"/>
      <c r="F548" s="3"/>
      <c r="G548" s="3"/>
      <c r="H548" s="3"/>
      <c r="I548" s="3"/>
      <c r="J548" s="3" t="str">
        <f t="shared" si="73"/>
        <v>0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/>
      <c r="E549" s="3"/>
      <c r="F549" s="3"/>
      <c r="G549" s="3"/>
      <c r="H549" s="3"/>
      <c r="I549" s="3"/>
      <c r="J549" s="3" t="str">
        <f t="shared" si="73"/>
        <v>0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/>
      <c r="E550" s="3"/>
      <c r="F550" s="3"/>
      <c r="G550" s="3"/>
      <c r="H550" s="3"/>
      <c r="I550" s="3"/>
      <c r="J550" s="3" t="str">
        <f t="shared" si="73"/>
        <v>0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/>
      <c r="E551" s="3"/>
      <c r="F551" s="3"/>
      <c r="G551" s="3"/>
      <c r="H551" s="3"/>
      <c r="I551" s="3"/>
      <c r="J551" s="3" t="str">
        <f t="shared" si="73"/>
        <v>0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/>
      <c r="E552" s="3"/>
      <c r="F552" s="3"/>
      <c r="G552" s="3"/>
      <c r="H552" s="3"/>
      <c r="I552" s="3"/>
      <c r="J552" s="3" t="str">
        <f t="shared" si="73"/>
        <v>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/>
      <c r="E554" s="3"/>
      <c r="F554" s="3"/>
      <c r="G554" s="3"/>
      <c r="H554" s="3"/>
      <c r="I554" s="3"/>
      <c r="J554" s="3" t="str">
        <f t="shared" si="73"/>
        <v>0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/>
      <c r="E555" s="3"/>
      <c r="F555" s="3"/>
      <c r="G555" s="3"/>
      <c r="H555" s="3"/>
      <c r="I555" s="3"/>
      <c r="J555" s="3" t="str">
        <f t="shared" si="73"/>
        <v>0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/>
      <c r="E558" s="3"/>
      <c r="F558" s="3"/>
      <c r="G558" s="3"/>
      <c r="H558" s="3"/>
      <c r="I558" s="3"/>
      <c r="J558" s="3" t="str">
        <f t="shared" si="73"/>
        <v>0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/>
      <c r="E560" s="3"/>
      <c r="F560" s="3"/>
      <c r="G560" s="3"/>
      <c r="H560" s="3"/>
      <c r="I560" s="3"/>
      <c r="J560" s="3" t="str">
        <f t="shared" si="73"/>
        <v>0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/>
      <c r="E562" s="3"/>
      <c r="F562" s="3"/>
      <c r="G562" s="3"/>
      <c r="H562" s="3"/>
      <c r="I562" s="3"/>
      <c r="J562" s="3" t="str">
        <f t="shared" si="73"/>
        <v>0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/>
      <c r="E564" s="3"/>
      <c r="F564" s="3"/>
      <c r="G564" s="3"/>
      <c r="H564" s="3"/>
      <c r="I564" s="3"/>
      <c r="J564" s="3" t="str">
        <f t="shared" si="73"/>
        <v>0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/>
      <c r="E565" s="3"/>
      <c r="F565" s="27"/>
      <c r="G565" s="27"/>
      <c r="H565" s="27"/>
      <c r="I565" s="3"/>
      <c r="J565" s="3" t="str">
        <f t="shared" si="73"/>
        <v>0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/>
      <c r="E566" s="3"/>
      <c r="F566" s="27"/>
      <c r="G566" s="27"/>
      <c r="H566" s="27"/>
      <c r="I566" s="3"/>
      <c r="J566" s="3" t="str">
        <f t="shared" si="73"/>
        <v>0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/>
      <c r="E567" s="3"/>
      <c r="F567" s="27"/>
      <c r="G567" s="27"/>
      <c r="H567" s="27"/>
      <c r="I567" s="3"/>
      <c r="J567" s="3" t="str">
        <f t="shared" si="73"/>
        <v>0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/>
      <c r="E569" s="3"/>
      <c r="F569" s="27"/>
      <c r="G569" s="27"/>
      <c r="H569" s="27"/>
      <c r="I569" s="3"/>
      <c r="J569" s="3" t="str">
        <f t="shared" si="73"/>
        <v>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/>
      <c r="E570" s="3"/>
      <c r="F570" s="27"/>
      <c r="G570" s="27"/>
      <c r="H570" s="27"/>
      <c r="I570" s="3"/>
      <c r="J570" s="3" t="str">
        <f t="shared" si="73"/>
        <v>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/>
      <c r="E571" s="3"/>
      <c r="F571" s="27"/>
      <c r="G571" s="27"/>
      <c r="H571" s="27"/>
      <c r="I571" s="3"/>
      <c r="J571" s="3" t="str">
        <f t="shared" si="73"/>
        <v>0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/>
      <c r="E573" s="3"/>
      <c r="F573" s="27"/>
      <c r="G573" s="27"/>
      <c r="H573" s="27"/>
      <c r="I573" s="3"/>
      <c r="J573" s="3" t="str">
        <f t="shared" si="73"/>
        <v>0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0</v>
      </c>
      <c r="E592" s="3" t="str">
        <f t="shared" si="80"/>
        <v>0</v>
      </c>
      <c r="F592" s="3" t="str">
        <f t="shared" si="80"/>
        <v>0</v>
      </c>
      <c r="G592" s="3" t="str">
        <f t="shared" si="80"/>
        <v>0</v>
      </c>
      <c r="H592" s="3" t="str">
        <f t="shared" si="80"/>
        <v>0</v>
      </c>
      <c r="I592" s="3" t="str">
        <f t="shared" si="80"/>
        <v>0</v>
      </c>
      <c r="J592" s="3" t="str">
        <f t="shared" si="73"/>
        <v>0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No Issue</v>
      </c>
      <c r="P592" s="3" t="str">
        <f t="shared" si="79"/>
        <v>NoIssue</v>
      </c>
    </row>
    <row r="593" ht="15.75" customHeight="1">
      <c r="A593" s="10"/>
      <c r="B593" s="11" t="s">
        <v>3</v>
      </c>
      <c r="C593" s="39"/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/>
      <c r="F599" s="3"/>
      <c r="G599" s="3"/>
      <c r="H599" s="3"/>
      <c r="I599" s="3"/>
      <c r="J599" s="3" t="str">
        <f t="shared" si="81"/>
        <v>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/>
      <c r="F626" s="27"/>
      <c r="G626" s="27"/>
      <c r="H626" s="27"/>
      <c r="I626" s="3"/>
      <c r="J626" s="3" t="str">
        <f t="shared" si="81"/>
        <v>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/>
      <c r="F632" s="27"/>
      <c r="G632" s="27"/>
      <c r="H632" s="27"/>
      <c r="I632" s="3"/>
      <c r="J632" s="3" t="str">
        <f t="shared" si="81"/>
        <v>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0</v>
      </c>
      <c r="F651" s="3" t="str">
        <f t="shared" si="88"/>
        <v>0</v>
      </c>
      <c r="G651" s="3" t="str">
        <f t="shared" si="88"/>
        <v>0</v>
      </c>
      <c r="H651" s="3" t="str">
        <f t="shared" si="88"/>
        <v>0</v>
      </c>
      <c r="I651" s="3" t="str">
        <f t="shared" si="88"/>
        <v>0</v>
      </c>
      <c r="J651" s="3" t="str">
        <f t="shared" si="81"/>
        <v>0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No Issue</v>
      </c>
      <c r="P651" s="3" t="str">
        <f t="shared" si="87"/>
        <v>NoIssue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5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0</v>
      </c>
      <c r="E890" s="3" t="str">
        <f t="shared" si="121"/>
        <v>0</v>
      </c>
      <c r="F890" s="3" t="str">
        <f t="shared" si="121"/>
        <v>0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0</v>
      </c>
      <c r="J890" s="3" t="str">
        <f t="shared" ref="J890:J946" si="123">D890+E890-F890-G890+H890</f>
        <v>0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0</v>
      </c>
      <c r="E891" s="3" t="str">
        <f t="shared" si="122"/>
        <v>0</v>
      </c>
      <c r="F891" s="3" t="str">
        <f t="shared" si="122"/>
        <v>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0</v>
      </c>
      <c r="J891" s="3" t="str">
        <f t="shared" si="123"/>
        <v>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0</v>
      </c>
      <c r="E892" s="3" t="str">
        <f t="shared" si="130"/>
        <v>0</v>
      </c>
      <c r="F892" s="3" t="str">
        <f t="shared" si="130"/>
        <v>0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0</v>
      </c>
      <c r="J892" s="3" t="str">
        <f t="shared" si="123"/>
        <v>0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0</v>
      </c>
      <c r="E893" s="3" t="str">
        <f t="shared" si="131"/>
        <v>0</v>
      </c>
      <c r="F893" s="3" t="str">
        <f t="shared" si="131"/>
        <v>0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0</v>
      </c>
      <c r="J893" s="3" t="str">
        <f t="shared" si="123"/>
        <v>0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0</v>
      </c>
      <c r="E894" s="3" t="str">
        <f t="shared" si="132"/>
        <v>0</v>
      </c>
      <c r="F894" s="3" t="str">
        <f t="shared" si="132"/>
        <v>0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0</v>
      </c>
      <c r="J894" s="3" t="str">
        <f t="shared" si="123"/>
        <v>0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0</v>
      </c>
      <c r="E895" s="3" t="str">
        <f t="shared" si="133"/>
        <v>0</v>
      </c>
      <c r="F895" s="3" t="str">
        <f t="shared" si="133"/>
        <v>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0</v>
      </c>
      <c r="J895" s="3" t="str">
        <f t="shared" si="123"/>
        <v>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0</v>
      </c>
      <c r="E896" s="3" t="str">
        <f t="shared" si="134"/>
        <v>0</v>
      </c>
      <c r="F896" s="3" t="str">
        <f t="shared" si="134"/>
        <v>0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0</v>
      </c>
      <c r="J896" s="3" t="str">
        <f t="shared" si="123"/>
        <v>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0</v>
      </c>
      <c r="E899" s="3" t="str">
        <f t="shared" si="137"/>
        <v>0</v>
      </c>
      <c r="F899" s="3" t="str">
        <f t="shared" si="137"/>
        <v>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0</v>
      </c>
      <c r="J899" s="3" t="str">
        <f t="shared" si="123"/>
        <v>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0</v>
      </c>
      <c r="E900" s="3" t="str">
        <f t="shared" si="138"/>
        <v>0</v>
      </c>
      <c r="F900" s="3" t="str">
        <f t="shared" si="138"/>
        <v>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0</v>
      </c>
      <c r="J900" s="3" t="str">
        <f t="shared" si="123"/>
        <v>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0</v>
      </c>
      <c r="E901" s="3" t="str">
        <f t="shared" si="139"/>
        <v>0</v>
      </c>
      <c r="F901" s="3" t="str">
        <f t="shared" si="139"/>
        <v>0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0</v>
      </c>
      <c r="J901" s="3" t="str">
        <f t="shared" si="123"/>
        <v>0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0</v>
      </c>
      <c r="E902" s="3" t="str">
        <f t="shared" si="140"/>
        <v>0</v>
      </c>
      <c r="F902" s="3" t="str">
        <f t="shared" si="140"/>
        <v>0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0</v>
      </c>
      <c r="J902" s="3" t="str">
        <f t="shared" si="123"/>
        <v>0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0</v>
      </c>
      <c r="E903" s="3" t="str">
        <f t="shared" si="141"/>
        <v>0</v>
      </c>
      <c r="F903" s="3" t="str">
        <f t="shared" si="141"/>
        <v>0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0</v>
      </c>
      <c r="J903" s="3" t="str">
        <f t="shared" si="123"/>
        <v>0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0</v>
      </c>
      <c r="E904" s="3" t="str">
        <f t="shared" si="142"/>
        <v>0</v>
      </c>
      <c r="F904" s="3" t="str">
        <f t="shared" si="142"/>
        <v>0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0</v>
      </c>
      <c r="J904" s="3" t="str">
        <f t="shared" si="123"/>
        <v>0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0</v>
      </c>
      <c r="E905" s="3" t="str">
        <f t="shared" si="143"/>
        <v>0</v>
      </c>
      <c r="F905" s="3" t="str">
        <f t="shared" si="143"/>
        <v>0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0</v>
      </c>
      <c r="J905" s="3" t="str">
        <f t="shared" si="123"/>
        <v>0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0</v>
      </c>
      <c r="E906" s="3" t="str">
        <f t="shared" si="144"/>
        <v>0</v>
      </c>
      <c r="F906" s="3" t="str">
        <f t="shared" si="144"/>
        <v>0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0</v>
      </c>
      <c r="J906" s="3" t="str">
        <f t="shared" si="123"/>
        <v>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0</v>
      </c>
      <c r="E907" s="3" t="str">
        <f t="shared" si="145"/>
        <v>0</v>
      </c>
      <c r="F907" s="3" t="str">
        <f t="shared" si="145"/>
        <v>0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0</v>
      </c>
      <c r="J907" s="3" t="str">
        <f t="shared" si="123"/>
        <v>0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0</v>
      </c>
      <c r="E908" s="3" t="str">
        <f t="shared" si="146"/>
        <v>0</v>
      </c>
      <c r="F908" s="3" t="str">
        <f t="shared" si="146"/>
        <v>0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0</v>
      </c>
      <c r="J908" s="3" t="str">
        <f t="shared" si="123"/>
        <v>0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0</v>
      </c>
      <c r="E909" s="3" t="str">
        <f t="shared" si="147"/>
        <v>0</v>
      </c>
      <c r="F909" s="3" t="str">
        <f t="shared" si="147"/>
        <v>0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0</v>
      </c>
      <c r="J909" s="3" t="str">
        <f t="shared" si="123"/>
        <v>0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0</v>
      </c>
      <c r="E910" s="3" t="str">
        <f t="shared" si="148"/>
        <v>0</v>
      </c>
      <c r="F910" s="3" t="str">
        <f t="shared" si="148"/>
        <v>0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0</v>
      </c>
      <c r="J910" s="3" t="str">
        <f t="shared" si="123"/>
        <v>0</v>
      </c>
      <c r="K910" s="27" t="str">
        <f t="shared" si="124"/>
        <v> No Issue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0</v>
      </c>
      <c r="E911" s="3" t="str">
        <f t="shared" si="149"/>
        <v>0</v>
      </c>
      <c r="F911" s="3" t="str">
        <f t="shared" si="149"/>
        <v>0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0</v>
      </c>
      <c r="J911" s="3" t="str">
        <f t="shared" si="123"/>
        <v>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0</v>
      </c>
      <c r="E912" s="3" t="str">
        <f t="shared" si="150"/>
        <v>0</v>
      </c>
      <c r="F912" s="3" t="str">
        <f t="shared" si="150"/>
        <v>0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0</v>
      </c>
      <c r="J912" s="3" t="str">
        <f t="shared" si="123"/>
        <v>0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0</v>
      </c>
      <c r="E913" s="3" t="str">
        <f t="shared" si="151"/>
        <v>0</v>
      </c>
      <c r="F913" s="3" t="str">
        <f t="shared" si="151"/>
        <v>0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0</v>
      </c>
      <c r="J913" s="3" t="str">
        <f t="shared" si="123"/>
        <v>0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0</v>
      </c>
      <c r="E914" s="3" t="str">
        <f t="shared" si="152"/>
        <v>0</v>
      </c>
      <c r="F914" s="3" t="str">
        <f t="shared" si="152"/>
        <v>0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0</v>
      </c>
      <c r="J914" s="3" t="str">
        <f t="shared" si="123"/>
        <v>0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0</v>
      </c>
      <c r="E916" s="3" t="str">
        <f t="shared" si="154"/>
        <v>0</v>
      </c>
      <c r="F916" s="3" t="str">
        <f t="shared" si="154"/>
        <v>0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0</v>
      </c>
      <c r="J916" s="3" t="str">
        <f t="shared" si="123"/>
        <v>0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0</v>
      </c>
      <c r="E917" s="3" t="str">
        <f t="shared" si="155"/>
        <v>0</v>
      </c>
      <c r="F917" s="3" t="str">
        <f t="shared" si="155"/>
        <v>0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0</v>
      </c>
      <c r="J917" s="3" t="str">
        <f t="shared" si="123"/>
        <v>0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0</v>
      </c>
      <c r="E918" s="3" t="str">
        <f t="shared" si="156"/>
        <v>0</v>
      </c>
      <c r="F918" s="3" t="str">
        <f t="shared" si="156"/>
        <v>0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0</v>
      </c>
      <c r="J918" s="3" t="str">
        <f t="shared" si="123"/>
        <v>0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0</v>
      </c>
      <c r="E919" s="3" t="str">
        <f t="shared" si="157"/>
        <v>0</v>
      </c>
      <c r="F919" s="3" t="str">
        <f t="shared" si="157"/>
        <v>0</v>
      </c>
      <c r="G919" s="3" t="str">
        <f t="shared" si="157"/>
        <v>0</v>
      </c>
      <c r="H919" s="3" t="str">
        <f t="shared" si="157"/>
        <v>0</v>
      </c>
      <c r="I919" s="3" t="str">
        <f t="shared" si="157"/>
        <v>0</v>
      </c>
      <c r="J919" s="3" t="str">
        <f t="shared" si="123"/>
        <v>0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0</v>
      </c>
      <c r="E920" s="3" t="str">
        <f t="shared" si="158"/>
        <v>0</v>
      </c>
      <c r="F920" s="3" t="str">
        <f t="shared" si="158"/>
        <v>0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0</v>
      </c>
      <c r="J920" s="3" t="str">
        <f t="shared" si="123"/>
        <v>0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0</v>
      </c>
      <c r="E921" s="3" t="str">
        <f t="shared" si="159"/>
        <v>0</v>
      </c>
      <c r="F921" s="3" t="str">
        <f t="shared" si="159"/>
        <v>0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0</v>
      </c>
      <c r="J921" s="3" t="str">
        <f t="shared" si="123"/>
        <v>0</v>
      </c>
      <c r="K921" s="27" t="str">
        <f t="shared" si="124"/>
        <v> No Issue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0</v>
      </c>
      <c r="E922" s="3" t="str">
        <f t="shared" si="160"/>
        <v>0</v>
      </c>
      <c r="F922" s="3" t="str">
        <f t="shared" si="160"/>
        <v>0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0</v>
      </c>
      <c r="J922" s="3" t="str">
        <f t="shared" si="123"/>
        <v>0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0</v>
      </c>
      <c r="E923" s="3" t="str">
        <f t="shared" si="161"/>
        <v>0</v>
      </c>
      <c r="F923" s="3" t="str">
        <f t="shared" si="161"/>
        <v>0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0</v>
      </c>
      <c r="J923" s="3" t="str">
        <f t="shared" si="123"/>
        <v>0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0</v>
      </c>
      <c r="E924" s="3" t="str">
        <f t="shared" si="162"/>
        <v>0</v>
      </c>
      <c r="F924" s="3" t="str">
        <f t="shared" si="162"/>
        <v>0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0</v>
      </c>
      <c r="J924" s="3" t="str">
        <f t="shared" si="123"/>
        <v>0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0</v>
      </c>
      <c r="E925" s="3" t="str">
        <f t="shared" si="163"/>
        <v>0</v>
      </c>
      <c r="F925" s="3" t="str">
        <f t="shared" si="163"/>
        <v>0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0</v>
      </c>
      <c r="J925" s="3" t="str">
        <f t="shared" si="123"/>
        <v>0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0</v>
      </c>
      <c r="E927" s="3" t="str">
        <f t="shared" si="165"/>
        <v>0</v>
      </c>
      <c r="F927" s="3" t="str">
        <f t="shared" si="165"/>
        <v>0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0</v>
      </c>
      <c r="J927" s="3" t="str">
        <f t="shared" si="123"/>
        <v>0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0</v>
      </c>
      <c r="E928" s="3" t="str">
        <f t="shared" si="166"/>
        <v>0</v>
      </c>
      <c r="F928" s="3" t="str">
        <f t="shared" si="166"/>
        <v>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0</v>
      </c>
      <c r="J928" s="3" t="str">
        <f t="shared" si="123"/>
        <v>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0</v>
      </c>
      <c r="E931" s="3" t="str">
        <f t="shared" si="169"/>
        <v>0</v>
      </c>
      <c r="F931" s="3" t="str">
        <f t="shared" si="169"/>
        <v>0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0</v>
      </c>
      <c r="J931" s="3" t="str">
        <f t="shared" si="123"/>
        <v>0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0</v>
      </c>
      <c r="E946" s="3" t="str">
        <f t="shared" si="184"/>
        <v>0</v>
      </c>
      <c r="F946" s="3" t="str">
        <f t="shared" si="184"/>
        <v>0</v>
      </c>
      <c r="G946" s="3" t="str">
        <f t="shared" si="184"/>
        <v>0</v>
      </c>
      <c r="H946" s="3" t="str">
        <f t="shared" si="184"/>
        <v>0</v>
      </c>
      <c r="I946" s="3" t="str">
        <f t="shared" si="184"/>
        <v>0</v>
      </c>
      <c r="J946" s="3" t="str">
        <f t="shared" si="123"/>
        <v>0</v>
      </c>
      <c r="K946" s="27" t="str">
        <f t="shared" si="124"/>
        <v> No Issue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No Issue</v>
      </c>
      <c r="P946" s="3" t="str">
        <f t="shared" si="129"/>
        <v>NoIssue</v>
      </c>
    </row>
  </sheetData>
  <mergeCells count="32">
    <mergeCell ref="K770:P770"/>
    <mergeCell ref="K711:P711"/>
    <mergeCell ref="K534:P534"/>
    <mergeCell ref="G593:H593"/>
    <mergeCell ref="G534:H534"/>
    <mergeCell ref="K652:P652"/>
    <mergeCell ref="K593:P593"/>
    <mergeCell ref="G770:H770"/>
    <mergeCell ref="G298:H298"/>
    <mergeCell ref="K298:P298"/>
    <mergeCell ref="K829:P829"/>
    <mergeCell ref="G829:H829"/>
    <mergeCell ref="G652:H652"/>
    <mergeCell ref="G711:H711"/>
    <mergeCell ref="G475:H475"/>
    <mergeCell ref="K475:P475"/>
    <mergeCell ref="G888:H888"/>
    <mergeCell ref="K888:P888"/>
    <mergeCell ref="K416:P416"/>
    <mergeCell ref="G416:H416"/>
    <mergeCell ref="G357:H357"/>
    <mergeCell ref="K357:P357"/>
    <mergeCell ref="K180:P180"/>
    <mergeCell ref="G180:H180"/>
    <mergeCell ref="K62:P62"/>
    <mergeCell ref="G3:H3"/>
    <mergeCell ref="K3:P3"/>
    <mergeCell ref="G121:H121"/>
    <mergeCell ref="K121:P121"/>
    <mergeCell ref="K239:P239"/>
    <mergeCell ref="G239:H239"/>
    <mergeCell ref="G62:H62"/>
  </mergeCells>
  <conditionalFormatting sqref="H5">
    <cfRule type="containsText" dxfId="0" priority="1" operator="containsText" text="Problem">
      <formula>NOT(ISERROR(SEARCH(("Problem"),(H5))))</formula>
    </cfRule>
  </conditionalFormatting>
  <conditionalFormatting sqref="H5">
    <cfRule type="containsText" dxfId="0" priority="2" operator="containsText" text="Problem">
      <formula>NOT(ISERROR(SEARCH(("Problem"),(H5))))</formula>
    </cfRule>
  </conditionalFormatting>
  <conditionalFormatting sqref="H5">
    <cfRule type="containsText" dxfId="0" priority="3" operator="containsText" text="Problem">
      <formula>NOT(ISERROR(SEARCH(("Problem"),(H5))))</formula>
    </cfRule>
  </conditionalFormatting>
  <conditionalFormatting sqref="B927:C927 B939:B942 B944:C945 C896:C926 C936:C942">
    <cfRule type="containsText" dxfId="0" priority="4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5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6" operator="containsText" text="Problem">
      <formula>NOT(ISERROR(SEARCH(("Problem"),(B927))))</formula>
    </cfRule>
  </conditionalFormatting>
  <conditionalFormatting sqref="H300">
    <cfRule type="containsText" dxfId="0" priority="7" operator="containsText" text="Problem">
      <formula>NOT(ISERROR(SEARCH(("Problem"),(H300))))</formula>
    </cfRule>
  </conditionalFormatting>
  <conditionalFormatting sqref="H300">
    <cfRule type="containsText" dxfId="0" priority="8" operator="containsText" text="Problem">
      <formula>NOT(ISERROR(SEARCH(("Problem"),(H300))))</formula>
    </cfRule>
  </conditionalFormatting>
  <conditionalFormatting sqref="H300">
    <cfRule type="containsText" dxfId="0" priority="9" operator="containsText" text="Problem">
      <formula>NOT(ISERROR(SEARCH(("Problem"),(H300))))</formula>
    </cfRule>
  </conditionalFormatting>
  <conditionalFormatting sqref="G242:G269">
    <cfRule type="containsText" dxfId="0" priority="10" operator="containsText" text="Problem">
      <formula>NOT(ISERROR(SEARCH(("Problem"),(G242))))</formula>
    </cfRule>
  </conditionalFormatting>
  <conditionalFormatting sqref="G242:G269">
    <cfRule type="containsText" dxfId="0" priority="11" operator="containsText" text="Problem">
      <formula>NOT(ISERROR(SEARCH(("Problem"),(G242))))</formula>
    </cfRule>
  </conditionalFormatting>
  <conditionalFormatting sqref="G242:G269">
    <cfRule type="containsText" dxfId="0" priority="12" operator="containsText" text="Problem">
      <formula>NOT(ISERROR(SEARCH(("Problem"),(G242))))</formula>
    </cfRule>
  </conditionalFormatting>
  <conditionalFormatting sqref="D419:D446">
    <cfRule type="containsText" dxfId="0" priority="13" operator="containsText" text="Problem">
      <formula>NOT(ISERROR(SEARCH(("Problem"),(D419))))</formula>
    </cfRule>
  </conditionalFormatting>
  <conditionalFormatting sqref="D419:D446">
    <cfRule type="containsText" dxfId="0" priority="14" operator="containsText" text="Problem">
      <formula>NOT(ISERROR(SEARCH(("Problem"),(D419))))</formula>
    </cfRule>
  </conditionalFormatting>
  <conditionalFormatting sqref="D419:D446">
    <cfRule type="containsText" dxfId="0" priority="15" operator="containsText" text="Problem">
      <formula>NOT(ISERROR(SEARCH(("Problem"),(D419))))</formula>
    </cfRule>
  </conditionalFormatting>
  <conditionalFormatting sqref="E596:E623">
    <cfRule type="containsText" dxfId="0" priority="16" operator="containsText" text="Problem">
      <formula>NOT(ISERROR(SEARCH(("Problem"),(E596))))</formula>
    </cfRule>
  </conditionalFormatting>
  <conditionalFormatting sqref="E596:E623">
    <cfRule type="containsText" dxfId="0" priority="17" operator="containsText" text="Problem">
      <formula>NOT(ISERROR(SEARCH(("Problem"),(E596))))</formula>
    </cfRule>
  </conditionalFormatting>
  <conditionalFormatting sqref="E596:E623">
    <cfRule type="containsText" dxfId="0" priority="18" operator="containsText" text="Problem">
      <formula>NOT(ISERROR(SEARCH(("Problem"),(E596))))</formula>
    </cfRule>
  </conditionalFormatting>
  <conditionalFormatting sqref="G831">
    <cfRule type="containsText" dxfId="0" priority="19" operator="containsText" text="Problem">
      <formula>NOT(ISERROR(SEARCH(("Problem"),(G831))))</formula>
    </cfRule>
  </conditionalFormatting>
  <conditionalFormatting sqref="G831">
    <cfRule type="containsText" dxfId="0" priority="20" operator="containsText" text="Problem">
      <formula>NOT(ISERROR(SEARCH(("Problem"),(G831))))</formula>
    </cfRule>
  </conditionalFormatting>
  <conditionalFormatting sqref="G831">
    <cfRule type="containsText" dxfId="0" priority="21" operator="containsText" text="Problem">
      <formula>NOT(ISERROR(SEARCH(("Problem"),(G831))))</formula>
    </cfRule>
  </conditionalFormatting>
  <conditionalFormatting sqref="E359">
    <cfRule type="containsText" dxfId="0" priority="22" operator="containsText" text="Problem">
      <formula>NOT(ISERROR(SEARCH(("Problem"),(E359))))</formula>
    </cfRule>
  </conditionalFormatting>
  <conditionalFormatting sqref="E359">
    <cfRule type="containsText" dxfId="0" priority="23" operator="containsText" text="Problem">
      <formula>NOT(ISERROR(SEARCH(("Problem"),(E359))))</formula>
    </cfRule>
  </conditionalFormatting>
  <conditionalFormatting sqref="E359">
    <cfRule type="containsText" dxfId="0" priority="24" operator="containsText" text="Problem">
      <formula>NOT(ISERROR(SEARCH(("Problem"),(E359))))</formula>
    </cfRule>
  </conditionalFormatting>
  <conditionalFormatting sqref="D64">
    <cfRule type="containsText" dxfId="0" priority="25" operator="containsText" text="Problem">
      <formula>NOT(ISERROR(SEARCH(("Problem"),(D64))))</formula>
    </cfRule>
  </conditionalFormatting>
  <conditionalFormatting sqref="I478:I505">
    <cfRule type="containsText" dxfId="0" priority="26" operator="containsText" text="Problem">
      <formula>NOT(ISERROR(SEARCH(("Problem"),(I478))))</formula>
    </cfRule>
  </conditionalFormatting>
  <conditionalFormatting sqref="I478:I505">
    <cfRule type="containsText" dxfId="0" priority="27" operator="containsText" text="Problem">
      <formula>NOT(ISERROR(SEARCH(("Problem"),(I478))))</formula>
    </cfRule>
  </conditionalFormatting>
  <conditionalFormatting sqref="I478:I505">
    <cfRule type="containsText" dxfId="0" priority="28" operator="containsText" text="Problem">
      <formula>NOT(ISERROR(SEARCH(("Problem"),(I478))))</formula>
    </cfRule>
  </conditionalFormatting>
  <conditionalFormatting sqref="I478:I505">
    <cfRule type="containsText" dxfId="0" priority="29" operator="containsText" text="Problem">
      <formula>NOT(ISERROR(SEARCH(("Problem"),(I478))))</formula>
    </cfRule>
  </conditionalFormatting>
  <conditionalFormatting sqref="A830:I830 A887:H887 I860:I887 J830:P887">
    <cfRule type="containsText" dxfId="0" priority="30" operator="containsText" text="Problem">
      <formula>NOT(ISERROR(SEARCH(("Problem"),(A830))))</formula>
    </cfRule>
  </conditionalFormatting>
  <conditionalFormatting sqref="A830:I830 A887:H887 I860:I887 J830:P887">
    <cfRule type="containsText" dxfId="0" priority="31" operator="containsText" text="Problem">
      <formula>NOT(ISERROR(SEARCH(("Problem"),(A830))))</formula>
    </cfRule>
  </conditionalFormatting>
  <conditionalFormatting sqref="A830:I830 A887:H887 I860:I887 J830:P887">
    <cfRule type="containsText" dxfId="0" priority="32" operator="containsText" text="Problem">
      <formula>NOT(ISERROR(SEARCH(("Problem"),(A830))))</formula>
    </cfRule>
  </conditionalFormatting>
  <conditionalFormatting sqref="A829 J829:P829">
    <cfRule type="containsText" dxfId="0" priority="33" operator="containsText" text="Problem">
      <formula>NOT(ISERROR(SEARCH(("Problem"),(A829))))</formula>
    </cfRule>
  </conditionalFormatting>
  <conditionalFormatting sqref="A829 J829:P829">
    <cfRule type="containsText" dxfId="0" priority="34" operator="containsText" text="Problem">
      <formula>NOT(ISERROR(SEARCH(("Problem"),(A829))))</formula>
    </cfRule>
  </conditionalFormatting>
  <conditionalFormatting sqref="A829 J829:P829">
    <cfRule type="containsText" dxfId="0" priority="35" operator="containsText" text="Problem">
      <formula>NOT(ISERROR(SEARCH(("Problem"),(A829))))</formula>
    </cfRule>
  </conditionalFormatting>
  <conditionalFormatting sqref="A771:I771 A828:H828 I801:I828 J771:P828">
    <cfRule type="containsText" dxfId="0" priority="36" operator="containsText" text="Problem">
      <formula>NOT(ISERROR(SEARCH(("Problem"),(A771))))</formula>
    </cfRule>
  </conditionalFormatting>
  <conditionalFormatting sqref="A771:I771 A828:H828 I801:I828 J771:P828">
    <cfRule type="containsText" dxfId="0" priority="37" operator="containsText" text="Problem">
      <formula>NOT(ISERROR(SEARCH(("Problem"),(A771))))</formula>
    </cfRule>
  </conditionalFormatting>
  <conditionalFormatting sqref="A771:I771 A828:H828 I801:I828 J771:P828">
    <cfRule type="containsText" dxfId="0" priority="38" operator="containsText" text="Problem">
      <formula>NOT(ISERROR(SEARCH(("Problem"),(A771))))</formula>
    </cfRule>
  </conditionalFormatting>
  <conditionalFormatting sqref="G182">
    <cfRule type="containsText" dxfId="0" priority="39" operator="containsText" text="Problem">
      <formula>NOT(ISERROR(SEARCH(("Problem"),(G182))))</formula>
    </cfRule>
  </conditionalFormatting>
  <conditionalFormatting sqref="G182">
    <cfRule type="containsText" dxfId="0" priority="40" operator="containsText" text="Problem">
      <formula>NOT(ISERROR(SEARCH(("Problem"),(G182))))</formula>
    </cfRule>
  </conditionalFormatting>
  <conditionalFormatting sqref="G182">
    <cfRule type="containsText" dxfId="0" priority="41" operator="containsText" text="Problem">
      <formula>NOT(ISERROR(SEARCH(("Problem"),(G182))))</formula>
    </cfRule>
  </conditionalFormatting>
  <conditionalFormatting sqref="A240:I240 A297:H297 I270:I297 J240:P297">
    <cfRule type="containsText" dxfId="0" priority="42" operator="containsText" text="Problem">
      <formula>NOT(ISERROR(SEARCH(("Problem"),(A240))))</formula>
    </cfRule>
  </conditionalFormatting>
  <conditionalFormatting sqref="A240:I240 A297:H297 I270:I297 J240:P297">
    <cfRule type="containsText" dxfId="0" priority="43" operator="containsText" text="Problem">
      <formula>NOT(ISERROR(SEARCH(("Problem"),(A240))))</formula>
    </cfRule>
  </conditionalFormatting>
  <conditionalFormatting sqref="A240:I240 A297:H297 I270:I297 J240:P297">
    <cfRule type="containsText" dxfId="0" priority="44" operator="containsText" text="Problem">
      <formula>NOT(ISERROR(SEARCH(("Problem"),(A240))))</formula>
    </cfRule>
  </conditionalFormatting>
  <conditionalFormatting sqref="B632:C632 B644:B647 B649:C650 C601:C631 C641:C647">
    <cfRule type="containsText" dxfId="0" priority="45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46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47" operator="containsText" text="Problem">
      <formula>NOT(ISERROR(SEARCH(("Problem"),(B632))))</formula>
    </cfRule>
  </conditionalFormatting>
  <conditionalFormatting sqref="I242:I269">
    <cfRule type="containsText" dxfId="0" priority="48" operator="containsText" text="Problem">
      <formula>NOT(ISERROR(SEARCH(("Problem"),(I242))))</formula>
    </cfRule>
  </conditionalFormatting>
  <conditionalFormatting sqref="I242:I269">
    <cfRule type="containsText" dxfId="0" priority="49" operator="containsText" text="Problem">
      <formula>NOT(ISERROR(SEARCH(("Problem"),(I242))))</formula>
    </cfRule>
  </conditionalFormatting>
  <conditionalFormatting sqref="I242:I269">
    <cfRule type="containsText" dxfId="0" priority="50" operator="containsText" text="Problem">
      <formula>NOT(ISERROR(SEARCH(("Problem"),(I242))))</formula>
    </cfRule>
  </conditionalFormatting>
  <conditionalFormatting sqref="I242:I269">
    <cfRule type="containsText" dxfId="0" priority="51" operator="containsText" text="Problem">
      <formula>NOT(ISERROR(SEARCH(("Problem"),(I242))))</formula>
    </cfRule>
  </conditionalFormatting>
  <conditionalFormatting sqref="B691:C691 B703:B706 B708:C709 C660:C690 C700:C706">
    <cfRule type="containsText" dxfId="0" priority="52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53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54" operator="containsText" text="Problem">
      <formula>NOT(ISERROR(SEARCH(("Problem"),(B691))))</formula>
    </cfRule>
  </conditionalFormatting>
  <conditionalFormatting sqref="A888 E888:P888">
    <cfRule type="containsText" dxfId="0" priority="55" operator="containsText" text="Problem">
      <formula>NOT(ISERROR(SEARCH(("Problem"),(A888))))</formula>
    </cfRule>
  </conditionalFormatting>
  <conditionalFormatting sqref="A888 E888:P888">
    <cfRule type="containsText" dxfId="0" priority="56" operator="containsText" text="Problem">
      <formula>NOT(ISERROR(SEARCH(("Problem"),(A888))))</formula>
    </cfRule>
  </conditionalFormatting>
  <conditionalFormatting sqref="A888 E888:P888">
    <cfRule type="containsText" dxfId="0" priority="57" operator="containsText" text="Problem">
      <formula>NOT(ISERROR(SEARCH(("Problem"),(A888))))</formula>
    </cfRule>
  </conditionalFormatting>
  <conditionalFormatting sqref="F537:F564">
    <cfRule type="containsText" dxfId="0" priority="58" operator="containsText" text="Problem">
      <formula>NOT(ISERROR(SEARCH(("Problem"),(F537))))</formula>
    </cfRule>
  </conditionalFormatting>
  <conditionalFormatting sqref="F537:F564">
    <cfRule type="containsText" dxfId="0" priority="59" operator="containsText" text="Problem">
      <formula>NOT(ISERROR(SEARCH(("Problem"),(F537))))</formula>
    </cfRule>
  </conditionalFormatting>
  <conditionalFormatting sqref="F537:F564">
    <cfRule type="containsText" dxfId="0" priority="60" operator="containsText" text="Problem">
      <formula>NOT(ISERROR(SEARCH(("Problem"),(F537))))</formula>
    </cfRule>
  </conditionalFormatting>
  <conditionalFormatting sqref="E478:E505">
    <cfRule type="containsText" dxfId="0" priority="61" operator="containsText" text="Problem">
      <formula>NOT(ISERROR(SEARCH(("Problem"),(E478))))</formula>
    </cfRule>
  </conditionalFormatting>
  <conditionalFormatting sqref="E478:E505">
    <cfRule type="containsText" dxfId="0" priority="62" operator="containsText" text="Problem">
      <formula>NOT(ISERROR(SEARCH(("Problem"),(E478))))</formula>
    </cfRule>
  </conditionalFormatting>
  <conditionalFormatting sqref="E478:E505">
    <cfRule type="containsText" dxfId="0" priority="63" operator="containsText" text="Problem">
      <formula>NOT(ISERROR(SEARCH(("Problem"),(E478))))</formula>
    </cfRule>
  </conditionalFormatting>
  <conditionalFormatting sqref="A475 J475:P475">
    <cfRule type="containsText" dxfId="0" priority="64" operator="containsText" text="Problem">
      <formula>NOT(ISERROR(SEARCH(("Problem"),(A475))))</formula>
    </cfRule>
  </conditionalFormatting>
  <conditionalFormatting sqref="A475 J475:P475">
    <cfRule type="containsText" dxfId="0" priority="65" operator="containsText" text="Problem">
      <formula>NOT(ISERROR(SEARCH(("Problem"),(A475))))</formula>
    </cfRule>
  </conditionalFormatting>
  <conditionalFormatting sqref="A475 J475:P475">
    <cfRule type="containsText" dxfId="0" priority="66" operator="containsText" text="Problem">
      <formula>NOT(ISERROR(SEARCH(("Problem"),(A475))))</formula>
    </cfRule>
  </conditionalFormatting>
  <conditionalFormatting sqref="E242:E269">
    <cfRule type="containsText" dxfId="0" priority="67" operator="containsText" text="Problem">
      <formula>NOT(ISERROR(SEARCH(("Problem"),(E242))))</formula>
    </cfRule>
  </conditionalFormatting>
  <conditionalFormatting sqref="E242:E269">
    <cfRule type="containsText" dxfId="0" priority="68" operator="containsText" text="Problem">
      <formula>NOT(ISERROR(SEARCH(("Problem"),(E242))))</formula>
    </cfRule>
  </conditionalFormatting>
  <conditionalFormatting sqref="E242:E269">
    <cfRule type="containsText" dxfId="0" priority="69" operator="containsText" text="Problem">
      <formula>NOT(ISERROR(SEARCH(("Problem"),(E242))))</formula>
    </cfRule>
  </conditionalFormatting>
  <conditionalFormatting sqref="E301:E328">
    <cfRule type="containsText" dxfId="0" priority="70" operator="containsText" text="Problem">
      <formula>NOT(ISERROR(SEARCH(("Problem"),(E301))))</formula>
    </cfRule>
  </conditionalFormatting>
  <conditionalFormatting sqref="E301:E328">
    <cfRule type="containsText" dxfId="0" priority="71" operator="containsText" text="Problem">
      <formula>NOT(ISERROR(SEARCH(("Problem"),(E301))))</formula>
    </cfRule>
  </conditionalFormatting>
  <conditionalFormatting sqref="E301:E328">
    <cfRule type="containsText" dxfId="0" priority="72" operator="containsText" text="Problem">
      <formula>NOT(ISERROR(SEARCH(("Problem"),(E301))))</formula>
    </cfRule>
  </conditionalFormatting>
  <conditionalFormatting sqref="D773:D800">
    <cfRule type="containsText" dxfId="0" priority="73" operator="containsText" text="Problem">
      <formula>NOT(ISERROR(SEARCH(("Problem"),(D773))))</formula>
    </cfRule>
  </conditionalFormatting>
  <conditionalFormatting sqref="D773:D800">
    <cfRule type="containsText" dxfId="0" priority="74" operator="containsText" text="Problem">
      <formula>NOT(ISERROR(SEARCH(("Problem"),(D773))))</formula>
    </cfRule>
  </conditionalFormatting>
  <conditionalFormatting sqref="D773:D800">
    <cfRule type="containsText" dxfId="0" priority="75" operator="containsText" text="Problem">
      <formula>NOT(ISERROR(SEARCH(("Problem"),(D773))))</formula>
    </cfRule>
  </conditionalFormatting>
  <conditionalFormatting sqref="H359">
    <cfRule type="containsText" dxfId="0" priority="76" operator="containsText" text="Problem">
      <formula>NOT(ISERROR(SEARCH(("Problem"),(H359))))</formula>
    </cfRule>
  </conditionalFormatting>
  <conditionalFormatting sqref="H359">
    <cfRule type="containsText" dxfId="0" priority="77" operator="containsText" text="Problem">
      <formula>NOT(ISERROR(SEARCH(("Problem"),(H359))))</formula>
    </cfRule>
  </conditionalFormatting>
  <conditionalFormatting sqref="H359">
    <cfRule type="containsText" dxfId="0" priority="78" operator="containsText" text="Problem">
      <formula>NOT(ISERROR(SEARCH(("Problem"),(H359))))</formula>
    </cfRule>
  </conditionalFormatting>
  <conditionalFormatting sqref="E124:E151">
    <cfRule type="containsText" dxfId="0" priority="79" operator="containsText" text="Problem">
      <formula>NOT(ISERROR(SEARCH(("Problem"),(E124))))</formula>
    </cfRule>
  </conditionalFormatting>
  <conditionalFormatting sqref="E124:E151">
    <cfRule type="containsText" dxfId="0" priority="80" operator="containsText" text="Problem">
      <formula>NOT(ISERROR(SEARCH(("Problem"),(E124))))</formula>
    </cfRule>
  </conditionalFormatting>
  <conditionalFormatting sqref="E124:E151">
    <cfRule type="containsText" dxfId="0" priority="81" operator="containsText" text="Problem">
      <formula>NOT(ISERROR(SEARCH(("Problem"),(E124))))</formula>
    </cfRule>
  </conditionalFormatting>
  <conditionalFormatting sqref="B514:C514 B526:B529 B531:C532 C483:C513 C523:C529">
    <cfRule type="containsText" dxfId="0" priority="82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83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84" operator="containsText" text="Problem">
      <formula>NOT(ISERROR(SEARCH(("Problem"),(B514))))</formula>
    </cfRule>
  </conditionalFormatting>
  <conditionalFormatting sqref="D596:D623">
    <cfRule type="containsText" dxfId="0" priority="85" operator="containsText" text="Problem">
      <formula>NOT(ISERROR(SEARCH(("Problem"),(D596))))</formula>
    </cfRule>
  </conditionalFormatting>
  <conditionalFormatting sqref="D596:D623">
    <cfRule type="containsText" dxfId="0" priority="86" operator="containsText" text="Problem">
      <formula>NOT(ISERROR(SEARCH(("Problem"),(D596))))</formula>
    </cfRule>
  </conditionalFormatting>
  <conditionalFormatting sqref="D596:D623">
    <cfRule type="containsText" dxfId="0" priority="87" operator="containsText" text="Problem">
      <formula>NOT(ISERROR(SEARCH(("Problem"),(D596))))</formula>
    </cfRule>
  </conditionalFormatting>
  <conditionalFormatting sqref="F714:F741">
    <cfRule type="containsText" dxfId="0" priority="88" operator="containsText" text="Problem">
      <formula>NOT(ISERROR(SEARCH(("Problem"),(F714))))</formula>
    </cfRule>
  </conditionalFormatting>
  <conditionalFormatting sqref="F714:F741">
    <cfRule type="containsText" dxfId="0" priority="89" operator="containsText" text="Problem">
      <formula>NOT(ISERROR(SEARCH(("Problem"),(F714))))</formula>
    </cfRule>
  </conditionalFormatting>
  <conditionalFormatting sqref="F714:F741">
    <cfRule type="containsText" dxfId="0" priority="90" operator="containsText" text="Problem">
      <formula>NOT(ISERROR(SEARCH(("Problem"),(F714))))</formula>
    </cfRule>
  </conditionalFormatting>
  <conditionalFormatting sqref="D354:D355 E329:H355">
    <cfRule type="containsText" dxfId="0" priority="91" operator="containsText" text="Problem">
      <formula>NOT(ISERROR(SEARCH(("Problem"),(D354))))</formula>
    </cfRule>
  </conditionalFormatting>
  <conditionalFormatting sqref="D354:D355 E329:H355">
    <cfRule type="containsText" dxfId="0" priority="92" operator="containsText" text="Problem">
      <formula>NOT(ISERROR(SEARCH(("Problem"),(D354))))</formula>
    </cfRule>
  </conditionalFormatting>
  <conditionalFormatting sqref="D354:D355 E329:H355">
    <cfRule type="containsText" dxfId="0" priority="93" operator="containsText" text="Problem">
      <formula>NOT(ISERROR(SEARCH(("Problem"),(D354))))</formula>
    </cfRule>
  </conditionalFormatting>
  <conditionalFormatting sqref="F5">
    <cfRule type="containsText" dxfId="0" priority="94" operator="containsText" text="Problem">
      <formula>NOT(ISERROR(SEARCH(("Problem"),(F5))))</formula>
    </cfRule>
  </conditionalFormatting>
  <conditionalFormatting sqref="F5">
    <cfRule type="containsText" dxfId="0" priority="95" operator="containsText" text="Problem">
      <formula>NOT(ISERROR(SEARCH(("Problem"),(F5))))</formula>
    </cfRule>
  </conditionalFormatting>
  <conditionalFormatting sqref="F5">
    <cfRule type="containsText" dxfId="0" priority="96" operator="containsText" text="Problem">
      <formula>NOT(ISERROR(SEARCH(("Problem"),(F5))))</formula>
    </cfRule>
  </conditionalFormatting>
  <conditionalFormatting sqref="G301:G328">
    <cfRule type="containsText" dxfId="0" priority="97" operator="containsText" text="Problem">
      <formula>NOT(ISERROR(SEARCH(("Problem"),(G301))))</formula>
    </cfRule>
  </conditionalFormatting>
  <conditionalFormatting sqref="G301:G328">
    <cfRule type="containsText" dxfId="0" priority="98" operator="containsText" text="Problem">
      <formula>NOT(ISERROR(SEARCH(("Problem"),(G301))))</formula>
    </cfRule>
  </conditionalFormatting>
  <conditionalFormatting sqref="G301:G328">
    <cfRule type="containsText" dxfId="0" priority="99" operator="containsText" text="Problem">
      <formula>NOT(ISERROR(SEARCH(("Problem"),(G301))))</formula>
    </cfRule>
  </conditionalFormatting>
  <conditionalFormatting sqref="H64">
    <cfRule type="containsText" dxfId="0" priority="100" operator="containsText" text="Problem">
      <formula>NOT(ISERROR(SEARCH(("Problem"),(H64))))</formula>
    </cfRule>
  </conditionalFormatting>
  <conditionalFormatting sqref="H64">
    <cfRule type="containsText" dxfId="0" priority="101" operator="containsText" text="Problem">
      <formula>NOT(ISERROR(SEARCH(("Problem"),(H64))))</formula>
    </cfRule>
  </conditionalFormatting>
  <conditionalFormatting sqref="H64">
    <cfRule type="containsText" dxfId="0" priority="102" operator="containsText" text="Problem">
      <formula>NOT(ISERROR(SEARCH(("Problem"),(H64))))</formula>
    </cfRule>
  </conditionalFormatting>
  <conditionalFormatting sqref="E773:E800">
    <cfRule type="containsText" dxfId="0" priority="103" operator="containsText" text="Problem">
      <formula>NOT(ISERROR(SEARCH(("Problem"),(E773))))</formula>
    </cfRule>
  </conditionalFormatting>
  <conditionalFormatting sqref="E773:E800">
    <cfRule type="containsText" dxfId="0" priority="104" operator="containsText" text="Problem">
      <formula>NOT(ISERROR(SEARCH(("Problem"),(E773))))</formula>
    </cfRule>
  </conditionalFormatting>
  <conditionalFormatting sqref="E773:E800">
    <cfRule type="containsText" dxfId="0" priority="105" operator="containsText" text="Problem">
      <formula>NOT(ISERROR(SEARCH(("Problem"),(E773))))</formula>
    </cfRule>
  </conditionalFormatting>
  <conditionalFormatting sqref="I301:I328">
    <cfRule type="containsText" dxfId="0" priority="106" operator="containsText" text="Problem">
      <formula>NOT(ISERROR(SEARCH(("Problem"),(I301))))</formula>
    </cfRule>
  </conditionalFormatting>
  <conditionalFormatting sqref="I301:I328">
    <cfRule type="containsText" dxfId="0" priority="107" operator="containsText" text="Problem">
      <formula>NOT(ISERROR(SEARCH(("Problem"),(I301))))</formula>
    </cfRule>
  </conditionalFormatting>
  <conditionalFormatting sqref="I301:I328">
    <cfRule type="containsText" dxfId="0" priority="108" operator="containsText" text="Problem">
      <formula>NOT(ISERROR(SEARCH(("Problem"),(I301))))</formula>
    </cfRule>
  </conditionalFormatting>
  <conditionalFormatting sqref="I301:I328">
    <cfRule type="containsText" dxfId="0" priority="109" operator="containsText" text="Problem">
      <formula>NOT(ISERROR(SEARCH(("Problem"),(I301))))</formula>
    </cfRule>
  </conditionalFormatting>
  <conditionalFormatting sqref="G713">
    <cfRule type="containsText" dxfId="0" priority="110" operator="containsText" text="Problem">
      <formula>NOT(ISERROR(SEARCH(("Problem"),(G713))))</formula>
    </cfRule>
  </conditionalFormatting>
  <conditionalFormatting sqref="G713">
    <cfRule type="containsText" dxfId="0" priority="111" operator="containsText" text="Problem">
      <formula>NOT(ISERROR(SEARCH(("Problem"),(G713))))</formula>
    </cfRule>
  </conditionalFormatting>
  <conditionalFormatting sqref="G713">
    <cfRule type="containsText" dxfId="0" priority="112" operator="containsText" text="Problem">
      <formula>NOT(ISERROR(SEARCH(("Problem"),(G713))))</formula>
    </cfRule>
  </conditionalFormatting>
  <conditionalFormatting sqref="D832:D859">
    <cfRule type="containsText" dxfId="0" priority="113" operator="containsText" text="Problem">
      <formula>NOT(ISERROR(SEARCH(("Problem"),(D832))))</formula>
    </cfRule>
  </conditionalFormatting>
  <conditionalFormatting sqref="D832:D859">
    <cfRule type="containsText" dxfId="0" priority="114" operator="containsText" text="Problem">
      <formula>NOT(ISERROR(SEARCH(("Problem"),(D832))))</formula>
    </cfRule>
  </conditionalFormatting>
  <conditionalFormatting sqref="D832:D859">
    <cfRule type="containsText" dxfId="0" priority="115" operator="containsText" text="Problem">
      <formula>NOT(ISERROR(SEARCH(("Problem"),(D832))))</formula>
    </cfRule>
  </conditionalFormatting>
  <conditionalFormatting sqref="G595">
    <cfRule type="containsText" dxfId="0" priority="116" operator="containsText" text="Problem">
      <formula>NOT(ISERROR(SEARCH(("Problem"),(G595))))</formula>
    </cfRule>
  </conditionalFormatting>
  <conditionalFormatting sqref="G595">
    <cfRule type="containsText" dxfId="0" priority="117" operator="containsText" text="Problem">
      <formula>NOT(ISERROR(SEARCH(("Problem"),(G595))))</formula>
    </cfRule>
  </conditionalFormatting>
  <conditionalFormatting sqref="G595">
    <cfRule type="containsText" dxfId="0" priority="118" operator="containsText" text="Problem">
      <formula>NOT(ISERROR(SEARCH(("Problem"),(G595))))</formula>
    </cfRule>
  </conditionalFormatting>
  <conditionalFormatting sqref="D472:D473 E447:H473">
    <cfRule type="containsText" dxfId="0" priority="119" operator="containsText" text="Problem">
      <formula>NOT(ISERROR(SEARCH(("Problem"),(D472))))</formula>
    </cfRule>
  </conditionalFormatting>
  <conditionalFormatting sqref="D472:D473 E447:H473">
    <cfRule type="containsText" dxfId="0" priority="120" operator="containsText" text="Problem">
      <formula>NOT(ISERROR(SEARCH(("Problem"),(D472))))</formula>
    </cfRule>
  </conditionalFormatting>
  <conditionalFormatting sqref="D472:D473 E447:H473">
    <cfRule type="containsText" dxfId="0" priority="121" operator="containsText" text="Problem">
      <formula>NOT(ISERROR(SEARCH(("Problem"),(D472))))</formula>
    </cfRule>
  </conditionalFormatting>
  <conditionalFormatting sqref="F64">
    <cfRule type="containsText" dxfId="0" priority="122" operator="containsText" text="Problem">
      <formula>NOT(ISERROR(SEARCH(("Problem"),(F64))))</formula>
    </cfRule>
  </conditionalFormatting>
  <conditionalFormatting sqref="F64">
    <cfRule type="containsText" dxfId="0" priority="123" operator="containsText" text="Problem">
      <formula>NOT(ISERROR(SEARCH(("Problem"),(F64))))</formula>
    </cfRule>
  </conditionalFormatting>
  <conditionalFormatting sqref="F64">
    <cfRule type="containsText" dxfId="0" priority="124" operator="containsText" text="Problem">
      <formula>NOT(ISERROR(SEARCH(("Problem"),(F64))))</formula>
    </cfRule>
  </conditionalFormatting>
  <conditionalFormatting sqref="E64">
    <cfRule type="containsText" dxfId="0" priority="125" operator="containsText" text="Problem">
      <formula>NOT(ISERROR(SEARCH(("Problem"),(E64))))</formula>
    </cfRule>
  </conditionalFormatting>
  <conditionalFormatting sqref="E64">
    <cfRule type="containsText" dxfId="0" priority="126" operator="containsText" text="Problem">
      <formula>NOT(ISERROR(SEARCH(("Problem"),(E64))))</formula>
    </cfRule>
  </conditionalFormatting>
  <conditionalFormatting sqref="E64">
    <cfRule type="containsText" dxfId="0" priority="127" operator="containsText" text="Problem">
      <formula>NOT(ISERROR(SEARCH(("Problem"),(E64))))</formula>
    </cfRule>
  </conditionalFormatting>
  <conditionalFormatting sqref="F123">
    <cfRule type="containsText" dxfId="0" priority="128" operator="containsText" text="Problem">
      <formula>NOT(ISERROR(SEARCH(("Problem"),(F123))))</formula>
    </cfRule>
  </conditionalFormatting>
  <conditionalFormatting sqref="F123">
    <cfRule type="containsText" dxfId="0" priority="129" operator="containsText" text="Problem">
      <formula>NOT(ISERROR(SEARCH(("Problem"),(F123))))</formula>
    </cfRule>
  </conditionalFormatting>
  <conditionalFormatting sqref="F123">
    <cfRule type="containsText" dxfId="0" priority="130" operator="containsText" text="Problem">
      <formula>NOT(ISERROR(SEARCH(("Problem"),(F123))))</formula>
    </cfRule>
  </conditionalFormatting>
  <conditionalFormatting sqref="B160:C160 B172:B175 B177:C178 C129:C159 C169:C175">
    <cfRule type="containsText" dxfId="0" priority="131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132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133" operator="containsText" text="Problem">
      <formula>NOT(ISERROR(SEARCH(("Problem"),(B160))))</formula>
    </cfRule>
  </conditionalFormatting>
  <conditionalFormatting sqref="D649:D650 E624:H650">
    <cfRule type="containsText" dxfId="0" priority="134" operator="containsText" text="Problem">
      <formula>NOT(ISERROR(SEARCH(("Problem"),(D649))))</formula>
    </cfRule>
  </conditionalFormatting>
  <conditionalFormatting sqref="D649:D650 E624:H650">
    <cfRule type="containsText" dxfId="0" priority="135" operator="containsText" text="Problem">
      <formula>NOT(ISERROR(SEARCH(("Problem"),(D649))))</formula>
    </cfRule>
  </conditionalFormatting>
  <conditionalFormatting sqref="D649:D650 E624:H650">
    <cfRule type="containsText" dxfId="0" priority="136" operator="containsText" text="Problem">
      <formula>NOT(ISERROR(SEARCH(("Problem"),(D649))))</formula>
    </cfRule>
  </conditionalFormatting>
  <conditionalFormatting sqref="E65:E92">
    <cfRule type="containsText" dxfId="0" priority="137" operator="containsText" text="Problem">
      <formula>NOT(ISERROR(SEARCH(("Problem"),(E65))))</formula>
    </cfRule>
  </conditionalFormatting>
  <conditionalFormatting sqref="E65:E92">
    <cfRule type="containsText" dxfId="0" priority="138" operator="containsText" text="Problem">
      <formula>NOT(ISERROR(SEARCH(("Problem"),(E65))))</formula>
    </cfRule>
  </conditionalFormatting>
  <conditionalFormatting sqref="E65:E92">
    <cfRule type="containsText" dxfId="0" priority="139" operator="containsText" text="Problem">
      <formula>NOT(ISERROR(SEARCH(("Problem"),(E65))))</formula>
    </cfRule>
  </conditionalFormatting>
  <conditionalFormatting sqref="G596:G623">
    <cfRule type="containsText" dxfId="0" priority="140" operator="containsText" text="Problem">
      <formula>NOT(ISERROR(SEARCH(("Problem"),(G596))))</formula>
    </cfRule>
  </conditionalFormatting>
  <conditionalFormatting sqref="G596:G623">
    <cfRule type="containsText" dxfId="0" priority="141" operator="containsText" text="Problem">
      <formula>NOT(ISERROR(SEARCH(("Problem"),(G596))))</formula>
    </cfRule>
  </conditionalFormatting>
  <conditionalFormatting sqref="G596:G623">
    <cfRule type="containsText" dxfId="0" priority="142" operator="containsText" text="Problem">
      <formula>NOT(ISERROR(SEARCH(("Problem"),(G596))))</formula>
    </cfRule>
  </conditionalFormatting>
  <conditionalFormatting sqref="F183:F210">
    <cfRule type="containsText" dxfId="0" priority="143" operator="containsText" text="Problem">
      <formula>NOT(ISERROR(SEARCH(("Problem"),(F183))))</formula>
    </cfRule>
  </conditionalFormatting>
  <conditionalFormatting sqref="F183:F210">
    <cfRule type="containsText" dxfId="0" priority="144" operator="containsText" text="Problem">
      <formula>NOT(ISERROR(SEARCH(("Problem"),(F183))))</formula>
    </cfRule>
  </conditionalFormatting>
  <conditionalFormatting sqref="F183:F210">
    <cfRule type="containsText" dxfId="0" priority="145" operator="containsText" text="Problem">
      <formula>NOT(ISERROR(SEARCH(("Problem"),(F183))))</formula>
    </cfRule>
  </conditionalFormatting>
  <conditionalFormatting sqref="E595">
    <cfRule type="containsText" dxfId="0" priority="146" operator="containsText" text="Problem">
      <formula>NOT(ISERROR(SEARCH(("Problem"),(E595))))</formula>
    </cfRule>
  </conditionalFormatting>
  <conditionalFormatting sqref="E595">
    <cfRule type="containsText" dxfId="0" priority="147" operator="containsText" text="Problem">
      <formula>NOT(ISERROR(SEARCH(("Problem"),(E595))))</formula>
    </cfRule>
  </conditionalFormatting>
  <conditionalFormatting sqref="E595">
    <cfRule type="containsText" dxfId="0" priority="148" operator="containsText" text="Problem">
      <formula>NOT(ISERROR(SEARCH(("Problem"),(E595))))</formula>
    </cfRule>
  </conditionalFormatting>
  <conditionalFormatting sqref="B396:C396 B408:B411 B413:C414 C365:C395 C405:C411">
    <cfRule type="containsText" dxfId="0" priority="149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150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151" operator="containsText" text="Problem">
      <formula>NOT(ISERROR(SEARCH(("Problem"),(B396))))</formula>
    </cfRule>
  </conditionalFormatting>
  <conditionalFormatting sqref="B4 C3:C4 D4 D61:H61 E3:I4 K917:P918">
    <cfRule type="containsText" dxfId="0" priority="152" operator="containsText" text="Problem">
      <formula>NOT(ISERROR(SEARCH(("Problem"),(B4))))</formula>
    </cfRule>
  </conditionalFormatting>
  <conditionalFormatting sqref="B4 C3:C4 D4 D61:H61 E3:I4 K917:P918">
    <cfRule type="containsText" dxfId="0" priority="153" operator="containsText" text="Problem">
      <formula>NOT(ISERROR(SEARCH(("Problem"),(B4))))</formula>
    </cfRule>
  </conditionalFormatting>
  <conditionalFormatting sqref="B4 C3:C4 D4 D61:H61 E3:I4 K917:P918">
    <cfRule type="containsText" dxfId="0" priority="154" operator="containsText" text="Problem">
      <formula>NOT(ISERROR(SEARCH(("Problem"),(B4))))</formula>
    </cfRule>
  </conditionalFormatting>
  <conditionalFormatting sqref="F595">
    <cfRule type="containsText" dxfId="0" priority="155" operator="containsText" text="Problem">
      <formula>NOT(ISERROR(SEARCH(("Problem"),(F595))))</formula>
    </cfRule>
  </conditionalFormatting>
  <conditionalFormatting sqref="F595">
    <cfRule type="containsText" dxfId="0" priority="156" operator="containsText" text="Problem">
      <formula>NOT(ISERROR(SEARCH(("Problem"),(F595))))</formula>
    </cfRule>
  </conditionalFormatting>
  <conditionalFormatting sqref="F595">
    <cfRule type="containsText" dxfId="0" priority="157" operator="containsText" text="Problem">
      <formula>NOT(ISERROR(SEARCH(("Problem"),(F595))))</formula>
    </cfRule>
  </conditionalFormatting>
  <conditionalFormatting sqref="I300">
    <cfRule type="containsText" dxfId="0" priority="158" operator="containsText" text="Problem">
      <formula>NOT(ISERROR(SEARCH(("Problem"),(I300))))</formula>
    </cfRule>
  </conditionalFormatting>
  <conditionalFormatting sqref="I300">
    <cfRule type="containsText" dxfId="0" priority="159" operator="containsText" text="Problem">
      <formula>NOT(ISERROR(SEARCH(("Problem"),(I300))))</formula>
    </cfRule>
  </conditionalFormatting>
  <conditionalFormatting sqref="I300">
    <cfRule type="containsText" dxfId="0" priority="160" operator="containsText" text="Problem">
      <formula>NOT(ISERROR(SEARCH(("Problem"),(I300))))</formula>
    </cfRule>
  </conditionalFormatting>
  <conditionalFormatting sqref="A476:I476 A533:H533 I506:I533 J476:P533">
    <cfRule type="containsText" dxfId="0" priority="161" operator="containsText" text="Problem">
      <formula>NOT(ISERROR(SEARCH(("Problem"),(A476))))</formula>
    </cfRule>
  </conditionalFormatting>
  <conditionalFormatting sqref="A476:I476 A533:H533 I506:I533 J476:P533">
    <cfRule type="containsText" dxfId="0" priority="162" operator="containsText" text="Problem">
      <formula>NOT(ISERROR(SEARCH(("Problem"),(A476))))</formula>
    </cfRule>
  </conditionalFormatting>
  <conditionalFormatting sqref="A476:I476 A533:H533 I506:I533 J476:P533">
    <cfRule type="containsText" dxfId="0" priority="163" operator="containsText" text="Problem">
      <formula>NOT(ISERROR(SEARCH(("Problem"),(A476))))</formula>
    </cfRule>
  </conditionalFormatting>
  <conditionalFormatting sqref="D767:D768 E742:H768">
    <cfRule type="containsText" dxfId="0" priority="164" operator="containsText" text="Problem">
      <formula>NOT(ISERROR(SEARCH(("Problem"),(D767))))</formula>
    </cfRule>
  </conditionalFormatting>
  <conditionalFormatting sqref="D767:D768 E742:H768">
    <cfRule type="containsText" dxfId="0" priority="165" operator="containsText" text="Problem">
      <formula>NOT(ISERROR(SEARCH(("Problem"),(D767))))</formula>
    </cfRule>
  </conditionalFormatting>
  <conditionalFormatting sqref="D767:D768 E742:H768">
    <cfRule type="containsText" dxfId="0" priority="166" operator="containsText" text="Problem">
      <formula>NOT(ISERROR(SEARCH(("Problem"),(D767))))</formula>
    </cfRule>
  </conditionalFormatting>
  <conditionalFormatting sqref="I832:I859">
    <cfRule type="containsText" dxfId="0" priority="167" operator="containsText" text="Problem">
      <formula>NOT(ISERROR(SEARCH(("Problem"),(I832))))</formula>
    </cfRule>
  </conditionalFormatting>
  <conditionalFormatting sqref="I832:I859">
    <cfRule type="containsText" dxfId="0" priority="168" operator="containsText" text="Problem">
      <formula>NOT(ISERROR(SEARCH(("Problem"),(I832))))</formula>
    </cfRule>
  </conditionalFormatting>
  <conditionalFormatting sqref="I832:I859">
    <cfRule type="containsText" dxfId="0" priority="169" operator="containsText" text="Problem">
      <formula>NOT(ISERROR(SEARCH(("Problem"),(I832))))</formula>
    </cfRule>
  </conditionalFormatting>
  <conditionalFormatting sqref="I832:I859">
    <cfRule type="containsText" dxfId="0" priority="170" operator="containsText" text="Problem">
      <formula>NOT(ISERROR(SEARCH(("Problem"),(I832))))</formula>
    </cfRule>
  </conditionalFormatting>
  <conditionalFormatting sqref="A180 J180:P180">
    <cfRule type="containsText" dxfId="0" priority="171" operator="containsText" text="Problem">
      <formula>NOT(ISERROR(SEARCH(("Problem"),(A180))))</formula>
    </cfRule>
  </conditionalFormatting>
  <conditionalFormatting sqref="A180 J180:P180">
    <cfRule type="containsText" dxfId="0" priority="172" operator="containsText" text="Problem">
      <formula>NOT(ISERROR(SEARCH(("Problem"),(A180))))</formula>
    </cfRule>
  </conditionalFormatting>
  <conditionalFormatting sqref="A180 J180:P180">
    <cfRule type="containsText" dxfId="0" priority="173" operator="containsText" text="Problem">
      <formula>NOT(ISERROR(SEARCH(("Problem"),(A180))))</formula>
    </cfRule>
  </conditionalFormatting>
  <conditionalFormatting sqref="D177:D178 E152:H178">
    <cfRule type="containsText" dxfId="0" priority="174" operator="containsText" text="Problem">
      <formula>NOT(ISERROR(SEARCH(("Problem"),(D177))))</formula>
    </cfRule>
  </conditionalFormatting>
  <conditionalFormatting sqref="D177:D178 E152:H178">
    <cfRule type="containsText" dxfId="0" priority="175" operator="containsText" text="Problem">
      <formula>NOT(ISERROR(SEARCH(("Problem"),(D177))))</formula>
    </cfRule>
  </conditionalFormatting>
  <conditionalFormatting sqref="D177:D178 E152:H178">
    <cfRule type="containsText" dxfId="0" priority="176" operator="containsText" text="Problem">
      <formula>NOT(ISERROR(SEARCH(("Problem"),(D177))))</formula>
    </cfRule>
  </conditionalFormatting>
  <conditionalFormatting sqref="A890:A945">
    <cfRule type="containsText" dxfId="0" priority="177" operator="containsText" text="Problem">
      <formula>NOT(ISERROR(SEARCH(("Problem"),(A890))))</formula>
    </cfRule>
  </conditionalFormatting>
  <conditionalFormatting sqref="A890:A945">
    <cfRule type="containsText" dxfId="0" priority="178" operator="containsText" text="Problem">
      <formula>NOT(ISERROR(SEARCH(("Problem"),(A890))))</formula>
    </cfRule>
  </conditionalFormatting>
  <conditionalFormatting sqref="A890:A945">
    <cfRule type="containsText" dxfId="0" priority="179" operator="containsText" text="Problem">
      <formula>NOT(ISERROR(SEARCH(("Problem"),(A890))))</formula>
    </cfRule>
  </conditionalFormatting>
  <conditionalFormatting sqref="C298 E298:I298">
    <cfRule type="containsText" dxfId="0" priority="180" operator="containsText" text="Problem">
      <formula>NOT(ISERROR(SEARCH(("Problem"),(C298))))</formula>
    </cfRule>
  </conditionalFormatting>
  <conditionalFormatting sqref="C298 E298:I298">
    <cfRule type="containsText" dxfId="0" priority="181" operator="containsText" text="Problem">
      <formula>NOT(ISERROR(SEARCH(("Problem"),(C298))))</formula>
    </cfRule>
  </conditionalFormatting>
  <conditionalFormatting sqref="C298 E298:I298">
    <cfRule type="containsText" dxfId="0" priority="182" operator="containsText" text="Problem">
      <formula>NOT(ISERROR(SEARCH(("Problem"),(C298))))</formula>
    </cfRule>
  </conditionalFormatting>
  <conditionalFormatting sqref="H714:H741">
    <cfRule type="containsText" dxfId="0" priority="183" operator="containsText" text="Problem">
      <formula>NOT(ISERROR(SEARCH(("Problem"),(H714))))</formula>
    </cfRule>
  </conditionalFormatting>
  <conditionalFormatting sqref="H714:H741">
    <cfRule type="containsText" dxfId="0" priority="184" operator="containsText" text="Problem">
      <formula>NOT(ISERROR(SEARCH(("Problem"),(H714))))</formula>
    </cfRule>
  </conditionalFormatting>
  <conditionalFormatting sqref="H714:H741">
    <cfRule type="containsText" dxfId="0" priority="185" operator="containsText" text="Problem">
      <formula>NOT(ISERROR(SEARCH(("Problem"),(H714))))</formula>
    </cfRule>
  </conditionalFormatting>
  <conditionalFormatting sqref="I831">
    <cfRule type="containsText" dxfId="0" priority="186" operator="containsText" text="Problem">
      <formula>NOT(ISERROR(SEARCH(("Problem"),(I831))))</formula>
    </cfRule>
  </conditionalFormatting>
  <conditionalFormatting sqref="I831">
    <cfRule type="containsText" dxfId="0" priority="187" operator="containsText" text="Problem">
      <formula>NOT(ISERROR(SEARCH(("Problem"),(I831))))</formula>
    </cfRule>
  </conditionalFormatting>
  <conditionalFormatting sqref="I831">
    <cfRule type="containsText" dxfId="0" priority="188" operator="containsText" text="Problem">
      <formula>NOT(ISERROR(SEARCH(("Problem"),(I831))))</formula>
    </cfRule>
  </conditionalFormatting>
  <conditionalFormatting sqref="D124:D151">
    <cfRule type="containsText" dxfId="0" priority="189" operator="containsText" text="Problem">
      <formula>NOT(ISERROR(SEARCH(("Problem"),(D124))))</formula>
    </cfRule>
  </conditionalFormatting>
  <conditionalFormatting sqref="D124:D151">
    <cfRule type="containsText" dxfId="0" priority="190" operator="containsText" text="Problem">
      <formula>NOT(ISERROR(SEARCH(("Problem"),(D124))))</formula>
    </cfRule>
  </conditionalFormatting>
  <conditionalFormatting sqref="D124:D151">
    <cfRule type="containsText" dxfId="0" priority="191" operator="containsText" text="Problem">
      <formula>NOT(ISERROR(SEARCH(("Problem"),(D124))))</formula>
    </cfRule>
  </conditionalFormatting>
  <conditionalFormatting sqref="D537:D564">
    <cfRule type="containsText" dxfId="0" priority="192" operator="containsText" text="Problem">
      <formula>NOT(ISERROR(SEARCH(("Problem"),(D537))))</formula>
    </cfRule>
  </conditionalFormatting>
  <conditionalFormatting sqref="D537:D564">
    <cfRule type="containsText" dxfId="0" priority="193" operator="containsText" text="Problem">
      <formula>NOT(ISERROR(SEARCH(("Problem"),(D537))))</formula>
    </cfRule>
  </conditionalFormatting>
  <conditionalFormatting sqref="D537:D564">
    <cfRule type="containsText" dxfId="0" priority="194" operator="containsText" text="Problem">
      <formula>NOT(ISERROR(SEARCH(("Problem"),(D537))))</formula>
    </cfRule>
  </conditionalFormatting>
  <conditionalFormatting sqref="D329:D353">
    <cfRule type="containsText" dxfId="0" priority="195" operator="containsText" text="Problem">
      <formula>NOT(ISERROR(SEARCH(("Problem"),(D329))))</formula>
    </cfRule>
  </conditionalFormatting>
  <conditionalFormatting sqref="D329:D353">
    <cfRule type="containsText" dxfId="0" priority="196" operator="containsText" text="Problem">
      <formula>NOT(ISERROR(SEARCH(("Problem"),(D329))))</formula>
    </cfRule>
  </conditionalFormatting>
  <conditionalFormatting sqref="A653:I653 A710:H710 I683:I710 J653:P710">
    <cfRule type="containsText" dxfId="0" priority="197" operator="containsText" text="Problem">
      <formula>NOT(ISERROR(SEARCH(("Problem"),(A653))))</formula>
    </cfRule>
  </conditionalFormatting>
  <conditionalFormatting sqref="A653:I653 A710:H710 I683:I710 J653:P710">
    <cfRule type="containsText" dxfId="0" priority="198" operator="containsText" text="Problem">
      <formula>NOT(ISERROR(SEARCH(("Problem"),(A653))))</formula>
    </cfRule>
  </conditionalFormatting>
  <conditionalFormatting sqref="A653:I653 A710:H710 I683:I710 J653:P710">
    <cfRule type="containsText" dxfId="0" priority="199" operator="containsText" text="Problem">
      <formula>NOT(ISERROR(SEARCH(("Problem"),(A653))))</formula>
    </cfRule>
  </conditionalFormatting>
  <conditionalFormatting sqref="B278:C278 B290:B293 B295:C296 C247:C277 C287:C293">
    <cfRule type="containsText" dxfId="0" priority="200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201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202" operator="containsText" text="Problem">
      <formula>NOT(ISERROR(SEARCH(("Problem"),(B278))))</formula>
    </cfRule>
  </conditionalFormatting>
  <conditionalFormatting sqref="I123">
    <cfRule type="containsText" dxfId="0" priority="203" operator="containsText" text="Problem">
      <formula>NOT(ISERROR(SEARCH(("Problem"),(I123))))</formula>
    </cfRule>
  </conditionalFormatting>
  <conditionalFormatting sqref="I123">
    <cfRule type="containsText" dxfId="0" priority="204" operator="containsText" text="Problem">
      <formula>NOT(ISERROR(SEARCH(("Problem"),(I123))))</formula>
    </cfRule>
  </conditionalFormatting>
  <conditionalFormatting sqref="I123">
    <cfRule type="containsText" dxfId="0" priority="205" operator="containsText" text="Problem">
      <formula>NOT(ISERROR(SEARCH(("Problem"),(I123))))</formula>
    </cfRule>
  </conditionalFormatting>
  <conditionalFormatting sqref="E419:E446">
    <cfRule type="containsText" dxfId="0" priority="206" operator="containsText" text="Problem">
      <formula>NOT(ISERROR(SEARCH(("Problem"),(E419))))</formula>
    </cfRule>
  </conditionalFormatting>
  <conditionalFormatting sqref="E419:E446">
    <cfRule type="containsText" dxfId="0" priority="207" operator="containsText" text="Problem">
      <formula>NOT(ISERROR(SEARCH(("Problem"),(E419))))</formula>
    </cfRule>
  </conditionalFormatting>
  <conditionalFormatting sqref="E419:E446">
    <cfRule type="containsText" dxfId="0" priority="208" operator="containsText" text="Problem">
      <formula>NOT(ISERROR(SEARCH(("Problem"),(E419))))</formula>
    </cfRule>
  </conditionalFormatting>
  <conditionalFormatting sqref="G241">
    <cfRule type="containsText" dxfId="0" priority="209" operator="containsText" text="Problem">
      <formula>NOT(ISERROR(SEARCH(("Problem"),(G241))))</formula>
    </cfRule>
  </conditionalFormatting>
  <conditionalFormatting sqref="G241">
    <cfRule type="containsText" dxfId="0" priority="210" operator="containsText" text="Problem">
      <formula>NOT(ISERROR(SEARCH(("Problem"),(G241))))</formula>
    </cfRule>
  </conditionalFormatting>
  <conditionalFormatting sqref="G241">
    <cfRule type="containsText" dxfId="0" priority="211" operator="containsText" text="Problem">
      <formula>NOT(ISERROR(SEARCH(("Problem"),(G241))))</formula>
    </cfRule>
  </conditionalFormatting>
  <conditionalFormatting sqref="E477">
    <cfRule type="containsText" dxfId="0" priority="212" operator="containsText" text="Problem">
      <formula>NOT(ISERROR(SEARCH(("Problem"),(E477))))</formula>
    </cfRule>
  </conditionalFormatting>
  <conditionalFormatting sqref="E477">
    <cfRule type="containsText" dxfId="0" priority="213" operator="containsText" text="Problem">
      <formula>NOT(ISERROR(SEARCH(("Problem"),(E477))))</formula>
    </cfRule>
  </conditionalFormatting>
  <conditionalFormatting sqref="E477">
    <cfRule type="containsText" dxfId="0" priority="214" operator="containsText" text="Problem">
      <formula>NOT(ISERROR(SEARCH(("Problem"),(E477))))</formula>
    </cfRule>
  </conditionalFormatting>
  <conditionalFormatting sqref="I537:I564">
    <cfRule type="containsText" dxfId="0" priority="215" operator="containsText" text="Problem">
      <formula>NOT(ISERROR(SEARCH(("Problem"),(I537))))</formula>
    </cfRule>
  </conditionalFormatting>
  <conditionalFormatting sqref="I537:I564">
    <cfRule type="containsText" dxfId="0" priority="216" operator="containsText" text="Problem">
      <formula>NOT(ISERROR(SEARCH(("Problem"),(I537))))</formula>
    </cfRule>
  </conditionalFormatting>
  <conditionalFormatting sqref="I537:I564">
    <cfRule type="containsText" dxfId="0" priority="217" operator="containsText" text="Problem">
      <formula>NOT(ISERROR(SEARCH(("Problem"),(I537))))</formula>
    </cfRule>
  </conditionalFormatting>
  <conditionalFormatting sqref="I537:I564">
    <cfRule type="containsText" dxfId="0" priority="218" operator="containsText" text="Problem">
      <formula>NOT(ISERROR(SEARCH(("Problem"),(I537))))</formula>
    </cfRule>
  </conditionalFormatting>
  <conditionalFormatting sqref="D565:D589">
    <cfRule type="containsText" dxfId="0" priority="219" operator="containsText" text="Problem">
      <formula>NOT(ISERROR(SEARCH(("Problem"),(D565))))</formula>
    </cfRule>
  </conditionalFormatting>
  <conditionalFormatting sqref="D565:D589">
    <cfRule type="containsText" dxfId="0" priority="220" operator="containsText" text="Problem">
      <formula>NOT(ISERROR(SEARCH(("Problem"),(D565))))</formula>
    </cfRule>
  </conditionalFormatting>
  <conditionalFormatting sqref="G773:G800">
    <cfRule type="containsText" dxfId="0" priority="221" operator="containsText" text="Problem">
      <formula>NOT(ISERROR(SEARCH(("Problem"),(G773))))</formula>
    </cfRule>
  </conditionalFormatting>
  <conditionalFormatting sqref="G773:G800">
    <cfRule type="containsText" dxfId="0" priority="222" operator="containsText" text="Problem">
      <formula>NOT(ISERROR(SEARCH(("Problem"),(G773))))</formula>
    </cfRule>
  </conditionalFormatting>
  <conditionalFormatting sqref="G773:G800">
    <cfRule type="containsText" dxfId="0" priority="223" operator="containsText" text="Problem">
      <formula>NOT(ISERROR(SEARCH(("Problem"),(G773))))</formula>
    </cfRule>
  </conditionalFormatting>
  <conditionalFormatting sqref="E713">
    <cfRule type="containsText" dxfId="0" priority="224" operator="containsText" text="Problem">
      <formula>NOT(ISERROR(SEARCH(("Problem"),(E713))))</formula>
    </cfRule>
  </conditionalFormatting>
  <conditionalFormatting sqref="E713">
    <cfRule type="containsText" dxfId="0" priority="225" operator="containsText" text="Problem">
      <formula>NOT(ISERROR(SEARCH(("Problem"),(E713))))</formula>
    </cfRule>
  </conditionalFormatting>
  <conditionalFormatting sqref="E713">
    <cfRule type="containsText" dxfId="0" priority="226" operator="containsText" text="Problem">
      <formula>NOT(ISERROR(SEARCH(("Problem"),(E713))))</formula>
    </cfRule>
  </conditionalFormatting>
  <conditionalFormatting sqref="G183:G210">
    <cfRule type="containsText" dxfId="0" priority="227" operator="containsText" text="Problem">
      <formula>NOT(ISERROR(SEARCH(("Problem"),(G183))))</formula>
    </cfRule>
  </conditionalFormatting>
  <conditionalFormatting sqref="G183:G210">
    <cfRule type="containsText" dxfId="0" priority="228" operator="containsText" text="Problem">
      <formula>NOT(ISERROR(SEARCH(("Problem"),(G183))))</formula>
    </cfRule>
  </conditionalFormatting>
  <conditionalFormatting sqref="G183:G210">
    <cfRule type="containsText" dxfId="0" priority="229" operator="containsText" text="Problem">
      <formula>NOT(ISERROR(SEARCH(("Problem"),(G183))))</formula>
    </cfRule>
  </conditionalFormatting>
  <conditionalFormatting sqref="H242:H269">
    <cfRule type="containsText" dxfId="0" priority="230" operator="containsText" text="Problem">
      <formula>NOT(ISERROR(SEARCH(("Problem"),(H242))))</formula>
    </cfRule>
  </conditionalFormatting>
  <conditionalFormatting sqref="H242:H269">
    <cfRule type="containsText" dxfId="0" priority="231" operator="containsText" text="Problem">
      <formula>NOT(ISERROR(SEARCH(("Problem"),(H242))))</formula>
    </cfRule>
  </conditionalFormatting>
  <conditionalFormatting sqref="H242:H269">
    <cfRule type="containsText" dxfId="0" priority="232" operator="containsText" text="Problem">
      <formula>NOT(ISERROR(SEARCH(("Problem"),(H242))))</formula>
    </cfRule>
  </conditionalFormatting>
  <conditionalFormatting sqref="A181:P181 A238:H238 I211:I238 J182:M238 O182:P238">
    <cfRule type="containsText" dxfId="0" priority="233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234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235" operator="containsText" text="Problem">
      <formula>NOT(ISERROR(SEARCH(("Problem"),(A181))))</formula>
    </cfRule>
  </conditionalFormatting>
  <conditionalFormatting sqref="D885:D886 E860:H886">
    <cfRule type="containsText" dxfId="0" priority="236" operator="containsText" text="Problem">
      <formula>NOT(ISERROR(SEARCH(("Problem"),(D885))))</formula>
    </cfRule>
  </conditionalFormatting>
  <conditionalFormatting sqref="D885:D886 E860:H886">
    <cfRule type="containsText" dxfId="0" priority="237" operator="containsText" text="Problem">
      <formula>NOT(ISERROR(SEARCH(("Problem"),(D885))))</formula>
    </cfRule>
  </conditionalFormatting>
  <conditionalFormatting sqref="D885:D886 E860:H886">
    <cfRule type="containsText" dxfId="0" priority="238" operator="containsText" text="Problem">
      <formula>NOT(ISERROR(SEARCH(("Problem"),(D885))))</formula>
    </cfRule>
  </conditionalFormatting>
  <conditionalFormatting sqref="H123">
    <cfRule type="containsText" dxfId="0" priority="239" operator="containsText" text="Problem">
      <formula>NOT(ISERROR(SEARCH(("Problem"),(H123))))</formula>
    </cfRule>
  </conditionalFormatting>
  <conditionalFormatting sqref="H123">
    <cfRule type="containsText" dxfId="0" priority="240" operator="containsText" text="Problem">
      <formula>NOT(ISERROR(SEARCH(("Problem"),(H123))))</formula>
    </cfRule>
  </conditionalFormatting>
  <conditionalFormatting sqref="H123">
    <cfRule type="containsText" dxfId="0" priority="241" operator="containsText" text="Problem">
      <formula>NOT(ISERROR(SEARCH(("Problem"),(H123))))</formula>
    </cfRule>
  </conditionalFormatting>
  <conditionalFormatting sqref="E6:E34">
    <cfRule type="containsText" dxfId="0" priority="242" operator="containsText" text="Problem">
      <formula>NOT(ISERROR(SEARCH(("Problem"),(E6))))</formula>
    </cfRule>
  </conditionalFormatting>
  <conditionalFormatting sqref="E6:E34">
    <cfRule type="containsText" dxfId="0" priority="243" operator="containsText" text="Problem">
      <formula>NOT(ISERROR(SEARCH(("Problem"),(E6))))</formula>
    </cfRule>
  </conditionalFormatting>
  <conditionalFormatting sqref="E6:E34">
    <cfRule type="containsText" dxfId="0" priority="244" operator="containsText" text="Problem">
      <formula>NOT(ISERROR(SEARCH(("Problem"),(E6))))</formula>
    </cfRule>
  </conditionalFormatting>
  <conditionalFormatting sqref="F360:F387">
    <cfRule type="containsText" dxfId="0" priority="245" operator="containsText" text="Problem">
      <formula>NOT(ISERROR(SEARCH(("Problem"),(F360))))</formula>
    </cfRule>
  </conditionalFormatting>
  <conditionalFormatting sqref="F360:F387">
    <cfRule type="containsText" dxfId="0" priority="246" operator="containsText" text="Problem">
      <formula>NOT(ISERROR(SEARCH(("Problem"),(F360))))</formula>
    </cfRule>
  </conditionalFormatting>
  <conditionalFormatting sqref="F360:F387">
    <cfRule type="containsText" dxfId="0" priority="247" operator="containsText" text="Problem">
      <formula>NOT(ISERROR(SEARCH(("Problem"),(F360))))</formula>
    </cfRule>
  </conditionalFormatting>
  <conditionalFormatting sqref="A652 J652:P652">
    <cfRule type="containsText" dxfId="0" priority="248" operator="containsText" text="Problem">
      <formula>NOT(ISERROR(SEARCH(("Problem"),(A652))))</formula>
    </cfRule>
  </conditionalFormatting>
  <conditionalFormatting sqref="A652 J652:P652">
    <cfRule type="containsText" dxfId="0" priority="249" operator="containsText" text="Problem">
      <formula>NOT(ISERROR(SEARCH(("Problem"),(A652))))</formula>
    </cfRule>
  </conditionalFormatting>
  <conditionalFormatting sqref="A652 J652:P652">
    <cfRule type="containsText" dxfId="0" priority="250" operator="containsText" text="Problem">
      <formula>NOT(ISERROR(SEARCH(("Problem"),(A652))))</formula>
    </cfRule>
  </conditionalFormatting>
  <conditionalFormatting sqref="E300">
    <cfRule type="containsText" dxfId="0" priority="251" operator="containsText" text="Problem">
      <formula>NOT(ISERROR(SEARCH(("Problem"),(E300))))</formula>
    </cfRule>
  </conditionalFormatting>
  <conditionalFormatting sqref="E300">
    <cfRule type="containsText" dxfId="0" priority="252" operator="containsText" text="Problem">
      <formula>NOT(ISERROR(SEARCH(("Problem"),(E300))))</formula>
    </cfRule>
  </conditionalFormatting>
  <conditionalFormatting sqref="E300">
    <cfRule type="containsText" dxfId="0" priority="253" operator="containsText" text="Problem">
      <formula>NOT(ISERROR(SEARCH(("Problem"),(E300))))</formula>
    </cfRule>
  </conditionalFormatting>
  <conditionalFormatting sqref="I183:I210">
    <cfRule type="containsText" dxfId="0" priority="254" operator="containsText" text="Problem">
      <formula>NOT(ISERROR(SEARCH(("Problem"),(I183))))</formula>
    </cfRule>
  </conditionalFormatting>
  <conditionalFormatting sqref="I183:I210">
    <cfRule type="containsText" dxfId="0" priority="255" operator="containsText" text="Problem">
      <formula>NOT(ISERROR(SEARCH(("Problem"),(I183))))</formula>
    </cfRule>
  </conditionalFormatting>
  <conditionalFormatting sqref="I183:I210">
    <cfRule type="containsText" dxfId="0" priority="256" operator="containsText" text="Problem">
      <formula>NOT(ISERROR(SEARCH(("Problem"),(I183))))</formula>
    </cfRule>
  </conditionalFormatting>
  <conditionalFormatting sqref="I183:I210">
    <cfRule type="containsText" dxfId="0" priority="257" operator="containsText" text="Problem">
      <formula>NOT(ISERROR(SEARCH(("Problem"),(I183))))</formula>
    </cfRule>
  </conditionalFormatting>
  <conditionalFormatting sqref="A298 J298:P298">
    <cfRule type="containsText" dxfId="0" priority="258" operator="containsText" text="Problem">
      <formula>NOT(ISERROR(SEARCH(("Problem"),(A298))))</formula>
    </cfRule>
  </conditionalFormatting>
  <conditionalFormatting sqref="A298 J298:P298">
    <cfRule type="containsText" dxfId="0" priority="259" operator="containsText" text="Problem">
      <formula>NOT(ISERROR(SEARCH(("Problem"),(A298))))</formula>
    </cfRule>
  </conditionalFormatting>
  <conditionalFormatting sqref="A298 J298:P298">
    <cfRule type="containsText" dxfId="0" priority="260" operator="containsText" text="Problem">
      <formula>NOT(ISERROR(SEARCH(("Problem"),(A298))))</formula>
    </cfRule>
  </conditionalFormatting>
  <conditionalFormatting sqref="A417:I417 A474:H474 I447:I474 J417:P474">
    <cfRule type="containsText" dxfId="0" priority="261" operator="containsText" text="Problem">
      <formula>NOT(ISERROR(SEARCH(("Problem"),(A417))))</formula>
    </cfRule>
  </conditionalFormatting>
  <conditionalFormatting sqref="A417:I417 A474:H474 I447:I474 J417:P474">
    <cfRule type="containsText" dxfId="0" priority="262" operator="containsText" text="Problem">
      <formula>NOT(ISERROR(SEARCH(("Problem"),(A417))))</formula>
    </cfRule>
  </conditionalFormatting>
  <conditionalFormatting sqref="A417:I417 A474:H474 I447:I474 J417:P474">
    <cfRule type="containsText" dxfId="0" priority="263" operator="containsText" text="Problem">
      <formula>NOT(ISERROR(SEARCH(("Problem"),(A417))))</formula>
    </cfRule>
  </conditionalFormatting>
  <conditionalFormatting sqref="A534 J534:P534">
    <cfRule type="containsText" dxfId="0" priority="264" operator="containsText" text="Problem">
      <formula>NOT(ISERROR(SEARCH(("Problem"),(A534))))</formula>
    </cfRule>
  </conditionalFormatting>
  <conditionalFormatting sqref="A534 J534:P534">
    <cfRule type="containsText" dxfId="0" priority="265" operator="containsText" text="Problem">
      <formula>NOT(ISERROR(SEARCH(("Problem"),(A534))))</formula>
    </cfRule>
  </conditionalFormatting>
  <conditionalFormatting sqref="A534 J534:P534">
    <cfRule type="containsText" dxfId="0" priority="266" operator="containsText" text="Problem">
      <formula>NOT(ISERROR(SEARCH(("Problem"),(A534))))</formula>
    </cfRule>
  </conditionalFormatting>
  <conditionalFormatting sqref="E890:I890">
    <cfRule type="containsText" dxfId="0" priority="267" operator="containsText" text="Problem">
      <formula>NOT(ISERROR(SEARCH(("Problem"),(E890))))</formula>
    </cfRule>
  </conditionalFormatting>
  <conditionalFormatting sqref="E890:I890">
    <cfRule type="containsText" dxfId="0" priority="268" operator="containsText" text="Problem">
      <formula>NOT(ISERROR(SEARCH(("Problem"),(E890))))</formula>
    </cfRule>
  </conditionalFormatting>
  <conditionalFormatting sqref="E890:I890">
    <cfRule type="containsText" dxfId="0" priority="269" operator="containsText" text="Problem">
      <formula>NOT(ISERROR(SEARCH(("Problem"),(E890))))</formula>
    </cfRule>
  </conditionalFormatting>
  <conditionalFormatting sqref="D300">
    <cfRule type="containsText" dxfId="0" priority="270" operator="containsText" text="Problem">
      <formula>NOT(ISERROR(SEARCH(("Problem"),(D300))))</formula>
    </cfRule>
  </conditionalFormatting>
  <conditionalFormatting sqref="F182">
    <cfRule type="containsText" dxfId="0" priority="271" operator="containsText" text="Problem">
      <formula>NOT(ISERROR(SEARCH(("Problem"),(F182))))</formula>
    </cfRule>
  </conditionalFormatting>
  <conditionalFormatting sqref="F182">
    <cfRule type="containsText" dxfId="0" priority="272" operator="containsText" text="Problem">
      <formula>NOT(ISERROR(SEARCH(("Problem"),(F182))))</formula>
    </cfRule>
  </conditionalFormatting>
  <conditionalFormatting sqref="F182">
    <cfRule type="containsText" dxfId="0" priority="273" operator="containsText" text="Problem">
      <formula>NOT(ISERROR(SEARCH(("Problem"),(F182))))</formula>
    </cfRule>
  </conditionalFormatting>
  <conditionalFormatting sqref="A3:A61 B42:C42 B54:B57 B59:C61 C11:C41 C51:C57 I35:I61 J3:P61">
    <cfRule type="containsText" dxfId="0" priority="274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275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276" operator="containsText" text="Problem">
      <formula>NOT(ISERROR(SEARCH(("Problem"),(A3))))</formula>
    </cfRule>
  </conditionalFormatting>
  <conditionalFormatting sqref="A713:A768">
    <cfRule type="containsText" dxfId="0" priority="277" operator="containsText" text="Problem">
      <formula>NOT(ISERROR(SEARCH(("Problem"),(A713))))</formula>
    </cfRule>
  </conditionalFormatting>
  <conditionalFormatting sqref="A713:A768">
    <cfRule type="containsText" dxfId="0" priority="278" operator="containsText" text="Problem">
      <formula>NOT(ISERROR(SEARCH(("Problem"),(A713))))</formula>
    </cfRule>
  </conditionalFormatting>
  <conditionalFormatting sqref="A713:A768">
    <cfRule type="containsText" dxfId="0" priority="279" operator="containsText" text="Problem">
      <formula>NOT(ISERROR(SEARCH(("Problem"),(A713))))</formula>
    </cfRule>
  </conditionalFormatting>
  <conditionalFormatting sqref="I182">
    <cfRule type="containsText" dxfId="0" priority="280" operator="containsText" text="Problem">
      <formula>NOT(ISERROR(SEARCH(("Problem"),(I182))))</formula>
    </cfRule>
  </conditionalFormatting>
  <conditionalFormatting sqref="I182">
    <cfRule type="containsText" dxfId="0" priority="281" operator="containsText" text="Problem">
      <formula>NOT(ISERROR(SEARCH(("Problem"),(I182))))</formula>
    </cfRule>
  </conditionalFormatting>
  <conditionalFormatting sqref="I182">
    <cfRule type="containsText" dxfId="0" priority="282" operator="containsText" text="Problem">
      <formula>NOT(ISERROR(SEARCH(("Problem"),(I182))))</formula>
    </cfRule>
  </conditionalFormatting>
  <conditionalFormatting sqref="D295:D296 E270:H296">
    <cfRule type="containsText" dxfId="0" priority="283" operator="containsText" text="Problem">
      <formula>NOT(ISERROR(SEARCH(("Problem"),(D295))))</formula>
    </cfRule>
  </conditionalFormatting>
  <conditionalFormatting sqref="D295:D296 E270:H296">
    <cfRule type="containsText" dxfId="0" priority="284" operator="containsText" text="Problem">
      <formula>NOT(ISERROR(SEARCH(("Problem"),(D295))))</formula>
    </cfRule>
  </conditionalFormatting>
  <conditionalFormatting sqref="D295:D296 E270:H296">
    <cfRule type="containsText" dxfId="0" priority="285" operator="containsText" text="Problem">
      <formula>NOT(ISERROR(SEARCH(("Problem"),(D295))))</formula>
    </cfRule>
  </conditionalFormatting>
  <conditionalFormatting sqref="H419:H446">
    <cfRule type="containsText" dxfId="0" priority="286" operator="containsText" text="Problem">
      <formula>NOT(ISERROR(SEARCH(("Problem"),(H419))))</formula>
    </cfRule>
  </conditionalFormatting>
  <conditionalFormatting sqref="H419:H446">
    <cfRule type="containsText" dxfId="0" priority="287" operator="containsText" text="Problem">
      <formula>NOT(ISERROR(SEARCH(("Problem"),(H419))))</formula>
    </cfRule>
  </conditionalFormatting>
  <conditionalFormatting sqref="H419:H446">
    <cfRule type="containsText" dxfId="0" priority="288" operator="containsText" text="Problem">
      <formula>NOT(ISERROR(SEARCH(("Problem"),(H419))))</formula>
    </cfRule>
  </conditionalFormatting>
  <conditionalFormatting sqref="B455:C455 B467:B470 B472:C473 C424:C454 C464:C470">
    <cfRule type="containsText" dxfId="0" priority="289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290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291" operator="containsText" text="Problem">
      <formula>NOT(ISERROR(SEARCH(("Problem"),(B455))))</formula>
    </cfRule>
  </conditionalFormatting>
  <conditionalFormatting sqref="A772:A827">
    <cfRule type="containsText" dxfId="0" priority="292" operator="containsText" text="Problem">
      <formula>NOT(ISERROR(SEARCH(("Problem"),(A772))))</formula>
    </cfRule>
  </conditionalFormatting>
  <conditionalFormatting sqref="A772:A827">
    <cfRule type="containsText" dxfId="0" priority="293" operator="containsText" text="Problem">
      <formula>NOT(ISERROR(SEARCH(("Problem"),(A772))))</formula>
    </cfRule>
  </conditionalFormatting>
  <conditionalFormatting sqref="A772:A827">
    <cfRule type="containsText" dxfId="0" priority="294" operator="containsText" text="Problem">
      <formula>NOT(ISERROR(SEARCH(("Problem"),(A772))))</formula>
    </cfRule>
  </conditionalFormatting>
  <conditionalFormatting sqref="I360:I387">
    <cfRule type="containsText" dxfId="0" priority="295" operator="containsText" text="Problem">
      <formula>NOT(ISERROR(SEARCH(("Problem"),(I360))))</formula>
    </cfRule>
  </conditionalFormatting>
  <conditionalFormatting sqref="I360:I387">
    <cfRule type="containsText" dxfId="0" priority="296" operator="containsText" text="Problem">
      <formula>NOT(ISERROR(SEARCH(("Problem"),(I360))))</formula>
    </cfRule>
  </conditionalFormatting>
  <conditionalFormatting sqref="I360:I387">
    <cfRule type="containsText" dxfId="0" priority="297" operator="containsText" text="Problem">
      <formula>NOT(ISERROR(SEARCH(("Problem"),(I360))))</formula>
    </cfRule>
  </conditionalFormatting>
  <conditionalFormatting sqref="I360:I387">
    <cfRule type="containsText" dxfId="0" priority="298" operator="containsText" text="Problem">
      <formula>NOT(ISERROR(SEARCH(("Problem"),(I360))))</formula>
    </cfRule>
  </conditionalFormatting>
  <conditionalFormatting sqref="I596:I623">
    <cfRule type="containsText" dxfId="0" priority="299" operator="containsText" text="Problem">
      <formula>NOT(ISERROR(SEARCH(("Problem"),(I596))))</formula>
    </cfRule>
  </conditionalFormatting>
  <conditionalFormatting sqref="I596:I623">
    <cfRule type="containsText" dxfId="0" priority="300" operator="containsText" text="Problem">
      <formula>NOT(ISERROR(SEARCH(("Problem"),(I596))))</formula>
    </cfRule>
  </conditionalFormatting>
  <conditionalFormatting sqref="I596:I623">
    <cfRule type="containsText" dxfId="0" priority="301" operator="containsText" text="Problem">
      <formula>NOT(ISERROR(SEARCH(("Problem"),(I596))))</formula>
    </cfRule>
  </conditionalFormatting>
  <conditionalFormatting sqref="I596:I623">
    <cfRule type="containsText" dxfId="0" priority="302" operator="containsText" text="Problem">
      <formula>NOT(ISERROR(SEARCH(("Problem"),(I596))))</formula>
    </cfRule>
  </conditionalFormatting>
  <conditionalFormatting sqref="A241:A296">
    <cfRule type="containsText" dxfId="0" priority="303" operator="containsText" text="Problem">
      <formula>NOT(ISERROR(SEARCH(("Problem"),(A241))))</formula>
    </cfRule>
  </conditionalFormatting>
  <conditionalFormatting sqref="A241:A296">
    <cfRule type="containsText" dxfId="0" priority="304" operator="containsText" text="Problem">
      <formula>NOT(ISERROR(SEARCH(("Problem"),(A241))))</formula>
    </cfRule>
  </conditionalFormatting>
  <conditionalFormatting sqref="A241:A296">
    <cfRule type="containsText" dxfId="0" priority="305" operator="containsText" text="Problem">
      <formula>NOT(ISERROR(SEARCH(("Problem"),(A241))))</formula>
    </cfRule>
  </conditionalFormatting>
  <conditionalFormatting sqref="H595">
    <cfRule type="containsText" dxfId="0" priority="306" operator="containsText" text="Problem">
      <formula>NOT(ISERROR(SEARCH(("Problem"),(H595))))</formula>
    </cfRule>
  </conditionalFormatting>
  <conditionalFormatting sqref="H595">
    <cfRule type="containsText" dxfId="0" priority="307" operator="containsText" text="Problem">
      <formula>NOT(ISERROR(SEARCH(("Problem"),(H595))))</formula>
    </cfRule>
  </conditionalFormatting>
  <conditionalFormatting sqref="H595">
    <cfRule type="containsText" dxfId="0" priority="308" operator="containsText" text="Problem">
      <formula>NOT(ISERROR(SEARCH(("Problem"),(H595))))</formula>
    </cfRule>
  </conditionalFormatting>
  <conditionalFormatting sqref="D65:D92">
    <cfRule type="containsText" dxfId="0" priority="309" operator="containsText" text="Problem">
      <formula>NOT(ISERROR(SEARCH(("Problem"),(D65))))</formula>
    </cfRule>
  </conditionalFormatting>
  <conditionalFormatting sqref="D65:D92">
    <cfRule type="containsText" dxfId="0" priority="310" operator="containsText" text="Problem">
      <formula>NOT(ISERROR(SEARCH(("Problem"),(D65))))</formula>
    </cfRule>
  </conditionalFormatting>
  <conditionalFormatting sqref="D65:D92">
    <cfRule type="containsText" dxfId="0" priority="311" operator="containsText" text="Problem">
      <formula>NOT(ISERROR(SEARCH(("Problem"),(D65))))</formula>
    </cfRule>
  </conditionalFormatting>
  <conditionalFormatting sqref="D595">
    <cfRule type="containsText" dxfId="0" priority="312" operator="containsText" text="Problem">
      <formula>NOT(ISERROR(SEARCH(("Problem"),(D595))))</formula>
    </cfRule>
  </conditionalFormatting>
  <conditionalFormatting sqref="F773:F800">
    <cfRule type="containsText" dxfId="0" priority="313" operator="containsText" text="Problem">
      <formula>NOT(ISERROR(SEARCH(("Problem"),(F773))))</formula>
    </cfRule>
  </conditionalFormatting>
  <conditionalFormatting sqref="F773:F800">
    <cfRule type="containsText" dxfId="0" priority="314" operator="containsText" text="Problem">
      <formula>NOT(ISERROR(SEARCH(("Problem"),(F773))))</formula>
    </cfRule>
  </conditionalFormatting>
  <conditionalFormatting sqref="F773:F800">
    <cfRule type="containsText" dxfId="0" priority="315" operator="containsText" text="Problem">
      <formula>NOT(ISERROR(SEARCH(("Problem"),(F773))))</formula>
    </cfRule>
  </conditionalFormatting>
  <conditionalFormatting sqref="D388:D412">
    <cfRule type="containsText" dxfId="0" priority="316" operator="containsText" text="Problem">
      <formula>NOT(ISERROR(SEARCH(("Problem"),(D388))))</formula>
    </cfRule>
  </conditionalFormatting>
  <conditionalFormatting sqref="D388:D412">
    <cfRule type="containsText" dxfId="0" priority="317" operator="containsText" text="Problem">
      <formula>NOT(ISERROR(SEARCH(("Problem"),(D388))))</formula>
    </cfRule>
  </conditionalFormatting>
  <conditionalFormatting sqref="H713">
    <cfRule type="containsText" dxfId="0" priority="318" operator="containsText" text="Problem">
      <formula>NOT(ISERROR(SEARCH(("Problem"),(H713))))</formula>
    </cfRule>
  </conditionalFormatting>
  <conditionalFormatting sqref="H713">
    <cfRule type="containsText" dxfId="0" priority="319" operator="containsText" text="Problem">
      <formula>NOT(ISERROR(SEARCH(("Problem"),(H713))))</formula>
    </cfRule>
  </conditionalFormatting>
  <conditionalFormatting sqref="H713">
    <cfRule type="containsText" dxfId="0" priority="320" operator="containsText" text="Problem">
      <formula>NOT(ISERROR(SEARCH(("Problem"),(H713))))</formula>
    </cfRule>
  </conditionalFormatting>
  <conditionalFormatting sqref="D182">
    <cfRule type="containsText" dxfId="0" priority="321" operator="containsText" text="Problem">
      <formula>NOT(ISERROR(SEARCH(("Problem"),(D182))))</formula>
    </cfRule>
  </conditionalFormatting>
  <conditionalFormatting sqref="I241">
    <cfRule type="containsText" dxfId="0" priority="322" operator="containsText" text="Problem">
      <formula>NOT(ISERROR(SEARCH(("Problem"),(I241))))</formula>
    </cfRule>
  </conditionalFormatting>
  <conditionalFormatting sqref="I241">
    <cfRule type="containsText" dxfId="0" priority="323" operator="containsText" text="Problem">
      <formula>NOT(ISERROR(SEARCH(("Problem"),(I241))))</formula>
    </cfRule>
  </conditionalFormatting>
  <conditionalFormatting sqref="I241">
    <cfRule type="containsText" dxfId="0" priority="324" operator="containsText" text="Problem">
      <formula>NOT(ISERROR(SEARCH(("Problem"),(I241))))</formula>
    </cfRule>
  </conditionalFormatting>
  <conditionalFormatting sqref="G477">
    <cfRule type="containsText" dxfId="0" priority="325" operator="containsText" text="Problem">
      <formula>NOT(ISERROR(SEARCH(("Problem"),(G477))))</formula>
    </cfRule>
  </conditionalFormatting>
  <conditionalFormatting sqref="G477">
    <cfRule type="containsText" dxfId="0" priority="326" operator="containsText" text="Problem">
      <formula>NOT(ISERROR(SEARCH(("Problem"),(G477))))</formula>
    </cfRule>
  </conditionalFormatting>
  <conditionalFormatting sqref="G477">
    <cfRule type="containsText" dxfId="0" priority="327" operator="containsText" text="Problem">
      <formula>NOT(ISERROR(SEARCH(("Problem"),(G477))))</formula>
    </cfRule>
  </conditionalFormatting>
  <conditionalFormatting sqref="F300">
    <cfRule type="containsText" dxfId="0" priority="328" operator="containsText" text="Problem">
      <formula>NOT(ISERROR(SEARCH(("Problem"),(F300))))</formula>
    </cfRule>
  </conditionalFormatting>
  <conditionalFormatting sqref="F300">
    <cfRule type="containsText" dxfId="0" priority="329" operator="containsText" text="Problem">
      <formula>NOT(ISERROR(SEARCH(("Problem"),(F300))))</formula>
    </cfRule>
  </conditionalFormatting>
  <conditionalFormatting sqref="F300">
    <cfRule type="containsText" dxfId="0" priority="330" operator="containsText" text="Problem">
      <formula>NOT(ISERROR(SEARCH(("Problem"),(F300))))</formula>
    </cfRule>
  </conditionalFormatting>
  <conditionalFormatting sqref="I418">
    <cfRule type="containsText" dxfId="0" priority="331" operator="containsText" text="Problem">
      <formula>NOT(ISERROR(SEARCH(("Problem"),(I418))))</formula>
    </cfRule>
  </conditionalFormatting>
  <conditionalFormatting sqref="I418">
    <cfRule type="containsText" dxfId="0" priority="332" operator="containsText" text="Problem">
      <formula>NOT(ISERROR(SEARCH(("Problem"),(I418))))</formula>
    </cfRule>
  </conditionalFormatting>
  <conditionalFormatting sqref="I418">
    <cfRule type="containsText" dxfId="0" priority="333" operator="containsText" text="Problem">
      <formula>NOT(ISERROR(SEARCH(("Problem"),(I418))))</formula>
    </cfRule>
  </conditionalFormatting>
  <conditionalFormatting sqref="F418">
    <cfRule type="containsText" dxfId="0" priority="334" operator="containsText" text="Problem">
      <formula>NOT(ISERROR(SEARCH(("Problem"),(F418))))</formula>
    </cfRule>
  </conditionalFormatting>
  <conditionalFormatting sqref="F418">
    <cfRule type="containsText" dxfId="0" priority="335" operator="containsText" text="Problem">
      <formula>NOT(ISERROR(SEARCH(("Problem"),(F418))))</formula>
    </cfRule>
  </conditionalFormatting>
  <conditionalFormatting sqref="F418">
    <cfRule type="containsText" dxfId="0" priority="336" operator="containsText" text="Problem">
      <formula>NOT(ISERROR(SEARCH(("Problem"),(F418))))</formula>
    </cfRule>
  </conditionalFormatting>
  <conditionalFormatting sqref="I773:I800">
    <cfRule type="containsText" dxfId="0" priority="337" operator="containsText" text="Problem">
      <formula>NOT(ISERROR(SEARCH(("Problem"),(I773))))</formula>
    </cfRule>
  </conditionalFormatting>
  <conditionalFormatting sqref="I773:I800">
    <cfRule type="containsText" dxfId="0" priority="338" operator="containsText" text="Problem">
      <formula>NOT(ISERROR(SEARCH(("Problem"),(I773))))</formula>
    </cfRule>
  </conditionalFormatting>
  <conditionalFormatting sqref="I773:I800">
    <cfRule type="containsText" dxfId="0" priority="339" operator="containsText" text="Problem">
      <formula>NOT(ISERROR(SEARCH(("Problem"),(I773))))</formula>
    </cfRule>
  </conditionalFormatting>
  <conditionalFormatting sqref="I773:I800">
    <cfRule type="containsText" dxfId="0" priority="340" operator="containsText" text="Problem">
      <formula>NOT(ISERROR(SEARCH(("Problem"),(I773))))</formula>
    </cfRule>
  </conditionalFormatting>
  <conditionalFormatting sqref="I477">
    <cfRule type="containsText" dxfId="0" priority="341" operator="containsText" text="Problem">
      <formula>NOT(ISERROR(SEARCH(("Problem"),(I477))))</formula>
    </cfRule>
  </conditionalFormatting>
  <conditionalFormatting sqref="I477">
    <cfRule type="containsText" dxfId="0" priority="342" operator="containsText" text="Problem">
      <formula>NOT(ISERROR(SEARCH(("Problem"),(I477))))</formula>
    </cfRule>
  </conditionalFormatting>
  <conditionalFormatting sqref="I477">
    <cfRule type="containsText" dxfId="0" priority="343" operator="containsText" text="Problem">
      <formula>NOT(ISERROR(SEARCH(("Problem"),(I477))))</formula>
    </cfRule>
  </conditionalFormatting>
  <conditionalFormatting sqref="H6:H34">
    <cfRule type="containsText" dxfId="0" priority="344" operator="containsText" text="Problem">
      <formula>NOT(ISERROR(SEARCH(("Problem"),(H6))))</formula>
    </cfRule>
  </conditionalFormatting>
  <conditionalFormatting sqref="H6:H34">
    <cfRule type="containsText" dxfId="0" priority="345" operator="containsText" text="Problem">
      <formula>NOT(ISERROR(SEARCH(("Problem"),(H6))))</formula>
    </cfRule>
  </conditionalFormatting>
  <conditionalFormatting sqref="H6:H34">
    <cfRule type="containsText" dxfId="0" priority="346" operator="containsText" text="Problem">
      <formula>NOT(ISERROR(SEARCH(("Problem"),(H6))))</formula>
    </cfRule>
  </conditionalFormatting>
  <conditionalFormatting sqref="D183:D210">
    <cfRule type="containsText" dxfId="0" priority="347" operator="containsText" text="Problem">
      <formula>NOT(ISERROR(SEARCH(("Problem"),(D183))))</formula>
    </cfRule>
  </conditionalFormatting>
  <conditionalFormatting sqref="D183:D210">
    <cfRule type="containsText" dxfId="0" priority="348" operator="containsText" text="Problem">
      <formula>NOT(ISERROR(SEARCH(("Problem"),(D183))))</formula>
    </cfRule>
  </conditionalFormatting>
  <conditionalFormatting sqref="D183:D210">
    <cfRule type="containsText" dxfId="0" priority="349" operator="containsText" text="Problem">
      <formula>NOT(ISERROR(SEARCH(("Problem"),(D183))))</formula>
    </cfRule>
  </conditionalFormatting>
  <conditionalFormatting sqref="I359">
    <cfRule type="containsText" dxfId="0" priority="350" operator="containsText" text="Problem">
      <formula>NOT(ISERROR(SEARCH(("Problem"),(I359))))</formula>
    </cfRule>
  </conditionalFormatting>
  <conditionalFormatting sqref="I359">
    <cfRule type="containsText" dxfId="0" priority="351" operator="containsText" text="Problem">
      <formula>NOT(ISERROR(SEARCH(("Problem"),(I359))))</formula>
    </cfRule>
  </conditionalFormatting>
  <conditionalFormatting sqref="I359">
    <cfRule type="containsText" dxfId="0" priority="352" operator="containsText" text="Problem">
      <formula>NOT(ISERROR(SEARCH(("Problem"),(I359))))</formula>
    </cfRule>
  </conditionalFormatting>
  <conditionalFormatting sqref="F419:F446">
    <cfRule type="containsText" dxfId="0" priority="353" operator="containsText" text="Problem">
      <formula>NOT(ISERROR(SEARCH(("Problem"),(F419))))</formula>
    </cfRule>
  </conditionalFormatting>
  <conditionalFormatting sqref="F419:F446">
    <cfRule type="containsText" dxfId="0" priority="354" operator="containsText" text="Problem">
      <formula>NOT(ISERROR(SEARCH(("Problem"),(F419))))</formula>
    </cfRule>
  </conditionalFormatting>
  <conditionalFormatting sqref="F419:F446">
    <cfRule type="containsText" dxfId="0" priority="355" operator="containsText" text="Problem">
      <formula>NOT(ISERROR(SEARCH(("Problem"),(F419))))</formula>
    </cfRule>
  </conditionalFormatting>
  <conditionalFormatting sqref="H360:H387">
    <cfRule type="containsText" dxfId="0" priority="356" operator="containsText" text="Problem">
      <formula>NOT(ISERROR(SEARCH(("Problem"),(H360))))</formula>
    </cfRule>
  </conditionalFormatting>
  <conditionalFormatting sqref="H360:H387">
    <cfRule type="containsText" dxfId="0" priority="357" operator="containsText" text="Problem">
      <formula>NOT(ISERROR(SEARCH(("Problem"),(H360))))</formula>
    </cfRule>
  </conditionalFormatting>
  <conditionalFormatting sqref="H360:H387">
    <cfRule type="containsText" dxfId="0" priority="358" operator="containsText" text="Problem">
      <formula>NOT(ISERROR(SEARCH(("Problem"),(H360))))</formula>
    </cfRule>
  </conditionalFormatting>
  <conditionalFormatting sqref="F477">
    <cfRule type="containsText" dxfId="0" priority="359" operator="containsText" text="Problem">
      <formula>NOT(ISERROR(SEARCH(("Problem"),(F477))))</formula>
    </cfRule>
  </conditionalFormatting>
  <conditionalFormatting sqref="F477">
    <cfRule type="containsText" dxfId="0" priority="360" operator="containsText" text="Problem">
      <formula>NOT(ISERROR(SEARCH(("Problem"),(F477))))</formula>
    </cfRule>
  </conditionalFormatting>
  <conditionalFormatting sqref="F477">
    <cfRule type="containsText" dxfId="0" priority="361" operator="containsText" text="Problem">
      <formula>NOT(ISERROR(SEARCH(("Problem"),(F477))))</formula>
    </cfRule>
  </conditionalFormatting>
  <conditionalFormatting sqref="A300:A355">
    <cfRule type="containsText" dxfId="0" priority="362" operator="containsText" text="Problem">
      <formula>NOT(ISERROR(SEARCH(("Problem"),(A300))))</formula>
    </cfRule>
  </conditionalFormatting>
  <conditionalFormatting sqref="A300:A355">
    <cfRule type="containsText" dxfId="0" priority="363" operator="containsText" text="Problem">
      <formula>NOT(ISERROR(SEARCH(("Problem"),(A300))))</formula>
    </cfRule>
  </conditionalFormatting>
  <conditionalFormatting sqref="A300:A355">
    <cfRule type="containsText" dxfId="0" priority="364" operator="containsText" text="Problem">
      <formula>NOT(ISERROR(SEARCH(("Problem"),(A300))))</formula>
    </cfRule>
  </conditionalFormatting>
  <conditionalFormatting sqref="A122:I122 A179:H179 I152:I179 J122:P179">
    <cfRule type="containsText" dxfId="0" priority="365" operator="containsText" text="Problem">
      <formula>NOT(ISERROR(SEARCH(("Problem"),(A122))))</formula>
    </cfRule>
  </conditionalFormatting>
  <conditionalFormatting sqref="A122:I122 A179:H179 I152:I179 J122:P179">
    <cfRule type="containsText" dxfId="0" priority="366" operator="containsText" text="Problem">
      <formula>NOT(ISERROR(SEARCH(("Problem"),(A122))))</formula>
    </cfRule>
  </conditionalFormatting>
  <conditionalFormatting sqref="A122:I122 A179:H179 I152:I179 J122:P179">
    <cfRule type="containsText" dxfId="0" priority="367" operator="containsText" text="Problem">
      <formula>NOT(ISERROR(SEARCH(("Problem"),(A122))))</formula>
    </cfRule>
  </conditionalFormatting>
  <conditionalFormatting sqref="D742:D766">
    <cfRule type="containsText" dxfId="0" priority="368" operator="containsText" text="Problem">
      <formula>NOT(ISERROR(SEARCH(("Problem"),(D742))))</formula>
    </cfRule>
  </conditionalFormatting>
  <conditionalFormatting sqref="D742:D766">
    <cfRule type="containsText" dxfId="0" priority="369" operator="containsText" text="Problem">
      <formula>NOT(ISERROR(SEARCH(("Problem"),(D742))))</formula>
    </cfRule>
  </conditionalFormatting>
  <conditionalFormatting sqref="G64">
    <cfRule type="containsText" dxfId="0" priority="370" operator="containsText" text="Problem">
      <formula>NOT(ISERROR(SEARCH(("Problem"),(G64))))</formula>
    </cfRule>
  </conditionalFormatting>
  <conditionalFormatting sqref="G64">
    <cfRule type="containsText" dxfId="0" priority="371" operator="containsText" text="Problem">
      <formula>NOT(ISERROR(SEARCH(("Problem"),(G64))))</formula>
    </cfRule>
  </conditionalFormatting>
  <conditionalFormatting sqref="G64">
    <cfRule type="containsText" dxfId="0" priority="372" operator="containsText" text="Problem">
      <formula>NOT(ISERROR(SEARCH(("Problem"),(G64))))</formula>
    </cfRule>
  </conditionalFormatting>
  <conditionalFormatting sqref="H124:H151">
    <cfRule type="containsText" dxfId="0" priority="373" operator="containsText" text="Problem">
      <formula>NOT(ISERROR(SEARCH(("Problem"),(H124))))</formula>
    </cfRule>
  </conditionalFormatting>
  <conditionalFormatting sqref="H124:H151">
    <cfRule type="containsText" dxfId="0" priority="374" operator="containsText" text="Problem">
      <formula>NOT(ISERROR(SEARCH(("Problem"),(H124))))</formula>
    </cfRule>
  </conditionalFormatting>
  <conditionalFormatting sqref="H124:H151">
    <cfRule type="containsText" dxfId="0" priority="375" operator="containsText" text="Problem">
      <formula>NOT(ISERROR(SEARCH(("Problem"),(H124))))</formula>
    </cfRule>
  </conditionalFormatting>
  <conditionalFormatting sqref="E536">
    <cfRule type="containsText" dxfId="0" priority="376" operator="containsText" text="Problem">
      <formula>NOT(ISERROR(SEARCH(("Problem"),(E536))))</formula>
    </cfRule>
  </conditionalFormatting>
  <conditionalFormatting sqref="E536">
    <cfRule type="containsText" dxfId="0" priority="377" operator="containsText" text="Problem">
      <formula>NOT(ISERROR(SEARCH(("Problem"),(E536))))</formula>
    </cfRule>
  </conditionalFormatting>
  <conditionalFormatting sqref="E536">
    <cfRule type="containsText" dxfId="0" priority="378" operator="containsText" text="Problem">
      <formula>NOT(ISERROR(SEARCH(("Problem"),(E536))))</formula>
    </cfRule>
  </conditionalFormatting>
  <conditionalFormatting sqref="C475 E475:I475">
    <cfRule type="containsText" dxfId="0" priority="379" operator="containsText" text="Problem">
      <formula>NOT(ISERROR(SEARCH(("Problem"),(C475))))</formula>
    </cfRule>
  </conditionalFormatting>
  <conditionalFormatting sqref="C475 E475:I475">
    <cfRule type="containsText" dxfId="0" priority="380" operator="containsText" text="Problem">
      <formula>NOT(ISERROR(SEARCH(("Problem"),(C475))))</formula>
    </cfRule>
  </conditionalFormatting>
  <conditionalFormatting sqref="C475 E475:I475">
    <cfRule type="containsText" dxfId="0" priority="381" operator="containsText" text="Problem">
      <formula>NOT(ISERROR(SEARCH(("Problem"),(C475))))</formula>
    </cfRule>
  </conditionalFormatting>
  <conditionalFormatting sqref="D478:D505">
    <cfRule type="containsText" dxfId="0" priority="382" operator="containsText" text="Problem">
      <formula>NOT(ISERROR(SEARCH(("Problem"),(D478))))</formula>
    </cfRule>
  </conditionalFormatting>
  <conditionalFormatting sqref="D478:D505">
    <cfRule type="containsText" dxfId="0" priority="383" operator="containsText" text="Problem">
      <formula>NOT(ISERROR(SEARCH(("Problem"),(D478))))</formula>
    </cfRule>
  </conditionalFormatting>
  <conditionalFormatting sqref="D478:D505">
    <cfRule type="containsText" dxfId="0" priority="384" operator="containsText" text="Problem">
      <formula>NOT(ISERROR(SEARCH(("Problem"),(D478))))</formula>
    </cfRule>
  </conditionalFormatting>
  <conditionalFormatting sqref="D531:D532 E506:H532">
    <cfRule type="containsText" dxfId="0" priority="385" operator="containsText" text="Problem">
      <formula>NOT(ISERROR(SEARCH(("Problem"),(D531))))</formula>
    </cfRule>
  </conditionalFormatting>
  <conditionalFormatting sqref="D531:D532 E506:H532">
    <cfRule type="containsText" dxfId="0" priority="386" operator="containsText" text="Problem">
      <formula>NOT(ISERROR(SEARCH(("Problem"),(D531))))</formula>
    </cfRule>
  </conditionalFormatting>
  <conditionalFormatting sqref="D531:D532 E506:H532">
    <cfRule type="containsText" dxfId="0" priority="387" operator="containsText" text="Problem">
      <formula>NOT(ISERROR(SEARCH(("Problem"),(D531))))</formula>
    </cfRule>
  </conditionalFormatting>
  <conditionalFormatting sqref="G123">
    <cfRule type="containsText" dxfId="0" priority="388" operator="containsText" text="Problem">
      <formula>NOT(ISERROR(SEARCH(("Problem"),(G123))))</formula>
    </cfRule>
  </conditionalFormatting>
  <conditionalFormatting sqref="G123">
    <cfRule type="containsText" dxfId="0" priority="389" operator="containsText" text="Problem">
      <formula>NOT(ISERROR(SEARCH(("Problem"),(G123))))</formula>
    </cfRule>
  </conditionalFormatting>
  <conditionalFormatting sqref="G123">
    <cfRule type="containsText" dxfId="0" priority="390" operator="containsText" text="Problem">
      <formula>NOT(ISERROR(SEARCH(("Problem"),(G123))))</formula>
    </cfRule>
  </conditionalFormatting>
  <conditionalFormatting sqref="E831">
    <cfRule type="containsText" dxfId="0" priority="391" operator="containsText" text="Problem">
      <formula>NOT(ISERROR(SEARCH(("Problem"),(E831))))</formula>
    </cfRule>
  </conditionalFormatting>
  <conditionalFormatting sqref="E831">
    <cfRule type="containsText" dxfId="0" priority="392" operator="containsText" text="Problem">
      <formula>NOT(ISERROR(SEARCH(("Problem"),(E831))))</formula>
    </cfRule>
  </conditionalFormatting>
  <conditionalFormatting sqref="E831">
    <cfRule type="containsText" dxfId="0" priority="393" operator="containsText" text="Problem">
      <formula>NOT(ISERROR(SEARCH(("Problem"),(E831))))</formula>
    </cfRule>
  </conditionalFormatting>
  <conditionalFormatting sqref="D801:D825">
    <cfRule type="containsText" dxfId="0" priority="394" operator="containsText" text="Problem">
      <formula>NOT(ISERROR(SEARCH(("Problem"),(D801))))</formula>
    </cfRule>
  </conditionalFormatting>
  <conditionalFormatting sqref="D801:D825">
    <cfRule type="containsText" dxfId="0" priority="395" operator="containsText" text="Problem">
      <formula>NOT(ISERROR(SEARCH(("Problem"),(D801))))</formula>
    </cfRule>
  </conditionalFormatting>
  <conditionalFormatting sqref="E123">
    <cfRule type="containsText" dxfId="0" priority="396" operator="containsText" text="Problem">
      <formula>NOT(ISERROR(SEARCH(("Problem"),(E123))))</formula>
    </cfRule>
  </conditionalFormatting>
  <conditionalFormatting sqref="E123">
    <cfRule type="containsText" dxfId="0" priority="397" operator="containsText" text="Problem">
      <formula>NOT(ISERROR(SEARCH(("Problem"),(E123))))</formula>
    </cfRule>
  </conditionalFormatting>
  <conditionalFormatting sqref="E123">
    <cfRule type="containsText" dxfId="0" priority="398" operator="containsText" text="Problem">
      <formula>NOT(ISERROR(SEARCH(("Problem"),(E123))))</formula>
    </cfRule>
  </conditionalFormatting>
  <conditionalFormatting sqref="D211:D235">
    <cfRule type="containsText" dxfId="0" priority="399" operator="containsText" text="Problem">
      <formula>NOT(ISERROR(SEARCH(("Problem"),(D211))))</formula>
    </cfRule>
  </conditionalFormatting>
  <conditionalFormatting sqref="D211:D235">
    <cfRule type="containsText" dxfId="0" priority="400" operator="containsText" text="Problem">
      <formula>NOT(ISERROR(SEARCH(("Problem"),(D211))))</formula>
    </cfRule>
  </conditionalFormatting>
  <conditionalFormatting sqref="A770 J770:P770">
    <cfRule type="containsText" dxfId="0" priority="401" operator="containsText" text="Problem">
      <formula>NOT(ISERROR(SEARCH(("Problem"),(A770))))</formula>
    </cfRule>
  </conditionalFormatting>
  <conditionalFormatting sqref="A770 J770:P770">
    <cfRule type="containsText" dxfId="0" priority="402" operator="containsText" text="Problem">
      <formula>NOT(ISERROR(SEARCH(("Problem"),(A770))))</formula>
    </cfRule>
  </conditionalFormatting>
  <conditionalFormatting sqref="A770 J770:P770">
    <cfRule type="containsText" dxfId="0" priority="403" operator="containsText" text="Problem">
      <formula>NOT(ISERROR(SEARCH(("Problem"),(A770))))</formula>
    </cfRule>
  </conditionalFormatting>
  <conditionalFormatting sqref="A593 J593:P593">
    <cfRule type="containsText" dxfId="0" priority="404" operator="containsText" text="Problem">
      <formula>NOT(ISERROR(SEARCH(("Problem"),(A593))))</formula>
    </cfRule>
  </conditionalFormatting>
  <conditionalFormatting sqref="A593 J593:P593">
    <cfRule type="containsText" dxfId="0" priority="405" operator="containsText" text="Problem">
      <formula>NOT(ISERROR(SEARCH(("Problem"),(A593))))</formula>
    </cfRule>
  </conditionalFormatting>
  <conditionalFormatting sqref="A593 J593:P593">
    <cfRule type="containsText" dxfId="0" priority="406" operator="containsText" text="Problem">
      <formula>NOT(ISERROR(SEARCH(("Problem"),(A593))))</formula>
    </cfRule>
  </conditionalFormatting>
  <conditionalFormatting sqref="B573:C573 B585:B588 B590:C591 C542:C572 C582:C588">
    <cfRule type="containsText" dxfId="0" priority="407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408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409" operator="containsText" text="Problem">
      <formula>NOT(ISERROR(SEARCH(("Problem"),(B573))))</formula>
    </cfRule>
  </conditionalFormatting>
  <conditionalFormatting sqref="F359">
    <cfRule type="containsText" dxfId="0" priority="410" operator="containsText" text="Problem">
      <formula>NOT(ISERROR(SEARCH(("Problem"),(F359))))</formula>
    </cfRule>
  </conditionalFormatting>
  <conditionalFormatting sqref="F359">
    <cfRule type="containsText" dxfId="0" priority="411" operator="containsText" text="Problem">
      <formula>NOT(ISERROR(SEARCH(("Problem"),(F359))))</formula>
    </cfRule>
  </conditionalFormatting>
  <conditionalFormatting sqref="F359">
    <cfRule type="containsText" dxfId="0" priority="412" operator="containsText" text="Problem">
      <formula>NOT(ISERROR(SEARCH(("Problem"),(F359))))</formula>
    </cfRule>
  </conditionalFormatting>
  <conditionalFormatting sqref="B809:C809 B821:B824 B826:C827 C778:C808 C818:C824">
    <cfRule type="containsText" dxfId="0" priority="413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414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415" operator="containsText" text="Problem">
      <formula>NOT(ISERROR(SEARCH(("Problem"),(B809))))</formula>
    </cfRule>
  </conditionalFormatting>
  <conditionalFormatting sqref="D654">
    <cfRule type="containsText" dxfId="0" priority="416" operator="containsText" text="Problem">
      <formula>NOT(ISERROR(SEARCH(("Problem"),(D654))))</formula>
    </cfRule>
  </conditionalFormatting>
  <conditionalFormatting sqref="B868:C868 B880:B883 B885:C886 C837:C867 C877:C883">
    <cfRule type="containsText" dxfId="0" priority="417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418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419" operator="containsText" text="Problem">
      <formula>NOT(ISERROR(SEARCH(("Problem"),(B868))))</formula>
    </cfRule>
  </conditionalFormatting>
  <conditionalFormatting sqref="H183:H210">
    <cfRule type="containsText" dxfId="0" priority="420" operator="containsText" text="Problem">
      <formula>NOT(ISERROR(SEARCH(("Problem"),(H183))))</formula>
    </cfRule>
  </conditionalFormatting>
  <conditionalFormatting sqref="H183:H210">
    <cfRule type="containsText" dxfId="0" priority="421" operator="containsText" text="Problem">
      <formula>NOT(ISERROR(SEARCH(("Problem"),(H183))))</formula>
    </cfRule>
  </conditionalFormatting>
  <conditionalFormatting sqref="H183:H210">
    <cfRule type="containsText" dxfId="0" priority="422" operator="containsText" text="Problem">
      <formula>NOT(ISERROR(SEARCH(("Problem"),(H183))))</formula>
    </cfRule>
  </conditionalFormatting>
  <conditionalFormatting sqref="A711 J711:P711">
    <cfRule type="containsText" dxfId="0" priority="423" operator="containsText" text="Problem">
      <formula>NOT(ISERROR(SEARCH(("Problem"),(A711))))</formula>
    </cfRule>
  </conditionalFormatting>
  <conditionalFormatting sqref="A711 J711:P711">
    <cfRule type="containsText" dxfId="0" priority="424" operator="containsText" text="Problem">
      <formula>NOT(ISERROR(SEARCH(("Problem"),(A711))))</formula>
    </cfRule>
  </conditionalFormatting>
  <conditionalFormatting sqref="A711 J711:P711">
    <cfRule type="containsText" dxfId="0" priority="425" operator="containsText" text="Problem">
      <formula>NOT(ISERROR(SEARCH(("Problem"),(A711))))</formula>
    </cfRule>
  </conditionalFormatting>
  <conditionalFormatting sqref="H536">
    <cfRule type="containsText" dxfId="0" priority="426" operator="containsText" text="Problem">
      <formula>NOT(ISERROR(SEARCH(("Problem"),(H536))))</formula>
    </cfRule>
  </conditionalFormatting>
  <conditionalFormatting sqref="H536">
    <cfRule type="containsText" dxfId="0" priority="427" operator="containsText" text="Problem">
      <formula>NOT(ISERROR(SEARCH(("Problem"),(H536))))</formula>
    </cfRule>
  </conditionalFormatting>
  <conditionalFormatting sqref="H536">
    <cfRule type="containsText" dxfId="0" priority="428" operator="containsText" text="Problem">
      <formula>NOT(ISERROR(SEARCH(("Problem"),(H536))))</formula>
    </cfRule>
  </conditionalFormatting>
  <conditionalFormatting sqref="I654">
    <cfRule type="containsText" dxfId="0" priority="429" operator="containsText" text="Problem">
      <formula>NOT(ISERROR(SEARCH(("Problem"),(I654))))</formula>
    </cfRule>
  </conditionalFormatting>
  <conditionalFormatting sqref="I654">
    <cfRule type="containsText" dxfId="0" priority="430" operator="containsText" text="Problem">
      <formula>NOT(ISERROR(SEARCH(("Problem"),(I654))))</formula>
    </cfRule>
  </conditionalFormatting>
  <conditionalFormatting sqref="I654">
    <cfRule type="containsText" dxfId="0" priority="431" operator="containsText" text="Problem">
      <formula>NOT(ISERROR(SEARCH(("Problem"),(I654))))</formula>
    </cfRule>
  </conditionalFormatting>
  <conditionalFormatting sqref="A594:I594 A651:H651 I624:I651 J594:P651">
    <cfRule type="containsText" dxfId="0" priority="432" operator="containsText" text="Problem">
      <formula>NOT(ISERROR(SEARCH(("Problem"),(A594))))</formula>
    </cfRule>
  </conditionalFormatting>
  <conditionalFormatting sqref="A594:I594 A651:H651 I624:I651 J594:P651">
    <cfRule type="containsText" dxfId="0" priority="433" operator="containsText" text="Problem">
      <formula>NOT(ISERROR(SEARCH(("Problem"),(A594))))</formula>
    </cfRule>
  </conditionalFormatting>
  <conditionalFormatting sqref="A594:I594 A651:H651 I624:I651 J594:P651">
    <cfRule type="containsText" dxfId="0" priority="434" operator="containsText" text="Problem">
      <formula>NOT(ISERROR(SEARCH(("Problem"),(A594))))</formula>
    </cfRule>
  </conditionalFormatting>
  <conditionalFormatting sqref="G478:G505">
    <cfRule type="containsText" dxfId="0" priority="435" operator="containsText" text="Problem">
      <formula>NOT(ISERROR(SEARCH(("Problem"),(G478))))</formula>
    </cfRule>
  </conditionalFormatting>
  <conditionalFormatting sqref="G478:G505">
    <cfRule type="containsText" dxfId="0" priority="436" operator="containsText" text="Problem">
      <formula>NOT(ISERROR(SEARCH(("Problem"),(G478))))</formula>
    </cfRule>
  </conditionalFormatting>
  <conditionalFormatting sqref="G478:G505">
    <cfRule type="containsText" dxfId="0" priority="437" operator="containsText" text="Problem">
      <formula>NOT(ISERROR(SEARCH(("Problem"),(G478))))</formula>
    </cfRule>
  </conditionalFormatting>
  <conditionalFormatting sqref="E5">
    <cfRule type="containsText" dxfId="0" priority="438" operator="containsText" text="Problem">
      <formula>NOT(ISERROR(SEARCH(("Problem"),(E5))))</formula>
    </cfRule>
  </conditionalFormatting>
  <conditionalFormatting sqref="E5">
    <cfRule type="containsText" dxfId="0" priority="439" operator="containsText" text="Problem">
      <formula>NOT(ISERROR(SEARCH(("Problem"),(E5))))</formula>
    </cfRule>
  </conditionalFormatting>
  <conditionalFormatting sqref="E5">
    <cfRule type="containsText" dxfId="0" priority="440" operator="containsText" text="Problem">
      <formula>NOT(ISERROR(SEARCH(("Problem"),(E5))))</formula>
    </cfRule>
  </conditionalFormatting>
  <conditionalFormatting sqref="A712:I712 A769:H769 I742:I769 J712:P769">
    <cfRule type="containsText" dxfId="0" priority="441" operator="containsText" text="Problem">
      <formula>NOT(ISERROR(SEARCH(("Problem"),(A712))))</formula>
    </cfRule>
  </conditionalFormatting>
  <conditionalFormatting sqref="A712:I712 A769:H769 I742:I769 J712:P769">
    <cfRule type="containsText" dxfId="0" priority="442" operator="containsText" text="Problem">
      <formula>NOT(ISERROR(SEARCH(("Problem"),(A712))))</formula>
    </cfRule>
  </conditionalFormatting>
  <conditionalFormatting sqref="A712:I712 A769:H769 I742:I769 J712:P769">
    <cfRule type="containsText" dxfId="0" priority="443" operator="containsText" text="Problem">
      <formula>NOT(ISERROR(SEARCH(("Problem"),(A712))))</formula>
    </cfRule>
  </conditionalFormatting>
  <conditionalFormatting sqref="D447:D471">
    <cfRule type="containsText" dxfId="0" priority="444" operator="containsText" text="Problem">
      <formula>NOT(ISERROR(SEARCH(("Problem"),(D447))))</formula>
    </cfRule>
  </conditionalFormatting>
  <conditionalFormatting sqref="D447:D471">
    <cfRule type="containsText" dxfId="0" priority="445" operator="containsText" text="Problem">
      <formula>NOT(ISERROR(SEARCH(("Problem"),(D447))))</formula>
    </cfRule>
  </conditionalFormatting>
  <conditionalFormatting sqref="C534 E534:I534">
    <cfRule type="containsText" dxfId="0" priority="446" operator="containsText" text="Problem">
      <formula>NOT(ISERROR(SEARCH(("Problem"),(C534))))</formula>
    </cfRule>
  </conditionalFormatting>
  <conditionalFormatting sqref="C534 E534:I534">
    <cfRule type="containsText" dxfId="0" priority="447" operator="containsText" text="Problem">
      <formula>NOT(ISERROR(SEARCH(("Problem"),(C534))))</formula>
    </cfRule>
  </conditionalFormatting>
  <conditionalFormatting sqref="C534 E534:I534">
    <cfRule type="containsText" dxfId="0" priority="448" operator="containsText" text="Problem">
      <formula>NOT(ISERROR(SEARCH(("Problem"),(C534))))</formula>
    </cfRule>
  </conditionalFormatting>
  <conditionalFormatting sqref="F6:F34">
    <cfRule type="containsText" dxfId="0" priority="449" operator="containsText" text="Problem">
      <formula>NOT(ISERROR(SEARCH(("Problem"),(F6))))</formula>
    </cfRule>
  </conditionalFormatting>
  <conditionalFormatting sqref="F6:F34">
    <cfRule type="containsText" dxfId="0" priority="450" operator="containsText" text="Problem">
      <formula>NOT(ISERROR(SEARCH(("Problem"),(F6))))</formula>
    </cfRule>
  </conditionalFormatting>
  <conditionalFormatting sqref="F6:F34">
    <cfRule type="containsText" dxfId="0" priority="451" operator="containsText" text="Problem">
      <formula>NOT(ISERROR(SEARCH(("Problem"),(F6))))</formula>
    </cfRule>
  </conditionalFormatting>
  <conditionalFormatting sqref="A123:A178">
    <cfRule type="containsText" dxfId="0" priority="452" operator="containsText" text="Problem">
      <formula>NOT(ISERROR(SEARCH(("Problem"),(A123))))</formula>
    </cfRule>
  </conditionalFormatting>
  <conditionalFormatting sqref="A123:A178">
    <cfRule type="containsText" dxfId="0" priority="453" operator="containsText" text="Problem">
      <formula>NOT(ISERROR(SEARCH(("Problem"),(A123))))</formula>
    </cfRule>
  </conditionalFormatting>
  <conditionalFormatting sqref="A123:A178">
    <cfRule type="containsText" dxfId="0" priority="454" operator="containsText" text="Problem">
      <formula>NOT(ISERROR(SEARCH(("Problem"),(A123))))</formula>
    </cfRule>
  </conditionalFormatting>
  <conditionalFormatting sqref="D5">
    <cfRule type="containsText" dxfId="0" priority="455" operator="containsText" text="Problem">
      <formula>NOT(ISERROR(SEARCH(("Problem"),(D5))))</formula>
    </cfRule>
  </conditionalFormatting>
  <conditionalFormatting sqref="D5">
    <cfRule type="containsText" dxfId="0" priority="456" operator="containsText" text="Problem">
      <formula>NOT(ISERROR(SEARCH(("Problem"),(D5))))</formula>
    </cfRule>
  </conditionalFormatting>
  <conditionalFormatting sqref="D5">
    <cfRule type="containsText" dxfId="0" priority="457" operator="containsText" text="Problem">
      <formula>NOT(ISERROR(SEARCH(("Problem"),(D5))))</formula>
    </cfRule>
  </conditionalFormatting>
  <conditionalFormatting sqref="F713">
    <cfRule type="containsText" dxfId="0" priority="458" operator="containsText" text="Problem">
      <formula>NOT(ISERROR(SEARCH(("Problem"),(F713))))</formula>
    </cfRule>
  </conditionalFormatting>
  <conditionalFormatting sqref="F713">
    <cfRule type="containsText" dxfId="0" priority="459" operator="containsText" text="Problem">
      <formula>NOT(ISERROR(SEARCH(("Problem"),(F713))))</formula>
    </cfRule>
  </conditionalFormatting>
  <conditionalFormatting sqref="F713">
    <cfRule type="containsText" dxfId="0" priority="460" operator="containsText" text="Problem">
      <formula>NOT(ISERROR(SEARCH(("Problem"),(F713))))</formula>
    </cfRule>
  </conditionalFormatting>
  <conditionalFormatting sqref="D772">
    <cfRule type="containsText" dxfId="0" priority="461" operator="containsText" text="Problem">
      <formula>NOT(ISERROR(SEARCH(("Problem"),(D772))))</formula>
    </cfRule>
  </conditionalFormatting>
  <conditionalFormatting sqref="A63:I63 A120:H120 I93:I120 J63:P120">
    <cfRule type="containsText" dxfId="0" priority="462" operator="containsText" text="Problem">
      <formula>NOT(ISERROR(SEARCH(("Problem"),(A63))))</formula>
    </cfRule>
  </conditionalFormatting>
  <conditionalFormatting sqref="A63:I63 A120:H120 I93:I120 J63:P120">
    <cfRule type="containsText" dxfId="0" priority="463" operator="containsText" text="Problem">
      <formula>NOT(ISERROR(SEARCH(("Problem"),(A63))))</formula>
    </cfRule>
  </conditionalFormatting>
  <conditionalFormatting sqref="A63:I63 A120:H120 I93:I120 J63:P120">
    <cfRule type="containsText" dxfId="0" priority="464" operator="containsText" text="Problem">
      <formula>NOT(ISERROR(SEARCH(("Problem"),(A63))))</formula>
    </cfRule>
  </conditionalFormatting>
  <conditionalFormatting sqref="H655:H682">
    <cfRule type="containsText" dxfId="0" priority="465" operator="containsText" text="Problem">
      <formula>NOT(ISERROR(SEARCH(("Problem"),(H655))))</formula>
    </cfRule>
  </conditionalFormatting>
  <conditionalFormatting sqref="H655:H682">
    <cfRule type="containsText" dxfId="0" priority="466" operator="containsText" text="Problem">
      <formula>NOT(ISERROR(SEARCH(("Problem"),(H655))))</formula>
    </cfRule>
  </conditionalFormatting>
  <conditionalFormatting sqref="H655:H682">
    <cfRule type="containsText" dxfId="0" priority="467" operator="containsText" text="Problem">
      <formula>NOT(ISERROR(SEARCH(("Problem"),(H655))))</formula>
    </cfRule>
  </conditionalFormatting>
  <conditionalFormatting sqref="I595">
    <cfRule type="containsText" dxfId="0" priority="468" operator="containsText" text="Problem">
      <formula>NOT(ISERROR(SEARCH(("Problem"),(I595))))</formula>
    </cfRule>
  </conditionalFormatting>
  <conditionalFormatting sqref="I595">
    <cfRule type="containsText" dxfId="0" priority="469" operator="containsText" text="Problem">
      <formula>NOT(ISERROR(SEARCH(("Problem"),(I595))))</formula>
    </cfRule>
  </conditionalFormatting>
  <conditionalFormatting sqref="I595">
    <cfRule type="containsText" dxfId="0" priority="470" operator="containsText" text="Problem">
      <formula>NOT(ISERROR(SEARCH(("Problem"),(I595))))</formula>
    </cfRule>
  </conditionalFormatting>
  <conditionalFormatting sqref="A121 J121:P121">
    <cfRule type="containsText" dxfId="0" priority="471" operator="containsText" text="Problem">
      <formula>NOT(ISERROR(SEARCH(("Problem"),(A121))))</formula>
    </cfRule>
  </conditionalFormatting>
  <conditionalFormatting sqref="A121 J121:P121">
    <cfRule type="containsText" dxfId="0" priority="472" operator="containsText" text="Problem">
      <formula>NOT(ISERROR(SEARCH(("Problem"),(A121))))</formula>
    </cfRule>
  </conditionalFormatting>
  <conditionalFormatting sqref="A121 J121:P121">
    <cfRule type="containsText" dxfId="0" priority="473" operator="containsText" text="Problem">
      <formula>NOT(ISERROR(SEARCH(("Problem"),(A121))))</formula>
    </cfRule>
  </conditionalFormatting>
  <conditionalFormatting sqref="D713">
    <cfRule type="containsText" dxfId="0" priority="474" operator="containsText" text="Problem">
      <formula>NOT(ISERROR(SEARCH(("Problem"),(D713))))</formula>
    </cfRule>
  </conditionalFormatting>
  <conditionalFormatting sqref="E772">
    <cfRule type="containsText" dxfId="0" priority="475" operator="containsText" text="Problem">
      <formula>NOT(ISERROR(SEARCH(("Problem"),(E772))))</formula>
    </cfRule>
  </conditionalFormatting>
  <conditionalFormatting sqref="E772">
    <cfRule type="containsText" dxfId="0" priority="476" operator="containsText" text="Problem">
      <formula>NOT(ISERROR(SEARCH(("Problem"),(E772))))</formula>
    </cfRule>
  </conditionalFormatting>
  <conditionalFormatting sqref="E772">
    <cfRule type="containsText" dxfId="0" priority="477" operator="containsText" text="Problem">
      <formula>NOT(ISERROR(SEARCH(("Problem"),(E772))))</formula>
    </cfRule>
  </conditionalFormatting>
  <conditionalFormatting sqref="F832:F859">
    <cfRule type="containsText" dxfId="0" priority="478" operator="containsText" text="Problem">
      <formula>NOT(ISERROR(SEARCH(("Problem"),(F832))))</formula>
    </cfRule>
  </conditionalFormatting>
  <conditionalFormatting sqref="F832:F859">
    <cfRule type="containsText" dxfId="0" priority="479" operator="containsText" text="Problem">
      <formula>NOT(ISERROR(SEARCH(("Problem"),(F832))))</formula>
    </cfRule>
  </conditionalFormatting>
  <conditionalFormatting sqref="F832:F859">
    <cfRule type="containsText" dxfId="0" priority="480" operator="containsText" text="Problem">
      <formula>NOT(ISERROR(SEARCH(("Problem"),(F832))))</formula>
    </cfRule>
  </conditionalFormatting>
  <conditionalFormatting sqref="H241">
    <cfRule type="containsText" dxfId="0" priority="481" operator="containsText" text="Problem">
      <formula>NOT(ISERROR(SEARCH(("Problem"),(H241))))</formula>
    </cfRule>
  </conditionalFormatting>
  <conditionalFormatting sqref="H241">
    <cfRule type="containsText" dxfId="0" priority="482" operator="containsText" text="Problem">
      <formula>NOT(ISERROR(SEARCH(("Problem"),(H241))))</formula>
    </cfRule>
  </conditionalFormatting>
  <conditionalFormatting sqref="H241">
    <cfRule type="containsText" dxfId="0" priority="483" operator="containsText" text="Problem">
      <formula>NOT(ISERROR(SEARCH(("Problem"),(H241))))</formula>
    </cfRule>
  </conditionalFormatting>
  <conditionalFormatting sqref="D655:D682">
    <cfRule type="containsText" dxfId="0" priority="484" operator="containsText" text="Problem">
      <formula>NOT(ISERROR(SEARCH(("Problem"),(D655))))</formula>
    </cfRule>
  </conditionalFormatting>
  <conditionalFormatting sqref="D655:D682">
    <cfRule type="containsText" dxfId="0" priority="485" operator="containsText" text="Problem">
      <formula>NOT(ISERROR(SEARCH(("Problem"),(D655))))</formula>
    </cfRule>
  </conditionalFormatting>
  <conditionalFormatting sqref="D655:D682">
    <cfRule type="containsText" dxfId="0" priority="486" operator="containsText" text="Problem">
      <formula>NOT(ISERROR(SEARCH(("Problem"),(D655))))</formula>
    </cfRule>
  </conditionalFormatting>
  <conditionalFormatting sqref="A64:A119">
    <cfRule type="containsText" dxfId="0" priority="487" operator="containsText" text="Problem">
      <formula>NOT(ISERROR(SEARCH(("Problem"),(A64))))</formula>
    </cfRule>
  </conditionalFormatting>
  <conditionalFormatting sqref="A64:A119">
    <cfRule type="containsText" dxfId="0" priority="488" operator="containsText" text="Problem">
      <formula>NOT(ISERROR(SEARCH(("Problem"),(A64))))</formula>
    </cfRule>
  </conditionalFormatting>
  <conditionalFormatting sqref="A64:A119">
    <cfRule type="containsText" dxfId="0" priority="489" operator="containsText" text="Problem">
      <formula>NOT(ISERROR(SEARCH(("Problem"),(A64))))</formula>
    </cfRule>
  </conditionalFormatting>
  <conditionalFormatting sqref="A654:A709">
    <cfRule type="containsText" dxfId="0" priority="490" operator="containsText" text="Problem">
      <formula>NOT(ISERROR(SEARCH(("Problem"),(A654))))</formula>
    </cfRule>
  </conditionalFormatting>
  <conditionalFormatting sqref="A654:A709">
    <cfRule type="containsText" dxfId="0" priority="491" operator="containsText" text="Problem">
      <formula>NOT(ISERROR(SEARCH(("Problem"),(A654))))</formula>
    </cfRule>
  </conditionalFormatting>
  <conditionalFormatting sqref="A654:A709">
    <cfRule type="containsText" dxfId="0" priority="492" operator="containsText" text="Problem">
      <formula>NOT(ISERROR(SEARCH(("Problem"),(A654))))</formula>
    </cfRule>
  </conditionalFormatting>
  <conditionalFormatting sqref="I124:I151">
    <cfRule type="containsText" dxfId="0" priority="493" operator="containsText" text="Problem">
      <formula>NOT(ISERROR(SEARCH(("Problem"),(I124))))</formula>
    </cfRule>
  </conditionalFormatting>
  <conditionalFormatting sqref="I124:I151">
    <cfRule type="containsText" dxfId="0" priority="494" operator="containsText" text="Problem">
      <formula>NOT(ISERROR(SEARCH(("Problem"),(I124))))</formula>
    </cfRule>
  </conditionalFormatting>
  <conditionalFormatting sqref="I124:I151">
    <cfRule type="containsText" dxfId="0" priority="495" operator="containsText" text="Problem">
      <formula>NOT(ISERROR(SEARCH(("Problem"),(I124))))</formula>
    </cfRule>
  </conditionalFormatting>
  <conditionalFormatting sqref="I124:I151">
    <cfRule type="containsText" dxfId="0" priority="496" operator="containsText" text="Problem">
      <formula>NOT(ISERROR(SEARCH(("Problem"),(I124))))</formula>
    </cfRule>
  </conditionalFormatting>
  <conditionalFormatting sqref="F772">
    <cfRule type="containsText" dxfId="0" priority="497" operator="containsText" text="Problem">
      <formula>NOT(ISERROR(SEARCH(("Problem"),(F772))))</formula>
    </cfRule>
  </conditionalFormatting>
  <conditionalFormatting sqref="F772">
    <cfRule type="containsText" dxfId="0" priority="498" operator="containsText" text="Problem">
      <formula>NOT(ISERROR(SEARCH(("Problem"),(F772))))</formula>
    </cfRule>
  </conditionalFormatting>
  <conditionalFormatting sqref="F772">
    <cfRule type="containsText" dxfId="0" priority="499" operator="containsText" text="Problem">
      <formula>NOT(ISERROR(SEARCH(("Problem"),(F772))))</formula>
    </cfRule>
  </conditionalFormatting>
  <conditionalFormatting sqref="H596:H623">
    <cfRule type="containsText" dxfId="0" priority="500" operator="containsText" text="Problem">
      <formula>NOT(ISERROR(SEARCH(("Problem"),(H596))))</formula>
    </cfRule>
  </conditionalFormatting>
  <conditionalFormatting sqref="H596:H623">
    <cfRule type="containsText" dxfId="0" priority="501" operator="containsText" text="Problem">
      <formula>NOT(ISERROR(SEARCH(("Problem"),(H596))))</formula>
    </cfRule>
  </conditionalFormatting>
  <conditionalFormatting sqref="H596:H623">
    <cfRule type="containsText" dxfId="0" priority="502" operator="containsText" text="Problem">
      <formula>NOT(ISERROR(SEARCH(("Problem"),(H596))))</formula>
    </cfRule>
  </conditionalFormatting>
  <conditionalFormatting sqref="D590:D591 E565:H591">
    <cfRule type="containsText" dxfId="0" priority="503" operator="containsText" text="Problem">
      <formula>NOT(ISERROR(SEARCH(("Problem"),(D590))))</formula>
    </cfRule>
  </conditionalFormatting>
  <conditionalFormatting sqref="D590:D591 E565:H591">
    <cfRule type="containsText" dxfId="0" priority="504" operator="containsText" text="Problem">
      <formula>NOT(ISERROR(SEARCH(("Problem"),(D590))))</formula>
    </cfRule>
  </conditionalFormatting>
  <conditionalFormatting sqref="D590:D591 E565:H591">
    <cfRule type="containsText" dxfId="0" priority="505" operator="containsText" text="Problem">
      <formula>NOT(ISERROR(SEARCH(("Problem"),(D590))))</formula>
    </cfRule>
  </conditionalFormatting>
  <conditionalFormatting sqref="A535:I535 A592:H592 I565:I592 J535:P592">
    <cfRule type="containsText" dxfId="0" priority="506" operator="containsText" text="Problem">
      <formula>NOT(ISERROR(SEARCH(("Problem"),(A535))))</formula>
    </cfRule>
  </conditionalFormatting>
  <conditionalFormatting sqref="A535:I535 A592:H592 I565:I592 J535:P592">
    <cfRule type="containsText" dxfId="0" priority="507" operator="containsText" text="Problem">
      <formula>NOT(ISERROR(SEARCH(("Problem"),(A535))))</formula>
    </cfRule>
  </conditionalFormatting>
  <conditionalFormatting sqref="A535:I535 A592:H592 I565:I592 J535:P592">
    <cfRule type="containsText" dxfId="0" priority="508" operator="containsText" text="Problem">
      <formula>NOT(ISERROR(SEARCH(("Problem"),(A535))))</formula>
    </cfRule>
  </conditionalFormatting>
  <conditionalFormatting sqref="I714:I741">
    <cfRule type="containsText" dxfId="0" priority="509" operator="containsText" text="Problem">
      <formula>NOT(ISERROR(SEARCH(("Problem"),(I714))))</formula>
    </cfRule>
  </conditionalFormatting>
  <conditionalFormatting sqref="I714:I741">
    <cfRule type="containsText" dxfId="0" priority="510" operator="containsText" text="Problem">
      <formula>NOT(ISERROR(SEARCH(("Problem"),(I714))))</formula>
    </cfRule>
  </conditionalFormatting>
  <conditionalFormatting sqref="I714:I741">
    <cfRule type="containsText" dxfId="0" priority="511" operator="containsText" text="Problem">
      <formula>NOT(ISERROR(SEARCH(("Problem"),(I714))))</formula>
    </cfRule>
  </conditionalFormatting>
  <conditionalFormatting sqref="I714:I741">
    <cfRule type="containsText" dxfId="0" priority="512" operator="containsText" text="Problem">
      <formula>NOT(ISERROR(SEARCH(("Problem"),(I714))))</formula>
    </cfRule>
  </conditionalFormatting>
  <conditionalFormatting sqref="I713">
    <cfRule type="containsText" dxfId="0" priority="513" operator="containsText" text="Problem">
      <formula>NOT(ISERROR(SEARCH(("Problem"),(I713))))</formula>
    </cfRule>
  </conditionalFormatting>
  <conditionalFormatting sqref="I713">
    <cfRule type="containsText" dxfId="0" priority="514" operator="containsText" text="Problem">
      <formula>NOT(ISERROR(SEARCH(("Problem"),(I713))))</formula>
    </cfRule>
  </conditionalFormatting>
  <conditionalFormatting sqref="I713">
    <cfRule type="containsText" dxfId="0" priority="515" operator="containsText" text="Problem">
      <formula>NOT(ISERROR(SEARCH(("Problem"),(I713))))</formula>
    </cfRule>
  </conditionalFormatting>
  <conditionalFormatting sqref="F536">
    <cfRule type="containsText" dxfId="0" priority="516" operator="containsText" text="Problem">
      <formula>NOT(ISERROR(SEARCH(("Problem"),(F536))))</formula>
    </cfRule>
  </conditionalFormatting>
  <conditionalFormatting sqref="F536">
    <cfRule type="containsText" dxfId="0" priority="517" operator="containsText" text="Problem">
      <formula>NOT(ISERROR(SEARCH(("Problem"),(F536))))</formula>
    </cfRule>
  </conditionalFormatting>
  <conditionalFormatting sqref="F536">
    <cfRule type="containsText" dxfId="0" priority="518" operator="containsText" text="Problem">
      <formula>NOT(ISERROR(SEARCH(("Problem"),(F536))))</formula>
    </cfRule>
  </conditionalFormatting>
  <conditionalFormatting sqref="C180 E180:I180">
    <cfRule type="containsText" dxfId="0" priority="519" operator="containsText" text="Problem">
      <formula>NOT(ISERROR(SEARCH(("Problem"),(C180))))</formula>
    </cfRule>
  </conditionalFormatting>
  <conditionalFormatting sqref="C180 E180:I180">
    <cfRule type="containsText" dxfId="0" priority="520" operator="containsText" text="Problem">
      <formula>NOT(ISERROR(SEARCH(("Problem"),(C180))))</formula>
    </cfRule>
  </conditionalFormatting>
  <conditionalFormatting sqref="C180 E180:I180">
    <cfRule type="containsText" dxfId="0" priority="521" operator="containsText" text="Problem">
      <formula>NOT(ISERROR(SEARCH(("Problem"),(C180))))</formula>
    </cfRule>
  </conditionalFormatting>
  <conditionalFormatting sqref="D683:D707">
    <cfRule type="containsText" dxfId="0" priority="522" operator="containsText" text="Problem">
      <formula>NOT(ISERROR(SEARCH(("Problem"),(D683))))</formula>
    </cfRule>
  </conditionalFormatting>
  <conditionalFormatting sqref="D683:D707">
    <cfRule type="containsText" dxfId="0" priority="523" operator="containsText" text="Problem">
      <formula>NOT(ISERROR(SEARCH(("Problem"),(D683))))</formula>
    </cfRule>
  </conditionalFormatting>
  <conditionalFormatting sqref="D708:D709 E683:H709">
    <cfRule type="containsText" dxfId="0" priority="524" operator="containsText" text="Problem">
      <formula>NOT(ISERROR(SEARCH(("Problem"),(D708))))</formula>
    </cfRule>
  </conditionalFormatting>
  <conditionalFormatting sqref="D708:D709 E683:H709">
    <cfRule type="containsText" dxfId="0" priority="525" operator="containsText" text="Problem">
      <formula>NOT(ISERROR(SEARCH(("Problem"),(D708))))</formula>
    </cfRule>
  </conditionalFormatting>
  <conditionalFormatting sqref="D708:D709 E683:H709">
    <cfRule type="containsText" dxfId="0" priority="526" operator="containsText" text="Problem">
      <formula>NOT(ISERROR(SEARCH(("Problem"),(D708))))</formula>
    </cfRule>
  </conditionalFormatting>
  <conditionalFormatting sqref="B219:C219 B231:B234 B236:C237 C188:C218 C228:C234">
    <cfRule type="containsText" dxfId="0" priority="527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528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529" operator="containsText" text="Problem">
      <formula>NOT(ISERROR(SEARCH(("Problem"),(B219))))</formula>
    </cfRule>
  </conditionalFormatting>
  <conditionalFormatting sqref="A536:A591">
    <cfRule type="containsText" dxfId="0" priority="530" operator="containsText" text="Problem">
      <formula>NOT(ISERROR(SEARCH(("Problem"),(A536))))</formula>
    </cfRule>
  </conditionalFormatting>
  <conditionalFormatting sqref="A536:A591">
    <cfRule type="containsText" dxfId="0" priority="531" operator="containsText" text="Problem">
      <formula>NOT(ISERROR(SEARCH(("Problem"),(A536))))</formula>
    </cfRule>
  </conditionalFormatting>
  <conditionalFormatting sqref="A536:A591">
    <cfRule type="containsText" dxfId="0" priority="532" operator="containsText" text="Problem">
      <formula>NOT(ISERROR(SEARCH(("Problem"),(A536))))</formula>
    </cfRule>
  </conditionalFormatting>
  <conditionalFormatting sqref="F478:F505">
    <cfRule type="containsText" dxfId="0" priority="533" operator="containsText" text="Problem">
      <formula>NOT(ISERROR(SEARCH(("Problem"),(F478))))</formula>
    </cfRule>
  </conditionalFormatting>
  <conditionalFormatting sqref="F478:F505">
    <cfRule type="containsText" dxfId="0" priority="534" operator="containsText" text="Problem">
      <formula>NOT(ISERROR(SEARCH(("Problem"),(F478))))</formula>
    </cfRule>
  </conditionalFormatting>
  <conditionalFormatting sqref="F478:F505">
    <cfRule type="containsText" dxfId="0" priority="535" operator="containsText" text="Problem">
      <formula>NOT(ISERROR(SEARCH(("Problem"),(F478))))</formula>
    </cfRule>
  </conditionalFormatting>
  <conditionalFormatting sqref="I655:I682">
    <cfRule type="containsText" dxfId="0" priority="536" operator="containsText" text="Problem">
      <formula>NOT(ISERROR(SEARCH(("Problem"),(I655))))</formula>
    </cfRule>
  </conditionalFormatting>
  <conditionalFormatting sqref="I655:I682">
    <cfRule type="containsText" dxfId="0" priority="537" operator="containsText" text="Problem">
      <formula>NOT(ISERROR(SEARCH(("Problem"),(I655))))</formula>
    </cfRule>
  </conditionalFormatting>
  <conditionalFormatting sqref="I655:I682">
    <cfRule type="containsText" dxfId="0" priority="538" operator="containsText" text="Problem">
      <formula>NOT(ISERROR(SEARCH(("Problem"),(I655))))</formula>
    </cfRule>
  </conditionalFormatting>
  <conditionalFormatting sqref="I655:I682">
    <cfRule type="containsText" dxfId="0" priority="539" operator="containsText" text="Problem">
      <formula>NOT(ISERROR(SEARCH(("Problem"),(I655))))</formula>
    </cfRule>
  </conditionalFormatting>
  <conditionalFormatting sqref="D6:D34">
    <cfRule type="containsText" dxfId="0" priority="540" operator="containsText" text="Problem">
      <formula>NOT(ISERROR(SEARCH(("Problem"),(D6))))</formula>
    </cfRule>
  </conditionalFormatting>
  <conditionalFormatting sqref="D6:D34">
    <cfRule type="containsText" dxfId="0" priority="541" operator="containsText" text="Problem">
      <formula>NOT(ISERROR(SEARCH(("Problem"),(D6))))</formula>
    </cfRule>
  </conditionalFormatting>
  <conditionalFormatting sqref="D6:D34">
    <cfRule type="containsText" dxfId="0" priority="542" operator="containsText" text="Problem">
      <formula>NOT(ISERROR(SEARCH(("Problem"),(D6))))</formula>
    </cfRule>
  </conditionalFormatting>
  <conditionalFormatting sqref="G536">
    <cfRule type="containsText" dxfId="0" priority="543" operator="containsText" text="Problem">
      <formula>NOT(ISERROR(SEARCH(("Problem"),(G536))))</formula>
    </cfRule>
  </conditionalFormatting>
  <conditionalFormatting sqref="G536">
    <cfRule type="containsText" dxfId="0" priority="544" operator="containsText" text="Problem">
      <formula>NOT(ISERROR(SEARCH(("Problem"),(G536))))</formula>
    </cfRule>
  </conditionalFormatting>
  <conditionalFormatting sqref="G536">
    <cfRule type="containsText" dxfId="0" priority="545" operator="containsText" text="Problem">
      <formula>NOT(ISERROR(SEARCH(("Problem"),(G536))))</formula>
    </cfRule>
  </conditionalFormatting>
  <conditionalFormatting sqref="H478:H505">
    <cfRule type="containsText" dxfId="0" priority="546" operator="containsText" text="Problem">
      <formula>NOT(ISERROR(SEARCH(("Problem"),(H478))))</formula>
    </cfRule>
  </conditionalFormatting>
  <conditionalFormatting sqref="H478:H505">
    <cfRule type="containsText" dxfId="0" priority="547" operator="containsText" text="Problem">
      <formula>NOT(ISERROR(SEARCH(("Problem"),(H478))))</formula>
    </cfRule>
  </conditionalFormatting>
  <conditionalFormatting sqref="H478:H505">
    <cfRule type="containsText" dxfId="0" priority="548" operator="containsText" text="Problem">
      <formula>NOT(ISERROR(SEARCH(("Problem"),(H478))))</formula>
    </cfRule>
  </conditionalFormatting>
  <conditionalFormatting sqref="D860:D884">
    <cfRule type="containsText" dxfId="0" priority="549" operator="containsText" text="Problem">
      <formula>NOT(ISERROR(SEARCH(("Problem"),(D860))))</formula>
    </cfRule>
  </conditionalFormatting>
  <conditionalFormatting sqref="D860:D884">
    <cfRule type="containsText" dxfId="0" priority="550" operator="containsText" text="Problem">
      <formula>NOT(ISERROR(SEARCH(("Problem"),(D860))))</formula>
    </cfRule>
  </conditionalFormatting>
  <conditionalFormatting sqref="D891:D945 J891:J945">
    <cfRule type="containsText" dxfId="0" priority="551" operator="containsText" text="Problem">
      <formula>NOT(ISERROR(SEARCH(("Problem"),(D891))))</formula>
    </cfRule>
  </conditionalFormatting>
  <conditionalFormatting sqref="D891:D945 J891:J945">
    <cfRule type="containsText" dxfId="0" priority="552" operator="containsText" text="Problem">
      <formula>NOT(ISERROR(SEARCH(("Problem"),(D891))))</formula>
    </cfRule>
  </conditionalFormatting>
  <conditionalFormatting sqref="D891:D945 J891:J945">
    <cfRule type="containsText" dxfId="0" priority="553" operator="containsText" text="Problem">
      <formula>NOT(ISERROR(SEARCH(("Problem"),(D891))))</formula>
    </cfRule>
  </conditionalFormatting>
  <conditionalFormatting sqref="F831">
    <cfRule type="containsText" dxfId="0" priority="554" operator="containsText" text="Problem">
      <formula>NOT(ISERROR(SEARCH(("Problem"),(F831))))</formula>
    </cfRule>
  </conditionalFormatting>
  <conditionalFormatting sqref="F831">
    <cfRule type="containsText" dxfId="0" priority="555" operator="containsText" text="Problem">
      <formula>NOT(ISERROR(SEARCH(("Problem"),(F831))))</formula>
    </cfRule>
  </conditionalFormatting>
  <conditionalFormatting sqref="F831">
    <cfRule type="containsText" dxfId="0" priority="556" operator="containsText" text="Problem">
      <formula>NOT(ISERROR(SEARCH(("Problem"),(F831))))</formula>
    </cfRule>
  </conditionalFormatting>
  <conditionalFormatting sqref="G418">
    <cfRule type="containsText" dxfId="0" priority="557" operator="containsText" text="Problem">
      <formula>NOT(ISERROR(SEARCH(("Problem"),(G418))))</formula>
    </cfRule>
  </conditionalFormatting>
  <conditionalFormatting sqref="G418">
    <cfRule type="containsText" dxfId="0" priority="558" operator="containsText" text="Problem">
      <formula>NOT(ISERROR(SEARCH(("Problem"),(G418))))</formula>
    </cfRule>
  </conditionalFormatting>
  <conditionalFormatting sqref="G418">
    <cfRule type="containsText" dxfId="0" priority="559" operator="containsText" text="Problem">
      <formula>NOT(ISERROR(SEARCH(("Problem"),(G418))))</formula>
    </cfRule>
  </conditionalFormatting>
  <conditionalFormatting sqref="F65:F92">
    <cfRule type="containsText" dxfId="0" priority="560" operator="containsText" text="Problem">
      <formula>NOT(ISERROR(SEARCH(("Problem"),(F65))))</formula>
    </cfRule>
  </conditionalFormatting>
  <conditionalFormatting sqref="F65:F92">
    <cfRule type="containsText" dxfId="0" priority="561" operator="containsText" text="Problem">
      <formula>NOT(ISERROR(SEARCH(("Problem"),(F65))))</formula>
    </cfRule>
  </conditionalFormatting>
  <conditionalFormatting sqref="F65:F92">
    <cfRule type="containsText" dxfId="0" priority="562" operator="containsText" text="Problem">
      <formula>NOT(ISERROR(SEARCH(("Problem"),(F65))))</formula>
    </cfRule>
  </conditionalFormatting>
  <conditionalFormatting sqref="I6:I34">
    <cfRule type="containsText" dxfId="0" priority="563" operator="containsText" text="Problem">
      <formula>NOT(ISERROR(SEARCH(("Problem"),(I6))))</formula>
    </cfRule>
  </conditionalFormatting>
  <conditionalFormatting sqref="I6:I34">
    <cfRule type="containsText" dxfId="0" priority="564" operator="containsText" text="Problem">
      <formula>NOT(ISERROR(SEARCH(("Problem"),(I6))))</formula>
    </cfRule>
  </conditionalFormatting>
  <conditionalFormatting sqref="I6:I34">
    <cfRule type="containsText" dxfId="0" priority="565" operator="containsText" text="Problem">
      <formula>NOT(ISERROR(SEARCH(("Problem"),(I6))))</formula>
    </cfRule>
  </conditionalFormatting>
  <conditionalFormatting sqref="I6:I34">
    <cfRule type="containsText" dxfId="0" priority="566" operator="containsText" text="Problem">
      <formula>NOT(ISERROR(SEARCH(("Problem"),(I6))))</formula>
    </cfRule>
  </conditionalFormatting>
  <conditionalFormatting sqref="I6:I34">
    <cfRule type="containsText" dxfId="0" priority="567" operator="containsText" text="Problem">
      <formula>NOT(ISERROR(SEARCH(("Problem"),(I6))))</formula>
    </cfRule>
  </conditionalFormatting>
  <conditionalFormatting sqref="I6:I34">
    <cfRule type="containsText" dxfId="0" priority="568" operator="containsText" text="Problem">
      <formula>NOT(ISERROR(SEARCH(("Problem"),(I6))))</formula>
    </cfRule>
  </conditionalFormatting>
  <conditionalFormatting sqref="F596:F623">
    <cfRule type="containsText" dxfId="0" priority="569" operator="containsText" text="Problem">
      <formula>NOT(ISERROR(SEARCH(("Problem"),(F596))))</formula>
    </cfRule>
  </conditionalFormatting>
  <conditionalFormatting sqref="F596:F623">
    <cfRule type="containsText" dxfId="0" priority="570" operator="containsText" text="Problem">
      <formula>NOT(ISERROR(SEARCH(("Problem"),(F596))))</formula>
    </cfRule>
  </conditionalFormatting>
  <conditionalFormatting sqref="F596:F623">
    <cfRule type="containsText" dxfId="0" priority="571" operator="containsText" text="Problem">
      <formula>NOT(ISERROR(SEARCH(("Problem"),(F596))))</formula>
    </cfRule>
  </conditionalFormatting>
  <conditionalFormatting sqref="D152:D176">
    <cfRule type="containsText" dxfId="0" priority="572" operator="containsText" text="Problem">
      <formula>NOT(ISERROR(SEARCH(("Problem"),(D152))))</formula>
    </cfRule>
  </conditionalFormatting>
  <conditionalFormatting sqref="D152:D176">
    <cfRule type="containsText" dxfId="0" priority="573" operator="containsText" text="Problem">
      <formula>NOT(ISERROR(SEARCH(("Problem"),(D152))))</formula>
    </cfRule>
  </conditionalFormatting>
  <conditionalFormatting sqref="E655:E682">
    <cfRule type="containsText" dxfId="0" priority="574" operator="containsText" text="Problem">
      <formula>NOT(ISERROR(SEARCH(("Problem"),(E655))))</formula>
    </cfRule>
  </conditionalFormatting>
  <conditionalFormatting sqref="E655:E682">
    <cfRule type="containsText" dxfId="0" priority="575" operator="containsText" text="Problem">
      <formula>NOT(ISERROR(SEARCH(("Problem"),(E655))))</formula>
    </cfRule>
  </conditionalFormatting>
  <conditionalFormatting sqref="E655:E682">
    <cfRule type="containsText" dxfId="0" priority="576" operator="containsText" text="Problem">
      <formula>NOT(ISERROR(SEARCH(("Problem"),(E655))))</formula>
    </cfRule>
  </conditionalFormatting>
  <conditionalFormatting sqref="G654">
    <cfRule type="containsText" dxfId="0" priority="577" operator="containsText" text="Problem">
      <formula>NOT(ISERROR(SEARCH(("Problem"),(G654))))</formula>
    </cfRule>
  </conditionalFormatting>
  <conditionalFormatting sqref="G654">
    <cfRule type="containsText" dxfId="0" priority="578" operator="containsText" text="Problem">
      <formula>NOT(ISERROR(SEARCH(("Problem"),(G654))))</formula>
    </cfRule>
  </conditionalFormatting>
  <conditionalFormatting sqref="G654">
    <cfRule type="containsText" dxfId="0" priority="579" operator="containsText" text="Problem">
      <formula>NOT(ISERROR(SEARCH(("Problem"),(G654))))</formula>
    </cfRule>
  </conditionalFormatting>
  <conditionalFormatting sqref="A299:I299 A356:H356 I329:I356 J299:P356">
    <cfRule type="containsText" dxfId="0" priority="580" operator="containsText" text="Problem">
      <formula>NOT(ISERROR(SEARCH(("Problem"),(A299))))</formula>
    </cfRule>
  </conditionalFormatting>
  <conditionalFormatting sqref="A299:I299 A356:H356 I329:I356 J299:P356">
    <cfRule type="containsText" dxfId="0" priority="581" operator="containsText" text="Problem">
      <formula>NOT(ISERROR(SEARCH(("Problem"),(A299))))</formula>
    </cfRule>
  </conditionalFormatting>
  <conditionalFormatting sqref="A299:I299 A356:H356 I329:I356 J299:P356">
    <cfRule type="containsText" dxfId="0" priority="582" operator="containsText" text="Problem">
      <formula>NOT(ISERROR(SEARCH(("Problem"),(A299))))</formula>
    </cfRule>
  </conditionalFormatting>
  <conditionalFormatting sqref="D236:D237 E211:H237">
    <cfRule type="containsText" dxfId="0" priority="583" operator="containsText" text="Problem">
      <formula>NOT(ISERROR(SEARCH(("Problem"),(D236))))</formula>
    </cfRule>
  </conditionalFormatting>
  <conditionalFormatting sqref="D236:D237 E211:H237">
    <cfRule type="containsText" dxfId="0" priority="584" operator="containsText" text="Problem">
      <formula>NOT(ISERROR(SEARCH(("Problem"),(D236))))</formula>
    </cfRule>
  </conditionalFormatting>
  <conditionalFormatting sqref="D236:D237 E211:H237">
    <cfRule type="containsText" dxfId="0" priority="585" operator="containsText" text="Problem">
      <formula>NOT(ISERROR(SEARCH(("Problem"),(D236))))</formula>
    </cfRule>
  </conditionalFormatting>
  <conditionalFormatting sqref="A595:A650">
    <cfRule type="containsText" dxfId="0" priority="586" operator="containsText" text="Problem">
      <formula>NOT(ISERROR(SEARCH(("Problem"),(A595))))</formula>
    </cfRule>
  </conditionalFormatting>
  <conditionalFormatting sqref="A595:A650">
    <cfRule type="containsText" dxfId="0" priority="587" operator="containsText" text="Problem">
      <formula>NOT(ISERROR(SEARCH(("Problem"),(A595))))</formula>
    </cfRule>
  </conditionalFormatting>
  <conditionalFormatting sqref="A595:A650">
    <cfRule type="containsText" dxfId="0" priority="588" operator="containsText" text="Problem">
      <formula>NOT(ISERROR(SEARCH(("Problem"),(A595))))</formula>
    </cfRule>
  </conditionalFormatting>
  <conditionalFormatting sqref="F242:F269">
    <cfRule type="containsText" dxfId="0" priority="589" operator="containsText" text="Problem">
      <formula>NOT(ISERROR(SEARCH(("Problem"),(F242))))</formula>
    </cfRule>
  </conditionalFormatting>
  <conditionalFormatting sqref="F242:F269">
    <cfRule type="containsText" dxfId="0" priority="590" operator="containsText" text="Problem">
      <formula>NOT(ISERROR(SEARCH(("Problem"),(F242))))</formula>
    </cfRule>
  </conditionalFormatting>
  <conditionalFormatting sqref="F242:F269">
    <cfRule type="containsText" dxfId="0" priority="591" operator="containsText" text="Problem">
      <formula>NOT(ISERROR(SEARCH(("Problem"),(F242))))</formula>
    </cfRule>
  </conditionalFormatting>
  <conditionalFormatting sqref="C121 E121:I121">
    <cfRule type="containsText" dxfId="0" priority="592" operator="containsText" text="Problem">
      <formula>NOT(ISERROR(SEARCH(("Problem"),(C121))))</formula>
    </cfRule>
  </conditionalFormatting>
  <conditionalFormatting sqref="C121 E121:I121">
    <cfRule type="containsText" dxfId="0" priority="593" operator="containsText" text="Problem">
      <formula>NOT(ISERROR(SEARCH(("Problem"),(C121))))</formula>
    </cfRule>
  </conditionalFormatting>
  <conditionalFormatting sqref="C121 E121:I121">
    <cfRule type="containsText" dxfId="0" priority="594" operator="containsText" text="Problem">
      <formula>NOT(ISERROR(SEARCH(("Problem"),(C121))))</formula>
    </cfRule>
  </conditionalFormatting>
  <conditionalFormatting sqref="H477">
    <cfRule type="containsText" dxfId="0" priority="595" operator="containsText" text="Problem">
      <formula>NOT(ISERROR(SEARCH(("Problem"),(H477))))</formula>
    </cfRule>
  </conditionalFormatting>
  <conditionalFormatting sqref="H477">
    <cfRule type="containsText" dxfId="0" priority="596" operator="containsText" text="Problem">
      <formula>NOT(ISERROR(SEARCH(("Problem"),(H477))))</formula>
    </cfRule>
  </conditionalFormatting>
  <conditionalFormatting sqref="H477">
    <cfRule type="containsText" dxfId="0" priority="597" operator="containsText" text="Problem">
      <formula>NOT(ISERROR(SEARCH(("Problem"),(H477))))</formula>
    </cfRule>
  </conditionalFormatting>
  <conditionalFormatting sqref="A477:A532">
    <cfRule type="containsText" dxfId="0" priority="598" operator="containsText" text="Problem">
      <formula>NOT(ISERROR(SEARCH(("Problem"),(A477))))</formula>
    </cfRule>
  </conditionalFormatting>
  <conditionalFormatting sqref="A477:A532">
    <cfRule type="containsText" dxfId="0" priority="599" operator="containsText" text="Problem">
      <formula>NOT(ISERROR(SEARCH(("Problem"),(A477))))</formula>
    </cfRule>
  </conditionalFormatting>
  <conditionalFormatting sqref="A477:A532">
    <cfRule type="containsText" dxfId="0" priority="600" operator="containsText" text="Problem">
      <formula>NOT(ISERROR(SEARCH(("Problem"),(A477))))</formula>
    </cfRule>
  </conditionalFormatting>
  <conditionalFormatting sqref="F655:F682">
    <cfRule type="containsText" dxfId="0" priority="601" operator="containsText" text="Problem">
      <formula>NOT(ISERROR(SEARCH(("Problem"),(F655))))</formula>
    </cfRule>
  </conditionalFormatting>
  <conditionalFormatting sqref="F655:F682">
    <cfRule type="containsText" dxfId="0" priority="602" operator="containsText" text="Problem">
      <formula>NOT(ISERROR(SEARCH(("Problem"),(F655))))</formula>
    </cfRule>
  </conditionalFormatting>
  <conditionalFormatting sqref="F655:F682">
    <cfRule type="containsText" dxfId="0" priority="603" operator="containsText" text="Problem">
      <formula>NOT(ISERROR(SEARCH(("Problem"),(F655))))</formula>
    </cfRule>
  </conditionalFormatting>
  <conditionalFormatting sqref="D359">
    <cfRule type="containsText" dxfId="0" priority="604" operator="containsText" text="Problem">
      <formula>NOT(ISERROR(SEARCH(("Problem"),(D359))))</formula>
    </cfRule>
  </conditionalFormatting>
  <conditionalFormatting sqref="H831">
    <cfRule type="containsText" dxfId="0" priority="605" operator="containsText" text="Problem">
      <formula>NOT(ISERROR(SEARCH(("Problem"),(H831))))</formula>
    </cfRule>
  </conditionalFormatting>
  <conditionalFormatting sqref="H831">
    <cfRule type="containsText" dxfId="0" priority="606" operator="containsText" text="Problem">
      <formula>NOT(ISERROR(SEARCH(("Problem"),(H831))))</formula>
    </cfRule>
  </conditionalFormatting>
  <conditionalFormatting sqref="H831">
    <cfRule type="containsText" dxfId="0" priority="607" operator="containsText" text="Problem">
      <formula>NOT(ISERROR(SEARCH(("Problem"),(H831))))</formula>
    </cfRule>
  </conditionalFormatting>
  <conditionalFormatting sqref="A357 J357:P357">
    <cfRule type="containsText" dxfId="0" priority="608" operator="containsText" text="Problem">
      <formula>NOT(ISERROR(SEARCH(("Problem"),(A357))))</formula>
    </cfRule>
  </conditionalFormatting>
  <conditionalFormatting sqref="A357 J357:P357">
    <cfRule type="containsText" dxfId="0" priority="609" operator="containsText" text="Problem">
      <formula>NOT(ISERROR(SEARCH(("Problem"),(A357))))</formula>
    </cfRule>
  </conditionalFormatting>
  <conditionalFormatting sqref="A357 J357:P357">
    <cfRule type="containsText" dxfId="0" priority="610" operator="containsText" text="Problem">
      <formula>NOT(ISERROR(SEARCH(("Problem"),(A357))))</formula>
    </cfRule>
  </conditionalFormatting>
  <conditionalFormatting sqref="D360:D387">
    <cfRule type="containsText" dxfId="0" priority="611" operator="containsText" text="Problem">
      <formula>NOT(ISERROR(SEARCH(("Problem"),(D360))))</formula>
    </cfRule>
  </conditionalFormatting>
  <conditionalFormatting sqref="D360:D387">
    <cfRule type="containsText" dxfId="0" priority="612" operator="containsText" text="Problem">
      <formula>NOT(ISERROR(SEARCH(("Problem"),(D360))))</formula>
    </cfRule>
  </conditionalFormatting>
  <conditionalFormatting sqref="D360:D387">
    <cfRule type="containsText" dxfId="0" priority="613" operator="containsText" text="Problem">
      <formula>NOT(ISERROR(SEARCH(("Problem"),(D360))))</formula>
    </cfRule>
  </conditionalFormatting>
  <conditionalFormatting sqref="G832:G859">
    <cfRule type="containsText" dxfId="0" priority="614" operator="containsText" text="Problem">
      <formula>NOT(ISERROR(SEARCH(("Problem"),(G832))))</formula>
    </cfRule>
  </conditionalFormatting>
  <conditionalFormatting sqref="G832:G859">
    <cfRule type="containsText" dxfId="0" priority="615" operator="containsText" text="Problem">
      <formula>NOT(ISERROR(SEARCH(("Problem"),(G832))))</formula>
    </cfRule>
  </conditionalFormatting>
  <conditionalFormatting sqref="G832:G859">
    <cfRule type="containsText" dxfId="0" priority="616" operator="containsText" text="Problem">
      <formula>NOT(ISERROR(SEARCH(("Problem"),(G832))))</formula>
    </cfRule>
  </conditionalFormatting>
  <conditionalFormatting sqref="E182">
    <cfRule type="containsText" dxfId="0" priority="617" operator="containsText" text="Problem">
      <formula>NOT(ISERROR(SEARCH(("Problem"),(E182))))</formula>
    </cfRule>
  </conditionalFormatting>
  <conditionalFormatting sqref="E182">
    <cfRule type="containsText" dxfId="0" priority="618" operator="containsText" text="Problem">
      <formula>NOT(ISERROR(SEARCH(("Problem"),(E182))))</formula>
    </cfRule>
  </conditionalFormatting>
  <conditionalFormatting sqref="E182">
    <cfRule type="containsText" dxfId="0" priority="619" operator="containsText" text="Problem">
      <formula>NOT(ISERROR(SEARCH(("Problem"),(E182))))</formula>
    </cfRule>
  </conditionalFormatting>
  <conditionalFormatting sqref="G714:G741">
    <cfRule type="containsText" dxfId="0" priority="620" operator="containsText" text="Problem">
      <formula>NOT(ISERROR(SEARCH(("Problem"),(G714))))</formula>
    </cfRule>
  </conditionalFormatting>
  <conditionalFormatting sqref="G714:G741">
    <cfRule type="containsText" dxfId="0" priority="621" operator="containsText" text="Problem">
      <formula>NOT(ISERROR(SEARCH(("Problem"),(G714))))</formula>
    </cfRule>
  </conditionalFormatting>
  <conditionalFormatting sqref="G714:G741">
    <cfRule type="containsText" dxfId="0" priority="622" operator="containsText" text="Problem">
      <formula>NOT(ISERROR(SEARCH(("Problem"),(G714))))</formula>
    </cfRule>
  </conditionalFormatting>
  <conditionalFormatting sqref="G359">
    <cfRule type="containsText" dxfId="0" priority="623" operator="containsText" text="Problem">
      <formula>NOT(ISERROR(SEARCH(("Problem"),(G359))))</formula>
    </cfRule>
  </conditionalFormatting>
  <conditionalFormatting sqref="G359">
    <cfRule type="containsText" dxfId="0" priority="624" operator="containsText" text="Problem">
      <formula>NOT(ISERROR(SEARCH(("Problem"),(G359))))</formula>
    </cfRule>
  </conditionalFormatting>
  <conditionalFormatting sqref="G359">
    <cfRule type="containsText" dxfId="0" priority="625" operator="containsText" text="Problem">
      <formula>NOT(ISERROR(SEARCH(("Problem"),(G359))))</formula>
    </cfRule>
  </conditionalFormatting>
  <conditionalFormatting sqref="E241">
    <cfRule type="containsText" dxfId="0" priority="626" operator="containsText" text="Problem">
      <formula>NOT(ISERROR(SEARCH(("Problem"),(E241))))</formula>
    </cfRule>
  </conditionalFormatting>
  <conditionalFormatting sqref="E241">
    <cfRule type="containsText" dxfId="0" priority="627" operator="containsText" text="Problem">
      <formula>NOT(ISERROR(SEARCH(("Problem"),(E241))))</formula>
    </cfRule>
  </conditionalFormatting>
  <conditionalFormatting sqref="E241">
    <cfRule type="containsText" dxfId="0" priority="628" operator="containsText" text="Problem">
      <formula>NOT(ISERROR(SEARCH(("Problem"),(E241))))</formula>
    </cfRule>
  </conditionalFormatting>
  <conditionalFormatting sqref="A418:A473">
    <cfRule type="containsText" dxfId="0" priority="629" operator="containsText" text="Problem">
      <formula>NOT(ISERROR(SEARCH(("Problem"),(A418))))</formula>
    </cfRule>
  </conditionalFormatting>
  <conditionalFormatting sqref="A418:A473">
    <cfRule type="containsText" dxfId="0" priority="630" operator="containsText" text="Problem">
      <formula>NOT(ISERROR(SEARCH(("Problem"),(A418))))</formula>
    </cfRule>
  </conditionalFormatting>
  <conditionalFormatting sqref="A418:A473">
    <cfRule type="containsText" dxfId="0" priority="631" operator="containsText" text="Problem">
      <formula>NOT(ISERROR(SEARCH(("Problem"),(A418))))</formula>
    </cfRule>
  </conditionalFormatting>
  <conditionalFormatting sqref="D826:D827 E801:H827">
    <cfRule type="containsText" dxfId="0" priority="632" operator="containsText" text="Problem">
      <formula>NOT(ISERROR(SEARCH(("Problem"),(D826))))</formula>
    </cfRule>
  </conditionalFormatting>
  <conditionalFormatting sqref="D826:D827 E801:H827">
    <cfRule type="containsText" dxfId="0" priority="633" operator="containsText" text="Problem">
      <formula>NOT(ISERROR(SEARCH(("Problem"),(D826))))</formula>
    </cfRule>
  </conditionalFormatting>
  <conditionalFormatting sqref="D826:D827 E801:H827">
    <cfRule type="containsText" dxfId="0" priority="634" operator="containsText" text="Problem">
      <formula>NOT(ISERROR(SEARCH(("Problem"),(D826))))</formula>
    </cfRule>
  </conditionalFormatting>
  <conditionalFormatting sqref="C239 E239:I239">
    <cfRule type="containsText" dxfId="0" priority="635" operator="containsText" text="Problem">
      <formula>NOT(ISERROR(SEARCH(("Problem"),(C239))))</formula>
    </cfRule>
  </conditionalFormatting>
  <conditionalFormatting sqref="C239 E239:I239">
    <cfRule type="containsText" dxfId="0" priority="636" operator="containsText" text="Problem">
      <formula>NOT(ISERROR(SEARCH(("Problem"),(C239))))</formula>
    </cfRule>
  </conditionalFormatting>
  <conditionalFormatting sqref="C239 E239:I239">
    <cfRule type="containsText" dxfId="0" priority="637" operator="containsText" text="Problem">
      <formula>NOT(ISERROR(SEARCH(("Problem"),(C239))))</formula>
    </cfRule>
  </conditionalFormatting>
  <conditionalFormatting sqref="E714:E741">
    <cfRule type="containsText" dxfId="0" priority="638" operator="containsText" text="Problem">
      <formula>NOT(ISERROR(SEARCH(("Problem"),(E714))))</formula>
    </cfRule>
  </conditionalFormatting>
  <conditionalFormatting sqref="E714:E741">
    <cfRule type="containsText" dxfId="0" priority="639" operator="containsText" text="Problem">
      <formula>NOT(ISERROR(SEARCH(("Problem"),(E714))))</formula>
    </cfRule>
  </conditionalFormatting>
  <conditionalFormatting sqref="E714:E741">
    <cfRule type="containsText" dxfId="0" priority="640" operator="containsText" text="Problem">
      <formula>NOT(ISERROR(SEARCH(("Problem"),(E714))))</formula>
    </cfRule>
  </conditionalFormatting>
  <conditionalFormatting sqref="A416 J416:P416">
    <cfRule type="containsText" dxfId="0" priority="641" operator="containsText" text="Problem">
      <formula>NOT(ISERROR(SEARCH(("Problem"),(A416))))</formula>
    </cfRule>
  </conditionalFormatting>
  <conditionalFormatting sqref="A416 J416:P416">
    <cfRule type="containsText" dxfId="0" priority="642" operator="containsText" text="Problem">
      <formula>NOT(ISERROR(SEARCH(("Problem"),(A416))))</formula>
    </cfRule>
  </conditionalFormatting>
  <conditionalFormatting sqref="A416 J416:P416">
    <cfRule type="containsText" dxfId="0" priority="643" operator="containsText" text="Problem">
      <formula>NOT(ISERROR(SEARCH(("Problem"),(A416))))</formula>
    </cfRule>
  </conditionalFormatting>
  <conditionalFormatting sqref="D60 E35:H60">
    <cfRule type="containsText" dxfId="0" priority="644" operator="containsText" text="Problem">
      <formula>NOT(ISERROR(SEARCH(("Problem"),(D60))))</formula>
    </cfRule>
  </conditionalFormatting>
  <conditionalFormatting sqref="D60 E35:H60">
    <cfRule type="containsText" dxfId="0" priority="645" operator="containsText" text="Problem">
      <formula>NOT(ISERROR(SEARCH(("Problem"),(D60))))</formula>
    </cfRule>
  </conditionalFormatting>
  <conditionalFormatting sqref="D60 E35:H60">
    <cfRule type="containsText" dxfId="0" priority="646" operator="containsText" text="Problem">
      <formula>NOT(ISERROR(SEARCH(("Problem"),(D60))))</formula>
    </cfRule>
  </conditionalFormatting>
  <conditionalFormatting sqref="G5">
    <cfRule type="containsText" dxfId="0" priority="647" operator="containsText" text="Problem">
      <formula>NOT(ISERROR(SEARCH(("Problem"),(G5))))</formula>
    </cfRule>
  </conditionalFormatting>
  <conditionalFormatting sqref="G5">
    <cfRule type="containsText" dxfId="0" priority="648" operator="containsText" text="Problem">
      <formula>NOT(ISERROR(SEARCH(("Problem"),(G5))))</formula>
    </cfRule>
  </conditionalFormatting>
  <conditionalFormatting sqref="G5">
    <cfRule type="containsText" dxfId="0" priority="649" operator="containsText" text="Problem">
      <formula>NOT(ISERROR(SEARCH(("Problem"),(G5))))</formula>
    </cfRule>
  </conditionalFormatting>
  <conditionalFormatting sqref="C770 E770:I770">
    <cfRule type="containsText" dxfId="0" priority="650" operator="containsText" text="Problem">
      <formula>NOT(ISERROR(SEARCH(("Problem"),(C770))))</formula>
    </cfRule>
  </conditionalFormatting>
  <conditionalFormatting sqref="C770 E770:I770">
    <cfRule type="containsText" dxfId="0" priority="651" operator="containsText" text="Problem">
      <formula>NOT(ISERROR(SEARCH(("Problem"),(C770))))</formula>
    </cfRule>
  </conditionalFormatting>
  <conditionalFormatting sqref="C770 E770:I770">
    <cfRule type="containsText" dxfId="0" priority="652" operator="containsText" text="Problem">
      <formula>NOT(ISERROR(SEARCH(("Problem"),(C770))))</formula>
    </cfRule>
  </conditionalFormatting>
  <conditionalFormatting sqref="D714:D741">
    <cfRule type="containsText" dxfId="0" priority="653" operator="containsText" text="Problem">
      <formula>NOT(ISERROR(SEARCH(("Problem"),(D714))))</formula>
    </cfRule>
  </conditionalFormatting>
  <conditionalFormatting sqref="D714:D741">
    <cfRule type="containsText" dxfId="0" priority="654" operator="containsText" text="Problem">
      <formula>NOT(ISERROR(SEARCH(("Problem"),(D714))))</formula>
    </cfRule>
  </conditionalFormatting>
  <conditionalFormatting sqref="D714:D741">
    <cfRule type="containsText" dxfId="0" priority="655" operator="containsText" text="Problem">
      <formula>NOT(ISERROR(SEARCH(("Problem"),(D714))))</formula>
    </cfRule>
  </conditionalFormatting>
  <conditionalFormatting sqref="A831:A886">
    <cfRule type="containsText" dxfId="0" priority="656" operator="containsText" text="Problem">
      <formula>NOT(ISERROR(SEARCH(("Problem"),(A831))))</formula>
    </cfRule>
  </conditionalFormatting>
  <conditionalFormatting sqref="A831:A886">
    <cfRule type="containsText" dxfId="0" priority="657" operator="containsText" text="Problem">
      <formula>NOT(ISERROR(SEARCH(("Problem"),(A831))))</formula>
    </cfRule>
  </conditionalFormatting>
  <conditionalFormatting sqref="A831:A886">
    <cfRule type="containsText" dxfId="0" priority="658" operator="containsText" text="Problem">
      <formula>NOT(ISERROR(SEARCH(("Problem"),(A831))))</formula>
    </cfRule>
  </conditionalFormatting>
  <conditionalFormatting sqref="F301:F328">
    <cfRule type="containsText" dxfId="0" priority="659" operator="containsText" text="Problem">
      <formula>NOT(ISERROR(SEARCH(("Problem"),(F301))))</formula>
    </cfRule>
  </conditionalFormatting>
  <conditionalFormatting sqref="F301:F328">
    <cfRule type="containsText" dxfId="0" priority="660" operator="containsText" text="Problem">
      <formula>NOT(ISERROR(SEARCH(("Problem"),(F301))))</formula>
    </cfRule>
  </conditionalFormatting>
  <conditionalFormatting sqref="F301:F328">
    <cfRule type="containsText" dxfId="0" priority="661" operator="containsText" text="Problem">
      <formula>NOT(ISERROR(SEARCH(("Problem"),(F301))))</formula>
    </cfRule>
  </conditionalFormatting>
  <conditionalFormatting sqref="G124:G151">
    <cfRule type="containsText" dxfId="0" priority="662" operator="containsText" text="Problem">
      <formula>NOT(ISERROR(SEARCH(("Problem"),(G124))))</formula>
    </cfRule>
  </conditionalFormatting>
  <conditionalFormatting sqref="G124:G151">
    <cfRule type="containsText" dxfId="0" priority="663" operator="containsText" text="Problem">
      <formula>NOT(ISERROR(SEARCH(("Problem"),(G124))))</formula>
    </cfRule>
  </conditionalFormatting>
  <conditionalFormatting sqref="G124:G151">
    <cfRule type="containsText" dxfId="0" priority="664" operator="containsText" text="Problem">
      <formula>NOT(ISERROR(SEARCH(("Problem"),(G124))))</formula>
    </cfRule>
  </conditionalFormatting>
  <conditionalFormatting sqref="G300">
    <cfRule type="containsText" dxfId="0" priority="665" operator="containsText" text="Problem">
      <formula>NOT(ISERROR(SEARCH(("Problem"),(G300))))</formula>
    </cfRule>
  </conditionalFormatting>
  <conditionalFormatting sqref="G300">
    <cfRule type="containsText" dxfId="0" priority="666" operator="containsText" text="Problem">
      <formula>NOT(ISERROR(SEARCH(("Problem"),(G300))))</formula>
    </cfRule>
  </conditionalFormatting>
  <conditionalFormatting sqref="G300">
    <cfRule type="containsText" dxfId="0" priority="667" operator="containsText" text="Problem">
      <formula>NOT(ISERROR(SEARCH(("Problem"),(G300))))</formula>
    </cfRule>
  </conditionalFormatting>
  <conditionalFormatting sqref="H537:H564">
    <cfRule type="containsText" dxfId="0" priority="668" operator="containsText" text="Problem">
      <formula>NOT(ISERROR(SEARCH(("Problem"),(H537))))</formula>
    </cfRule>
  </conditionalFormatting>
  <conditionalFormatting sqref="H537:H564">
    <cfRule type="containsText" dxfId="0" priority="669" operator="containsText" text="Problem">
      <formula>NOT(ISERROR(SEARCH(("Problem"),(H537))))</formula>
    </cfRule>
  </conditionalFormatting>
  <conditionalFormatting sqref="H537:H564">
    <cfRule type="containsText" dxfId="0" priority="670" operator="containsText" text="Problem">
      <formula>NOT(ISERROR(SEARCH(("Problem"),(H537))))</formula>
    </cfRule>
  </conditionalFormatting>
  <conditionalFormatting sqref="C652 E652:I652">
    <cfRule type="containsText" dxfId="0" priority="671" operator="containsText" text="Problem">
      <formula>NOT(ISERROR(SEARCH(("Problem"),(C652))))</formula>
    </cfRule>
  </conditionalFormatting>
  <conditionalFormatting sqref="C652 E652:I652">
    <cfRule type="containsText" dxfId="0" priority="672" operator="containsText" text="Problem">
      <formula>NOT(ISERROR(SEARCH(("Problem"),(C652))))</formula>
    </cfRule>
  </conditionalFormatting>
  <conditionalFormatting sqref="C652 E652:I652">
    <cfRule type="containsText" dxfId="0" priority="673" operator="containsText" text="Problem">
      <formula>NOT(ISERROR(SEARCH(("Problem"),(C652))))</formula>
    </cfRule>
  </conditionalFormatting>
  <conditionalFormatting sqref="E418">
    <cfRule type="containsText" dxfId="0" priority="674" operator="containsText" text="Problem">
      <formula>NOT(ISERROR(SEARCH(("Problem"),(E418))))</formula>
    </cfRule>
  </conditionalFormatting>
  <conditionalFormatting sqref="E418">
    <cfRule type="containsText" dxfId="0" priority="675" operator="containsText" text="Problem">
      <formula>NOT(ISERROR(SEARCH(("Problem"),(E418))))</formula>
    </cfRule>
  </conditionalFormatting>
  <conditionalFormatting sqref="E418">
    <cfRule type="containsText" dxfId="0" priority="676" operator="containsText" text="Problem">
      <formula>NOT(ISERROR(SEARCH(("Problem"),(E418))))</formula>
    </cfRule>
  </conditionalFormatting>
  <conditionalFormatting sqref="D536">
    <cfRule type="containsText" dxfId="0" priority="677" operator="containsText" text="Problem">
      <formula>NOT(ISERROR(SEARCH(("Problem"),(D536))))</formula>
    </cfRule>
  </conditionalFormatting>
  <conditionalFormatting sqref="B101:C101 B113:B116 B118:C119 C70:C100 C110:C116">
    <cfRule type="containsText" dxfId="0" priority="678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679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680" operator="containsText" text="Problem">
      <formula>NOT(ISERROR(SEARCH(("Problem"),(B101))))</formula>
    </cfRule>
  </conditionalFormatting>
  <conditionalFormatting sqref="E832:E859">
    <cfRule type="containsText" dxfId="0" priority="681" operator="containsText" text="Problem">
      <formula>NOT(ISERROR(SEARCH(("Problem"),(E832))))</formula>
    </cfRule>
  </conditionalFormatting>
  <conditionalFormatting sqref="E832:E859">
    <cfRule type="containsText" dxfId="0" priority="682" operator="containsText" text="Problem">
      <formula>NOT(ISERROR(SEARCH(("Problem"),(E832))))</formula>
    </cfRule>
  </conditionalFormatting>
  <conditionalFormatting sqref="E832:E859">
    <cfRule type="containsText" dxfId="0" priority="683" operator="containsText" text="Problem">
      <formula>NOT(ISERROR(SEARCH(("Problem"),(E832))))</formula>
    </cfRule>
  </conditionalFormatting>
  <conditionalFormatting sqref="C416 E416:I416">
    <cfRule type="containsText" dxfId="0" priority="684" operator="containsText" text="Problem">
      <formula>NOT(ISERROR(SEARCH(("Problem"),(C416))))</formula>
    </cfRule>
  </conditionalFormatting>
  <conditionalFormatting sqref="C416 E416:I416">
    <cfRule type="containsText" dxfId="0" priority="685" operator="containsText" text="Problem">
      <formula>NOT(ISERROR(SEARCH(("Problem"),(C416))))</formula>
    </cfRule>
  </conditionalFormatting>
  <conditionalFormatting sqref="C416 E416:I416">
    <cfRule type="containsText" dxfId="0" priority="686" operator="containsText" text="Problem">
      <formula>NOT(ISERROR(SEARCH(("Problem"),(C416))))</formula>
    </cfRule>
  </conditionalFormatting>
  <conditionalFormatting sqref="D413:D414 E388:H414">
    <cfRule type="containsText" dxfId="0" priority="687" operator="containsText" text="Problem">
      <formula>NOT(ISERROR(SEARCH(("Problem"),(D413))))</formula>
    </cfRule>
  </conditionalFormatting>
  <conditionalFormatting sqref="D413:D414 E388:H414">
    <cfRule type="containsText" dxfId="0" priority="688" operator="containsText" text="Problem">
      <formula>NOT(ISERROR(SEARCH(("Problem"),(D413))))</formula>
    </cfRule>
  </conditionalFormatting>
  <conditionalFormatting sqref="D413:D414 E388:H414">
    <cfRule type="containsText" dxfId="0" priority="689" operator="containsText" text="Problem">
      <formula>NOT(ISERROR(SEARCH(("Problem"),(D413))))</formula>
    </cfRule>
  </conditionalFormatting>
  <conditionalFormatting sqref="C829 E829:I829">
    <cfRule type="containsText" dxfId="0" priority="690" operator="containsText" text="Problem">
      <formula>NOT(ISERROR(SEARCH(("Problem"),(C829))))</formula>
    </cfRule>
  </conditionalFormatting>
  <conditionalFormatting sqref="C829 E829:I829">
    <cfRule type="containsText" dxfId="0" priority="691" operator="containsText" text="Problem">
      <formula>NOT(ISERROR(SEARCH(("Problem"),(C829))))</formula>
    </cfRule>
  </conditionalFormatting>
  <conditionalFormatting sqref="C829 E829:I829">
    <cfRule type="containsText" dxfId="0" priority="692" operator="containsText" text="Problem">
      <formula>NOT(ISERROR(SEARCH(("Problem"),(C829))))</formula>
    </cfRule>
  </conditionalFormatting>
  <conditionalFormatting sqref="F241">
    <cfRule type="containsText" dxfId="0" priority="693" operator="containsText" text="Problem">
      <formula>NOT(ISERROR(SEARCH(("Problem"),(F241))))</formula>
    </cfRule>
  </conditionalFormatting>
  <conditionalFormatting sqref="F241">
    <cfRule type="containsText" dxfId="0" priority="694" operator="containsText" text="Problem">
      <formula>NOT(ISERROR(SEARCH(("Problem"),(F241))))</formula>
    </cfRule>
  </conditionalFormatting>
  <conditionalFormatting sqref="F241">
    <cfRule type="containsText" dxfId="0" priority="695" operator="containsText" text="Problem">
      <formula>NOT(ISERROR(SEARCH(("Problem"),(F241))))</formula>
    </cfRule>
  </conditionalFormatting>
  <conditionalFormatting sqref="E537:E564">
    <cfRule type="containsText" dxfId="0" priority="696" operator="containsText" text="Problem">
      <formula>NOT(ISERROR(SEARCH(("Problem"),(E537))))</formula>
    </cfRule>
  </conditionalFormatting>
  <conditionalFormatting sqref="E537:E564">
    <cfRule type="containsText" dxfId="0" priority="697" operator="containsText" text="Problem">
      <formula>NOT(ISERROR(SEARCH(("Problem"),(E537))))</formula>
    </cfRule>
  </conditionalFormatting>
  <conditionalFormatting sqref="E537:E564">
    <cfRule type="containsText" dxfId="0" priority="698" operator="containsText" text="Problem">
      <formula>NOT(ISERROR(SEARCH(("Problem"),(E537))))</formula>
    </cfRule>
  </conditionalFormatting>
  <conditionalFormatting sqref="G655:G682">
    <cfRule type="containsText" dxfId="0" priority="699" operator="containsText" text="Problem">
      <formula>NOT(ISERROR(SEARCH(("Problem"),(G655))))</formula>
    </cfRule>
  </conditionalFormatting>
  <conditionalFormatting sqref="G655:G682">
    <cfRule type="containsText" dxfId="0" priority="700" operator="containsText" text="Problem">
      <formula>NOT(ISERROR(SEARCH(("Problem"),(G655))))</formula>
    </cfRule>
  </conditionalFormatting>
  <conditionalFormatting sqref="G655:G682">
    <cfRule type="containsText" dxfId="0" priority="701" operator="containsText" text="Problem">
      <formula>NOT(ISERROR(SEARCH(("Problem"),(G655))))</formula>
    </cfRule>
  </conditionalFormatting>
  <conditionalFormatting sqref="H418">
    <cfRule type="containsText" dxfId="0" priority="702" operator="containsText" text="Problem">
      <formula>NOT(ISERROR(SEARCH(("Problem"),(H418))))</formula>
    </cfRule>
  </conditionalFormatting>
  <conditionalFormatting sqref="H418">
    <cfRule type="containsText" dxfId="0" priority="703" operator="containsText" text="Problem">
      <formula>NOT(ISERROR(SEARCH(("Problem"),(H418))))</formula>
    </cfRule>
  </conditionalFormatting>
  <conditionalFormatting sqref="H418">
    <cfRule type="containsText" dxfId="0" priority="704" operator="containsText" text="Problem">
      <formula>NOT(ISERROR(SEARCH(("Problem"),(H418))))</formula>
    </cfRule>
  </conditionalFormatting>
  <conditionalFormatting sqref="G419:G446">
    <cfRule type="containsText" dxfId="0" priority="705" operator="containsText" text="Problem">
      <formula>NOT(ISERROR(SEARCH(("Problem"),(G419))))</formula>
    </cfRule>
  </conditionalFormatting>
  <conditionalFormatting sqref="G419:G446">
    <cfRule type="containsText" dxfId="0" priority="706" operator="containsText" text="Problem">
      <formula>NOT(ISERROR(SEARCH(("Problem"),(G419))))</formula>
    </cfRule>
  </conditionalFormatting>
  <conditionalFormatting sqref="G419:G446">
    <cfRule type="containsText" dxfId="0" priority="707" operator="containsText" text="Problem">
      <formula>NOT(ISERROR(SEARCH(("Problem"),(G419))))</formula>
    </cfRule>
  </conditionalFormatting>
  <conditionalFormatting sqref="H832:H859">
    <cfRule type="containsText" dxfId="0" priority="708" operator="containsText" text="Problem">
      <formula>NOT(ISERROR(SEARCH(("Problem"),(H832))))</formula>
    </cfRule>
  </conditionalFormatting>
  <conditionalFormatting sqref="H832:H859">
    <cfRule type="containsText" dxfId="0" priority="709" operator="containsText" text="Problem">
      <formula>NOT(ISERROR(SEARCH(("Problem"),(H832))))</formula>
    </cfRule>
  </conditionalFormatting>
  <conditionalFormatting sqref="H832:H859">
    <cfRule type="containsText" dxfId="0" priority="710" operator="containsText" text="Problem">
      <formula>NOT(ISERROR(SEARCH(("Problem"),(H832))))</formula>
    </cfRule>
  </conditionalFormatting>
  <conditionalFormatting sqref="B337:C337 B349:B352 B354:C355 C306:C336 C346:C352">
    <cfRule type="containsText" dxfId="0" priority="711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712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713" operator="containsText" text="Problem">
      <formula>NOT(ISERROR(SEARCH(("Problem"),(B337))))</formula>
    </cfRule>
  </conditionalFormatting>
  <conditionalFormatting sqref="C711 E711:I711">
    <cfRule type="containsText" dxfId="0" priority="714" operator="containsText" text="Problem">
      <formula>NOT(ISERROR(SEARCH(("Problem"),(C711))))</formula>
    </cfRule>
  </conditionalFormatting>
  <conditionalFormatting sqref="C711 E711:I711">
    <cfRule type="containsText" dxfId="0" priority="715" operator="containsText" text="Problem">
      <formula>NOT(ISERROR(SEARCH(("Problem"),(C711))))</formula>
    </cfRule>
  </conditionalFormatting>
  <conditionalFormatting sqref="C711 E711:I711">
    <cfRule type="containsText" dxfId="0" priority="716" operator="containsText" text="Problem">
      <formula>NOT(ISERROR(SEARCH(("Problem"),(C711))))</formula>
    </cfRule>
  </conditionalFormatting>
  <conditionalFormatting sqref="I772">
    <cfRule type="containsText" dxfId="0" priority="717" operator="containsText" text="Problem">
      <formula>NOT(ISERROR(SEARCH(("Problem"),(I772))))</formula>
    </cfRule>
  </conditionalFormatting>
  <conditionalFormatting sqref="I772">
    <cfRule type="containsText" dxfId="0" priority="718" operator="containsText" text="Problem">
      <formula>NOT(ISERROR(SEARCH(("Problem"),(I772))))</formula>
    </cfRule>
  </conditionalFormatting>
  <conditionalFormatting sqref="I772">
    <cfRule type="containsText" dxfId="0" priority="719" operator="containsText" text="Problem">
      <formula>NOT(ISERROR(SEARCH(("Problem"),(I772))))</formula>
    </cfRule>
  </conditionalFormatting>
  <conditionalFormatting sqref="A359:A414">
    <cfRule type="containsText" dxfId="0" priority="720" operator="containsText" text="Problem">
      <formula>NOT(ISERROR(SEARCH(("Problem"),(A359))))</formula>
    </cfRule>
  </conditionalFormatting>
  <conditionalFormatting sqref="A359:A414">
    <cfRule type="containsText" dxfId="0" priority="721" operator="containsText" text="Problem">
      <formula>NOT(ISERROR(SEARCH(("Problem"),(A359))))</formula>
    </cfRule>
  </conditionalFormatting>
  <conditionalFormatting sqref="A359:A414">
    <cfRule type="containsText" dxfId="0" priority="722" operator="containsText" text="Problem">
      <formula>NOT(ISERROR(SEARCH(("Problem"),(A359))))</formula>
    </cfRule>
  </conditionalFormatting>
  <conditionalFormatting sqref="H301:H328">
    <cfRule type="containsText" dxfId="0" priority="723" operator="containsText" text="Problem">
      <formula>NOT(ISERROR(SEARCH(("Problem"),(H301))))</formula>
    </cfRule>
  </conditionalFormatting>
  <conditionalFormatting sqref="H301:H328">
    <cfRule type="containsText" dxfId="0" priority="724" operator="containsText" text="Problem">
      <formula>NOT(ISERROR(SEARCH(("Problem"),(H301))))</formula>
    </cfRule>
  </conditionalFormatting>
  <conditionalFormatting sqref="H301:H328">
    <cfRule type="containsText" dxfId="0" priority="725" operator="containsText" text="Problem">
      <formula>NOT(ISERROR(SEARCH(("Problem"),(H301))))</formula>
    </cfRule>
  </conditionalFormatting>
  <conditionalFormatting sqref="F124:F151">
    <cfRule type="containsText" dxfId="0" priority="726" operator="containsText" text="Problem">
      <formula>NOT(ISERROR(SEARCH(("Problem"),(F124))))</formula>
    </cfRule>
  </conditionalFormatting>
  <conditionalFormatting sqref="F124:F151">
    <cfRule type="containsText" dxfId="0" priority="727" operator="containsText" text="Problem">
      <formula>NOT(ISERROR(SEARCH(("Problem"),(F124))))</formula>
    </cfRule>
  </conditionalFormatting>
  <conditionalFormatting sqref="F124:F151">
    <cfRule type="containsText" dxfId="0" priority="728" operator="containsText" text="Problem">
      <formula>NOT(ISERROR(SEARCH(("Problem"),(F124))))</formula>
    </cfRule>
  </conditionalFormatting>
  <conditionalFormatting sqref="I536">
    <cfRule type="containsText" dxfId="0" priority="729" operator="containsText" text="Problem">
      <formula>NOT(ISERROR(SEARCH(("Problem"),(I536))))</formula>
    </cfRule>
  </conditionalFormatting>
  <conditionalFormatting sqref="I536">
    <cfRule type="containsText" dxfId="0" priority="730" operator="containsText" text="Problem">
      <formula>NOT(ISERROR(SEARCH(("Problem"),(I536))))</formula>
    </cfRule>
  </conditionalFormatting>
  <conditionalFormatting sqref="I536">
    <cfRule type="containsText" dxfId="0" priority="731" operator="containsText" text="Problem">
      <formula>NOT(ISERROR(SEARCH(("Problem"),(I536))))</formula>
    </cfRule>
  </conditionalFormatting>
  <conditionalFormatting sqref="H65:H92">
    <cfRule type="containsText" dxfId="0" priority="732" operator="containsText" text="Problem">
      <formula>NOT(ISERROR(SEARCH(("Problem"),(H65))))</formula>
    </cfRule>
  </conditionalFormatting>
  <conditionalFormatting sqref="H65:H92">
    <cfRule type="containsText" dxfId="0" priority="733" operator="containsText" text="Problem">
      <formula>NOT(ISERROR(SEARCH(("Problem"),(H65))))</formula>
    </cfRule>
  </conditionalFormatting>
  <conditionalFormatting sqref="H65:H92">
    <cfRule type="containsText" dxfId="0" priority="734" operator="containsText" text="Problem">
      <formula>NOT(ISERROR(SEARCH(("Problem"),(H65))))</formula>
    </cfRule>
  </conditionalFormatting>
  <conditionalFormatting sqref="D93:D117">
    <cfRule type="containsText" dxfId="0" priority="735" operator="containsText" text="Problem">
      <formula>NOT(ISERROR(SEARCH(("Problem"),(D93))))</formula>
    </cfRule>
  </conditionalFormatting>
  <conditionalFormatting sqref="D93:D117">
    <cfRule type="containsText" dxfId="0" priority="736" operator="containsText" text="Problem">
      <formula>NOT(ISERROR(SEARCH(("Problem"),(D93))))</formula>
    </cfRule>
  </conditionalFormatting>
  <conditionalFormatting sqref="G537:G564">
    <cfRule type="containsText" dxfId="0" priority="737" operator="containsText" text="Problem">
      <formula>NOT(ISERROR(SEARCH(("Problem"),(G537))))</formula>
    </cfRule>
  </conditionalFormatting>
  <conditionalFormatting sqref="G537:G564">
    <cfRule type="containsText" dxfId="0" priority="738" operator="containsText" text="Problem">
      <formula>NOT(ISERROR(SEARCH(("Problem"),(G537))))</formula>
    </cfRule>
  </conditionalFormatting>
  <conditionalFormatting sqref="G537:G564">
    <cfRule type="containsText" dxfId="0" priority="739" operator="containsText" text="Problem">
      <formula>NOT(ISERROR(SEARCH(("Problem"),(G537))))</formula>
    </cfRule>
  </conditionalFormatting>
  <conditionalFormatting sqref="D270:D294">
    <cfRule type="containsText" dxfId="0" priority="740" operator="containsText" text="Problem">
      <formula>NOT(ISERROR(SEARCH(("Problem"),(D270))))</formula>
    </cfRule>
  </conditionalFormatting>
  <conditionalFormatting sqref="D270:D294">
    <cfRule type="containsText" dxfId="0" priority="741" operator="containsText" text="Problem">
      <formula>NOT(ISERROR(SEARCH(("Problem"),(D270))))</formula>
    </cfRule>
  </conditionalFormatting>
  <conditionalFormatting sqref="F654">
    <cfRule type="containsText" dxfId="0" priority="742" operator="containsText" text="Problem">
      <formula>NOT(ISERROR(SEARCH(("Problem"),(F654))))</formula>
    </cfRule>
  </conditionalFormatting>
  <conditionalFormatting sqref="F654">
    <cfRule type="containsText" dxfId="0" priority="743" operator="containsText" text="Problem">
      <formula>NOT(ISERROR(SEARCH(("Problem"),(F654))))</formula>
    </cfRule>
  </conditionalFormatting>
  <conditionalFormatting sqref="F654">
    <cfRule type="containsText" dxfId="0" priority="744" operator="containsText" text="Problem">
      <formula>NOT(ISERROR(SEARCH(("Problem"),(F654))))</formula>
    </cfRule>
  </conditionalFormatting>
  <conditionalFormatting sqref="H772">
    <cfRule type="containsText" dxfId="0" priority="745" operator="containsText" text="Problem">
      <formula>NOT(ISERROR(SEARCH(("Problem"),(H772))))</formula>
    </cfRule>
  </conditionalFormatting>
  <conditionalFormatting sqref="H772">
    <cfRule type="containsText" dxfId="0" priority="746" operator="containsText" text="Problem">
      <formula>NOT(ISERROR(SEARCH(("Problem"),(H772))))</formula>
    </cfRule>
  </conditionalFormatting>
  <conditionalFormatting sqref="H772">
    <cfRule type="containsText" dxfId="0" priority="747" operator="containsText" text="Problem">
      <formula>NOT(ISERROR(SEARCH(("Problem"),(H772))))</formula>
    </cfRule>
  </conditionalFormatting>
  <conditionalFormatting sqref="I65:I92">
    <cfRule type="containsText" dxfId="0" priority="748" operator="containsText" text="Problem">
      <formula>NOT(ISERROR(SEARCH(("Problem"),(I65))))</formula>
    </cfRule>
  </conditionalFormatting>
  <conditionalFormatting sqref="I65:I92">
    <cfRule type="containsText" dxfId="0" priority="749" operator="containsText" text="Problem">
      <formula>NOT(ISERROR(SEARCH(("Problem"),(I65))))</formula>
    </cfRule>
  </conditionalFormatting>
  <conditionalFormatting sqref="I65:I92">
    <cfRule type="containsText" dxfId="0" priority="750" operator="containsText" text="Problem">
      <formula>NOT(ISERROR(SEARCH(("Problem"),(I65))))</formula>
    </cfRule>
  </conditionalFormatting>
  <conditionalFormatting sqref="I65:I92">
    <cfRule type="containsText" dxfId="0" priority="751" operator="containsText" text="Problem">
      <formula>NOT(ISERROR(SEARCH(("Problem"),(I65))))</formula>
    </cfRule>
  </conditionalFormatting>
  <conditionalFormatting sqref="C62 E62:I62">
    <cfRule type="containsText" dxfId="0" priority="752" operator="containsText" text="Problem">
      <formula>NOT(ISERROR(SEARCH(("Problem"),(C62))))</formula>
    </cfRule>
  </conditionalFormatting>
  <conditionalFormatting sqref="C62 E62:I62">
    <cfRule type="containsText" dxfId="0" priority="753" operator="containsText" text="Problem">
      <formula>NOT(ISERROR(SEARCH(("Problem"),(C62))))</formula>
    </cfRule>
  </conditionalFormatting>
  <conditionalFormatting sqref="C62 E62:I62">
    <cfRule type="containsText" dxfId="0" priority="754" operator="containsText" text="Problem">
      <formula>NOT(ISERROR(SEARCH(("Problem"),(C62))))</formula>
    </cfRule>
  </conditionalFormatting>
  <conditionalFormatting sqref="H773:H800">
    <cfRule type="containsText" dxfId="0" priority="755" operator="containsText" text="Problem">
      <formula>NOT(ISERROR(SEARCH(("Problem"),(H773))))</formula>
    </cfRule>
  </conditionalFormatting>
  <conditionalFormatting sqref="H773:H800">
    <cfRule type="containsText" dxfId="0" priority="756" operator="containsText" text="Problem">
      <formula>NOT(ISERROR(SEARCH(("Problem"),(H773))))</formula>
    </cfRule>
  </conditionalFormatting>
  <conditionalFormatting sqref="H773:H800">
    <cfRule type="containsText" dxfId="0" priority="757" operator="containsText" text="Problem">
      <formula>NOT(ISERROR(SEARCH(("Problem"),(H773))))</formula>
    </cfRule>
  </conditionalFormatting>
  <conditionalFormatting sqref="C888">
    <cfRule type="containsText" dxfId="0" priority="758" operator="containsText" text="Problem">
      <formula>NOT(ISERROR(SEARCH(("Problem"),(C888))))</formula>
    </cfRule>
  </conditionalFormatting>
  <conditionalFormatting sqref="C888">
    <cfRule type="containsText" dxfId="0" priority="759" operator="containsText" text="Problem">
      <formula>NOT(ISERROR(SEARCH(("Problem"),(C888))))</formula>
    </cfRule>
  </conditionalFormatting>
  <conditionalFormatting sqref="C888">
    <cfRule type="containsText" dxfId="0" priority="760" operator="containsText" text="Problem">
      <formula>NOT(ISERROR(SEARCH(("Problem"),(C888))))</formula>
    </cfRule>
  </conditionalFormatting>
  <conditionalFormatting sqref="C593 E593:I593">
    <cfRule type="containsText" dxfId="0" priority="761" operator="containsText" text="Problem">
      <formula>NOT(ISERROR(SEARCH(("Problem"),(C593))))</formula>
    </cfRule>
  </conditionalFormatting>
  <conditionalFormatting sqref="C593 E593:I593">
    <cfRule type="containsText" dxfId="0" priority="762" operator="containsText" text="Problem">
      <formula>NOT(ISERROR(SEARCH(("Problem"),(C593))))</formula>
    </cfRule>
  </conditionalFormatting>
  <conditionalFormatting sqref="C593 E593:I593">
    <cfRule type="containsText" dxfId="0" priority="763" operator="containsText" text="Problem">
      <formula>NOT(ISERROR(SEARCH(("Problem"),(C593))))</formula>
    </cfRule>
  </conditionalFormatting>
  <conditionalFormatting sqref="B750:C750 B762:B765 B767:C768 C719:C749 C759:C765">
    <cfRule type="containsText" dxfId="0" priority="764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765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766" operator="containsText" text="Problem">
      <formula>NOT(ISERROR(SEARCH(("Problem"),(B750))))</formula>
    </cfRule>
  </conditionalFormatting>
  <conditionalFormatting sqref="A358:I358 A415:H415 I388:I415 J358:P415">
    <cfRule type="containsText" dxfId="0" priority="767" operator="containsText" text="Problem">
      <formula>NOT(ISERROR(SEARCH(("Problem"),(A358))))</formula>
    </cfRule>
  </conditionalFormatting>
  <conditionalFormatting sqref="A358:I358 A415:H415 I388:I415 J358:P415">
    <cfRule type="containsText" dxfId="0" priority="768" operator="containsText" text="Problem">
      <formula>NOT(ISERROR(SEARCH(("Problem"),(A358))))</formula>
    </cfRule>
  </conditionalFormatting>
  <conditionalFormatting sqref="A358:I358 A415:H415 I388:I415 J358:P415">
    <cfRule type="containsText" dxfId="0" priority="769" operator="containsText" text="Problem">
      <formula>NOT(ISERROR(SEARCH(("Problem"),(A358))))</formula>
    </cfRule>
  </conditionalFormatting>
  <conditionalFormatting sqref="C357 E357:I357">
    <cfRule type="containsText" dxfId="0" priority="770" operator="containsText" text="Problem">
      <formula>NOT(ISERROR(SEARCH(("Problem"),(C357))))</formula>
    </cfRule>
  </conditionalFormatting>
  <conditionalFormatting sqref="C357 E357:I357">
    <cfRule type="containsText" dxfId="0" priority="771" operator="containsText" text="Problem">
      <formula>NOT(ISERROR(SEARCH(("Problem"),(C357))))</formula>
    </cfRule>
  </conditionalFormatting>
  <conditionalFormatting sqref="C357 E357:I357">
    <cfRule type="containsText" dxfId="0" priority="772" operator="containsText" text="Problem">
      <formula>NOT(ISERROR(SEARCH(("Problem"),(C357))))</formula>
    </cfRule>
  </conditionalFormatting>
  <conditionalFormatting sqref="D241">
    <cfRule type="containsText" dxfId="0" priority="773" operator="containsText" text="Problem">
      <formula>NOT(ISERROR(SEARCH(("Problem"),(D241))))</formula>
    </cfRule>
  </conditionalFormatting>
  <conditionalFormatting sqref="N182:N238">
    <cfRule type="containsText" dxfId="0" priority="774" operator="containsText" text="Problem">
      <formula>NOT(ISERROR(SEARCH(("Problem"),(N182))))</formula>
    </cfRule>
  </conditionalFormatting>
  <conditionalFormatting sqref="N182:N238">
    <cfRule type="containsText" dxfId="0" priority="775" operator="containsText" text="Problem">
      <formula>NOT(ISERROR(SEARCH(("Problem"),(N182))))</formula>
    </cfRule>
  </conditionalFormatting>
  <conditionalFormatting sqref="N182:N238">
    <cfRule type="containsText" dxfId="0" priority="776" operator="containsText" text="Problem">
      <formula>NOT(ISERROR(SEARCH(("Problem"),(N182))))</formula>
    </cfRule>
  </conditionalFormatting>
  <conditionalFormatting sqref="G772">
    <cfRule type="containsText" dxfId="0" priority="777" operator="containsText" text="Problem">
      <formula>NOT(ISERROR(SEARCH(("Problem"),(G772))))</formula>
    </cfRule>
  </conditionalFormatting>
  <conditionalFormatting sqref="G772">
    <cfRule type="containsText" dxfId="0" priority="778" operator="containsText" text="Problem">
      <formula>NOT(ISERROR(SEARCH(("Problem"),(G772))))</formula>
    </cfRule>
  </conditionalFormatting>
  <conditionalFormatting sqref="G772">
    <cfRule type="containsText" dxfId="0" priority="779" operator="containsText" text="Problem">
      <formula>NOT(ISERROR(SEARCH(("Problem"),(G772))))</formula>
    </cfRule>
  </conditionalFormatting>
  <conditionalFormatting sqref="A62 J62:P62">
    <cfRule type="containsText" dxfId="0" priority="780" operator="containsText" text="Problem">
      <formula>NOT(ISERROR(SEARCH(("Problem"),(A62))))</formula>
    </cfRule>
  </conditionalFormatting>
  <conditionalFormatting sqref="A62 J62:P62">
    <cfRule type="containsText" dxfId="0" priority="781" operator="containsText" text="Problem">
      <formula>NOT(ISERROR(SEARCH(("Problem"),(A62))))</formula>
    </cfRule>
  </conditionalFormatting>
  <conditionalFormatting sqref="A62 J62:P62">
    <cfRule type="containsText" dxfId="0" priority="782" operator="containsText" text="Problem">
      <formula>NOT(ISERROR(SEARCH(("Problem"),(A62))))</formula>
    </cfRule>
  </conditionalFormatting>
  <conditionalFormatting sqref="A182:A237">
    <cfRule type="containsText" dxfId="0" priority="783" operator="containsText" text="Problem">
      <formula>NOT(ISERROR(SEARCH(("Problem"),(A182))))</formula>
    </cfRule>
  </conditionalFormatting>
  <conditionalFormatting sqref="A182:A237">
    <cfRule type="containsText" dxfId="0" priority="784" operator="containsText" text="Problem">
      <formula>NOT(ISERROR(SEARCH(("Problem"),(A182))))</formula>
    </cfRule>
  </conditionalFormatting>
  <conditionalFormatting sqref="A182:A237">
    <cfRule type="containsText" dxfId="0" priority="785" operator="containsText" text="Problem">
      <formula>NOT(ISERROR(SEARCH(("Problem"),(A182))))</formula>
    </cfRule>
  </conditionalFormatting>
  <conditionalFormatting sqref="G6:G34">
    <cfRule type="containsText" dxfId="0" priority="786" operator="containsText" text="Problem">
      <formula>NOT(ISERROR(SEARCH(("Problem"),(G6))))</formula>
    </cfRule>
  </conditionalFormatting>
  <conditionalFormatting sqref="G6:G34">
    <cfRule type="containsText" dxfId="0" priority="787" operator="containsText" text="Problem">
      <formula>NOT(ISERROR(SEARCH(("Problem"),(G6))))</formula>
    </cfRule>
  </conditionalFormatting>
  <conditionalFormatting sqref="G6:G34">
    <cfRule type="containsText" dxfId="0" priority="788" operator="containsText" text="Problem">
      <formula>NOT(ISERROR(SEARCH(("Problem"),(G6))))</formula>
    </cfRule>
  </conditionalFormatting>
  <conditionalFormatting sqref="D506:D530">
    <cfRule type="containsText" dxfId="0" priority="789" operator="containsText" text="Problem">
      <formula>NOT(ISERROR(SEARCH(("Problem"),(D506))))</formula>
    </cfRule>
  </conditionalFormatting>
  <conditionalFormatting sqref="D506:D530">
    <cfRule type="containsText" dxfId="0" priority="790" operator="containsText" text="Problem">
      <formula>NOT(ISERROR(SEARCH(("Problem"),(D506))))</formula>
    </cfRule>
  </conditionalFormatting>
  <conditionalFormatting sqref="I419:I446">
    <cfRule type="containsText" dxfId="0" priority="791" operator="containsText" text="Problem">
      <formula>NOT(ISERROR(SEARCH(("Problem"),(I419))))</formula>
    </cfRule>
  </conditionalFormatting>
  <conditionalFormatting sqref="I419:I446">
    <cfRule type="containsText" dxfId="0" priority="792" operator="containsText" text="Problem">
      <formula>NOT(ISERROR(SEARCH(("Problem"),(I419))))</formula>
    </cfRule>
  </conditionalFormatting>
  <conditionalFormatting sqref="I419:I446">
    <cfRule type="containsText" dxfId="0" priority="793" operator="containsText" text="Problem">
      <formula>NOT(ISERROR(SEARCH(("Problem"),(I419))))</formula>
    </cfRule>
  </conditionalFormatting>
  <conditionalFormatting sqref="I419:I446">
    <cfRule type="containsText" dxfId="0" priority="794" operator="containsText" text="Problem">
      <formula>NOT(ISERROR(SEARCH(("Problem"),(I419))))</formula>
    </cfRule>
  </conditionalFormatting>
  <conditionalFormatting sqref="D35:D59">
    <cfRule type="containsText" dxfId="0" priority="795" operator="containsText" text="Problem">
      <formula>NOT(ISERROR(SEARCH(("Problem"),(D35))))</formula>
    </cfRule>
  </conditionalFormatting>
  <conditionalFormatting sqref="D35:D59">
    <cfRule type="containsText" dxfId="0" priority="796" operator="containsText" text="Problem">
      <formula>NOT(ISERROR(SEARCH(("Problem"),(D35))))</formula>
    </cfRule>
  </conditionalFormatting>
  <conditionalFormatting sqref="D35:D59">
    <cfRule type="containsText" dxfId="0" priority="797" operator="containsText" text="Problem">
      <formula>NOT(ISERROR(SEARCH(("Problem"),(D35))))</formula>
    </cfRule>
  </conditionalFormatting>
  <conditionalFormatting sqref="G360:G387">
    <cfRule type="containsText" dxfId="0" priority="798" operator="containsText" text="Problem">
      <formula>NOT(ISERROR(SEARCH(("Problem"),(G360))))</formula>
    </cfRule>
  </conditionalFormatting>
  <conditionalFormatting sqref="G360:G387">
    <cfRule type="containsText" dxfId="0" priority="799" operator="containsText" text="Problem">
      <formula>NOT(ISERROR(SEARCH(("Problem"),(G360))))</formula>
    </cfRule>
  </conditionalFormatting>
  <conditionalFormatting sqref="G360:G387">
    <cfRule type="containsText" dxfId="0" priority="800" operator="containsText" text="Problem">
      <formula>NOT(ISERROR(SEARCH(("Problem"),(G360))))</formula>
    </cfRule>
  </conditionalFormatting>
  <conditionalFormatting sqref="A889:C889 A946:P946 D889:D890 E889:I889 J889:P890 K891:P945">
    <cfRule type="containsText" dxfId="0" priority="801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802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803" operator="containsText" text="Problem">
      <formula>NOT(ISERROR(SEARCH(("Problem"),(A889))))</formula>
    </cfRule>
  </conditionalFormatting>
  <conditionalFormatting sqref="D123">
    <cfRule type="containsText" dxfId="0" priority="804" operator="containsText" text="Problem">
      <formula>NOT(ISERROR(SEARCH(("Problem"),(D123))))</formula>
    </cfRule>
  </conditionalFormatting>
  <conditionalFormatting sqref="I64">
    <cfRule type="containsText" dxfId="0" priority="805" operator="containsText" text="Problem">
      <formula>NOT(ISERROR(SEARCH(("Problem"),(I64))))</formula>
    </cfRule>
  </conditionalFormatting>
  <conditionalFormatting sqref="I64">
    <cfRule type="containsText" dxfId="0" priority="806" operator="containsText" text="Problem">
      <formula>NOT(ISERROR(SEARCH(("Problem"),(I64))))</formula>
    </cfRule>
  </conditionalFormatting>
  <conditionalFormatting sqref="I64">
    <cfRule type="containsText" dxfId="0" priority="807" operator="containsText" text="Problem">
      <formula>NOT(ISERROR(SEARCH(("Problem"),(I64))))</formula>
    </cfRule>
  </conditionalFormatting>
  <conditionalFormatting sqref="E654">
    <cfRule type="containsText" dxfId="0" priority="808" operator="containsText" text="Problem">
      <formula>NOT(ISERROR(SEARCH(("Problem"),(E654))))</formula>
    </cfRule>
  </conditionalFormatting>
  <conditionalFormatting sqref="E654">
    <cfRule type="containsText" dxfId="0" priority="809" operator="containsText" text="Problem">
      <formula>NOT(ISERROR(SEARCH(("Problem"),(E654))))</formula>
    </cfRule>
  </conditionalFormatting>
  <conditionalFormatting sqref="E654">
    <cfRule type="containsText" dxfId="0" priority="810" operator="containsText" text="Problem">
      <formula>NOT(ISERROR(SEARCH(("Problem"),(E654))))</formula>
    </cfRule>
  </conditionalFormatting>
  <conditionalFormatting sqref="D301:D328">
    <cfRule type="containsText" dxfId="0" priority="811" operator="containsText" text="Problem">
      <formula>NOT(ISERROR(SEARCH(("Problem"),(D301))))</formula>
    </cfRule>
  </conditionalFormatting>
  <conditionalFormatting sqref="D301:D328">
    <cfRule type="containsText" dxfId="0" priority="812" operator="containsText" text="Problem">
      <formula>NOT(ISERROR(SEARCH(("Problem"),(D301))))</formula>
    </cfRule>
  </conditionalFormatting>
  <conditionalFormatting sqref="D301:D328">
    <cfRule type="containsText" dxfId="0" priority="813" operator="containsText" text="Problem">
      <formula>NOT(ISERROR(SEARCH(("Problem"),(D301))))</formula>
    </cfRule>
  </conditionalFormatting>
  <conditionalFormatting sqref="D242:D269">
    <cfRule type="containsText" dxfId="0" priority="814" operator="containsText" text="Problem">
      <formula>NOT(ISERROR(SEARCH(("Problem"),(D242))))</formula>
    </cfRule>
  </conditionalFormatting>
  <conditionalFormatting sqref="D242:D269">
    <cfRule type="containsText" dxfId="0" priority="815" operator="containsText" text="Problem">
      <formula>NOT(ISERROR(SEARCH(("Problem"),(D242))))</formula>
    </cfRule>
  </conditionalFormatting>
  <conditionalFormatting sqref="D242:D269">
    <cfRule type="containsText" dxfId="0" priority="816" operator="containsText" text="Problem">
      <formula>NOT(ISERROR(SEARCH(("Problem"),(D242))))</formula>
    </cfRule>
  </conditionalFormatting>
  <conditionalFormatting sqref="E183:E210">
    <cfRule type="containsText" dxfId="0" priority="817" operator="containsText" text="Problem">
      <formula>NOT(ISERROR(SEARCH(("Problem"),(E183))))</formula>
    </cfRule>
  </conditionalFormatting>
  <conditionalFormatting sqref="E183:E210">
    <cfRule type="containsText" dxfId="0" priority="818" operator="containsText" text="Problem">
      <formula>NOT(ISERROR(SEARCH(("Problem"),(E183))))</formula>
    </cfRule>
  </conditionalFormatting>
  <conditionalFormatting sqref="E183:E210">
    <cfRule type="containsText" dxfId="0" priority="819" operator="containsText" text="Problem">
      <formula>NOT(ISERROR(SEARCH(("Problem"),(E183))))</formula>
    </cfRule>
  </conditionalFormatting>
  <conditionalFormatting sqref="H182">
    <cfRule type="containsText" dxfId="0" priority="820" operator="containsText" text="Problem">
      <formula>NOT(ISERROR(SEARCH(("Problem"),(H182))))</formula>
    </cfRule>
  </conditionalFormatting>
  <conditionalFormatting sqref="H182">
    <cfRule type="containsText" dxfId="0" priority="821" operator="containsText" text="Problem">
      <formula>NOT(ISERROR(SEARCH(("Problem"),(H182))))</formula>
    </cfRule>
  </conditionalFormatting>
  <conditionalFormatting sqref="H182">
    <cfRule type="containsText" dxfId="0" priority="822" operator="containsText" text="Problem">
      <formula>NOT(ISERROR(SEARCH(("Problem"),(H182))))</formula>
    </cfRule>
  </conditionalFormatting>
  <conditionalFormatting sqref="D477">
    <cfRule type="containsText" dxfId="0" priority="823" operator="containsText" text="Problem">
      <formula>NOT(ISERROR(SEARCH(("Problem"),(D477))))</formula>
    </cfRule>
  </conditionalFormatting>
  <conditionalFormatting sqref="E891:I945">
    <cfRule type="containsText" dxfId="0" priority="824" operator="containsText" text="Problem">
      <formula>NOT(ISERROR(SEARCH(("Problem"),(E891))))</formula>
    </cfRule>
  </conditionalFormatting>
  <conditionalFormatting sqref="E891:I945">
    <cfRule type="containsText" dxfId="0" priority="825" operator="containsText" text="Problem">
      <formula>NOT(ISERROR(SEARCH(("Problem"),(E891))))</formula>
    </cfRule>
  </conditionalFormatting>
  <conditionalFormatting sqref="E891:I945">
    <cfRule type="containsText" dxfId="0" priority="826" operator="containsText" text="Problem">
      <formula>NOT(ISERROR(SEARCH(("Problem"),(E891))))</formula>
    </cfRule>
  </conditionalFormatting>
  <conditionalFormatting sqref="I5">
    <cfRule type="containsText" dxfId="0" priority="827" operator="containsText" text="Problem">
      <formula>NOT(ISERROR(SEARCH(("Problem"),(I5))))</formula>
    </cfRule>
  </conditionalFormatting>
  <conditionalFormatting sqref="I5">
    <cfRule type="containsText" dxfId="0" priority="828" operator="containsText" text="Problem">
      <formula>NOT(ISERROR(SEARCH(("Problem"),(I5))))</formula>
    </cfRule>
  </conditionalFormatting>
  <conditionalFormatting sqref="I5">
    <cfRule type="containsText" dxfId="0" priority="829" operator="containsText" text="Problem">
      <formula>NOT(ISERROR(SEARCH(("Problem"),(I5))))</formula>
    </cfRule>
  </conditionalFormatting>
  <conditionalFormatting sqref="G65:G92">
    <cfRule type="containsText" dxfId="0" priority="830" operator="containsText" text="Problem">
      <formula>NOT(ISERROR(SEARCH(("Problem"),(G65))))</formula>
    </cfRule>
  </conditionalFormatting>
  <conditionalFormatting sqref="G65:G92">
    <cfRule type="containsText" dxfId="0" priority="831" operator="containsText" text="Problem">
      <formula>NOT(ISERROR(SEARCH(("Problem"),(G65))))</formula>
    </cfRule>
  </conditionalFormatting>
  <conditionalFormatting sqref="G65:G92">
    <cfRule type="containsText" dxfId="0" priority="832" operator="containsText" text="Problem">
      <formula>NOT(ISERROR(SEARCH(("Problem"),(G65))))</formula>
    </cfRule>
  </conditionalFormatting>
  <conditionalFormatting sqref="A239 J239:P239">
    <cfRule type="containsText" dxfId="0" priority="833" operator="containsText" text="Problem">
      <formula>NOT(ISERROR(SEARCH(("Problem"),(A239))))</formula>
    </cfRule>
  </conditionalFormatting>
  <conditionalFormatting sqref="A239 J239:P239">
    <cfRule type="containsText" dxfId="0" priority="834" operator="containsText" text="Problem">
      <formula>NOT(ISERROR(SEARCH(("Problem"),(A239))))</formula>
    </cfRule>
  </conditionalFormatting>
  <conditionalFormatting sqref="A239 J239:P239">
    <cfRule type="containsText" dxfId="0" priority="835" operator="containsText" text="Problem">
      <formula>NOT(ISERROR(SEARCH(("Problem"),(A239))))</formula>
    </cfRule>
  </conditionalFormatting>
  <conditionalFormatting sqref="E360:E387">
    <cfRule type="containsText" dxfId="0" priority="836" operator="containsText" text="Problem">
      <formula>NOT(ISERROR(SEARCH(("Problem"),(E360))))</formula>
    </cfRule>
  </conditionalFormatting>
  <conditionalFormatting sqref="E360:E387">
    <cfRule type="containsText" dxfId="0" priority="837" operator="containsText" text="Problem">
      <formula>NOT(ISERROR(SEARCH(("Problem"),(E360))))</formula>
    </cfRule>
  </conditionalFormatting>
  <conditionalFormatting sqref="E360:E387">
    <cfRule type="containsText" dxfId="0" priority="838" operator="containsText" text="Problem">
      <formula>NOT(ISERROR(SEARCH(("Problem"),(E360))))</formula>
    </cfRule>
  </conditionalFormatting>
  <conditionalFormatting sqref="H654">
    <cfRule type="containsText" dxfId="0" priority="839" operator="containsText" text="Problem">
      <formula>NOT(ISERROR(SEARCH(("Problem"),(H654))))</formula>
    </cfRule>
  </conditionalFormatting>
  <conditionalFormatting sqref="H654">
    <cfRule type="containsText" dxfId="0" priority="840" operator="containsText" text="Problem">
      <formula>NOT(ISERROR(SEARCH(("Problem"),(H654))))</formula>
    </cfRule>
  </conditionalFormatting>
  <conditionalFormatting sqref="H654">
    <cfRule type="containsText" dxfId="0" priority="841" operator="containsText" text="Problem">
      <formula>NOT(ISERROR(SEARCH(("Problem"),(H654))))</formula>
    </cfRule>
  </conditionalFormatting>
  <conditionalFormatting sqref="D118:D119 E93:H119">
    <cfRule type="containsText" dxfId="0" priority="842" operator="containsText" text="Problem">
      <formula>NOT(ISERROR(SEARCH(("Problem"),(D118))))</formula>
    </cfRule>
  </conditionalFormatting>
  <conditionalFormatting sqref="D118:D119 E93:H119">
    <cfRule type="containsText" dxfId="0" priority="843" operator="containsText" text="Problem">
      <formula>NOT(ISERROR(SEARCH(("Problem"),(D118))))</formula>
    </cfRule>
  </conditionalFormatting>
  <conditionalFormatting sqref="D118:D119 E93:H119">
    <cfRule type="containsText" dxfId="0" priority="844" operator="containsText" text="Problem">
      <formula>NOT(ISERROR(SEARCH(("Problem"),(D118))))</formula>
    </cfRule>
  </conditionalFormatting>
  <conditionalFormatting sqref="D831">
    <cfRule type="containsText" dxfId="0" priority="845" operator="containsText" text="Problem">
      <formula>NOT(ISERROR(SEARCH(("Problem"),(D831))))</formula>
    </cfRule>
  </conditionalFormatting>
  <conditionalFormatting sqref="D624:D648">
    <cfRule type="containsText" dxfId="0" priority="846" operator="containsText" text="Problem">
      <formula>NOT(ISERROR(SEARCH(("Problem"),(D624))))</formula>
    </cfRule>
  </conditionalFormatting>
  <conditionalFormatting sqref="D624:D648">
    <cfRule type="containsText" dxfId="0" priority="847" operator="containsText" text="Problem">
      <formula>NOT(ISERROR(SEARCH(("Problem"),(D624))))</formula>
    </cfRule>
  </conditionalFormatting>
  <conditionalFormatting sqref="D418">
    <cfRule type="containsText" dxfId="0" priority="848" operator="containsText" text="Problem">
      <formula>NOT(ISERROR(SEARCH(("Problem"),(D418))))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8.57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86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>
      <c r="A3" s="10"/>
      <c r="B3" s="11" t="s">
        <v>3</v>
      </c>
      <c r="C3" s="39"/>
      <c r="D3" s="13"/>
      <c r="E3" s="11"/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>
      <c r="A5" s="28">
        <v>1.0</v>
      </c>
      <c r="B5" s="29" t="s">
        <v>22</v>
      </c>
      <c r="C5" s="30">
        <v>192.17</v>
      </c>
      <c r="D5" s="3"/>
      <c r="E5" s="31"/>
      <c r="F5" s="3"/>
      <c r="G5" s="3"/>
      <c r="H5" s="3"/>
      <c r="I5" s="3"/>
      <c r="J5" s="3" t="str">
        <f t="shared" ref="J5:J61" si="1">D5+E5-F5-G5+H5</f>
        <v>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>
      <c r="A6" s="28">
        <v>2.0</v>
      </c>
      <c r="B6" s="29" t="s">
        <v>23</v>
      </c>
      <c r="C6" s="30">
        <v>9.26</v>
      </c>
      <c r="D6" s="3"/>
      <c r="E6" s="31"/>
      <c r="F6" s="3"/>
      <c r="G6" s="3"/>
      <c r="H6" s="3"/>
      <c r="I6" s="3"/>
      <c r="J6" s="3" t="str">
        <f t="shared" si="1"/>
        <v>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>
      <c r="A7" s="28">
        <v>3.0</v>
      </c>
      <c r="B7" s="29" t="s">
        <v>24</v>
      </c>
      <c r="C7" s="30">
        <v>87.79</v>
      </c>
      <c r="D7" s="3"/>
      <c r="E7" s="31"/>
      <c r="F7" s="3"/>
      <c r="G7" s="3"/>
      <c r="H7" s="3"/>
      <c r="I7" s="3"/>
      <c r="J7" s="3" t="str">
        <f t="shared" si="1"/>
        <v>0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>
      <c r="A8" s="28">
        <v>4.0</v>
      </c>
      <c r="B8" s="29" t="s">
        <v>25</v>
      </c>
      <c r="C8" s="30">
        <v>55.55</v>
      </c>
      <c r="D8" s="3"/>
      <c r="E8" s="31"/>
      <c r="F8" s="3"/>
      <c r="G8" s="3"/>
      <c r="H8" s="3"/>
      <c r="I8" s="3"/>
      <c r="J8" s="3" t="str">
        <f t="shared" si="1"/>
        <v>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>
      <c r="A9" s="28">
        <v>5.0</v>
      </c>
      <c r="B9" s="29" t="s">
        <v>26</v>
      </c>
      <c r="C9" s="30">
        <v>70.01</v>
      </c>
      <c r="D9" s="3"/>
      <c r="E9" s="31"/>
      <c r="F9" s="3"/>
      <c r="G9" s="3"/>
      <c r="H9" s="3"/>
      <c r="I9" s="3"/>
      <c r="J9" s="3" t="str">
        <f t="shared" si="1"/>
        <v>0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>
      <c r="A10" s="28">
        <v>6.0</v>
      </c>
      <c r="B10" s="29" t="s">
        <v>27</v>
      </c>
      <c r="C10" s="30">
        <v>73.92999999999999</v>
      </c>
      <c r="D10" s="3"/>
      <c r="E10" s="31"/>
      <c r="F10" s="3"/>
      <c r="G10" s="3"/>
      <c r="H10" s="3"/>
      <c r="I10" s="3"/>
      <c r="J10" s="3" t="str">
        <f t="shared" si="1"/>
        <v>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>
      <c r="A11" s="28">
        <v>7.0</v>
      </c>
      <c r="B11" s="29" t="s">
        <v>28</v>
      </c>
      <c r="C11" s="30">
        <v>13.91</v>
      </c>
      <c r="D11" s="3"/>
      <c r="E11" s="31"/>
      <c r="F11" s="3"/>
      <c r="G11" s="3"/>
      <c r="H11" s="3"/>
      <c r="I11" s="3"/>
      <c r="J11" s="3" t="str">
        <f t="shared" si="1"/>
        <v>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/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"/>
      <c r="E14" s="31"/>
      <c r="F14" s="3"/>
      <c r="G14" s="3"/>
      <c r="H14" s="3"/>
      <c r="I14" s="3"/>
      <c r="J14" s="3" t="str">
        <f t="shared" si="1"/>
        <v>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>
      <c r="A15" s="28">
        <v>11.0</v>
      </c>
      <c r="B15" s="29" t="s">
        <v>32</v>
      </c>
      <c r="C15" s="30">
        <v>102.17</v>
      </c>
      <c r="D15" s="3"/>
      <c r="E15" s="31"/>
      <c r="F15" s="3"/>
      <c r="G15" s="3"/>
      <c r="H15" s="3"/>
      <c r="I15" s="3"/>
      <c r="J15" s="3" t="str">
        <f t="shared" si="1"/>
        <v>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>
      <c r="A16" s="28">
        <v>12.0</v>
      </c>
      <c r="B16" s="29" t="s">
        <v>33</v>
      </c>
      <c r="C16" s="30">
        <v>59.93</v>
      </c>
      <c r="D16" s="3"/>
      <c r="E16" s="31"/>
      <c r="F16" s="3"/>
      <c r="G16" s="3"/>
      <c r="H16" s="3"/>
      <c r="I16" s="3"/>
      <c r="J16" s="3" t="str">
        <f t="shared" si="1"/>
        <v>0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>
      <c r="A17" s="28">
        <v>13.0</v>
      </c>
      <c r="B17" s="29" t="s">
        <v>34</v>
      </c>
      <c r="C17" s="30">
        <v>118.0</v>
      </c>
      <c r="D17" s="3"/>
      <c r="E17" s="31"/>
      <c r="F17" s="3"/>
      <c r="G17" s="3"/>
      <c r="H17" s="3"/>
      <c r="I17" s="3"/>
      <c r="J17" s="3" t="str">
        <f t="shared" si="1"/>
        <v>0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>
      <c r="A18" s="28">
        <v>14.0</v>
      </c>
      <c r="B18" s="29" t="s">
        <v>35</v>
      </c>
      <c r="C18" s="30">
        <v>52.83</v>
      </c>
      <c r="D18" s="3"/>
      <c r="E18" s="31"/>
      <c r="F18" s="3"/>
      <c r="G18" s="3"/>
      <c r="H18" s="3"/>
      <c r="I18" s="3"/>
      <c r="J18" s="3" t="str">
        <f t="shared" si="1"/>
        <v>0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>
      <c r="A19" s="28">
        <v>15.0</v>
      </c>
      <c r="B19" s="29" t="s">
        <v>36</v>
      </c>
      <c r="C19" s="30">
        <v>93.2</v>
      </c>
      <c r="D19" s="3"/>
      <c r="E19" s="31"/>
      <c r="F19" s="3"/>
      <c r="G19" s="3"/>
      <c r="H19" s="3"/>
      <c r="I19" s="3"/>
      <c r="J19" s="3" t="str">
        <f t="shared" si="1"/>
        <v>0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>
      <c r="A20" s="28">
        <v>16.0</v>
      </c>
      <c r="B20" s="29" t="s">
        <v>37</v>
      </c>
      <c r="C20" s="30">
        <v>61.02</v>
      </c>
      <c r="D20" s="3"/>
      <c r="E20" s="31"/>
      <c r="F20" s="3"/>
      <c r="G20" s="3"/>
      <c r="H20" s="3"/>
      <c r="I20" s="3"/>
      <c r="J20" s="3" t="str">
        <f t="shared" si="1"/>
        <v>0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15.75" customHeight="1">
      <c r="A21" s="28">
        <v>17.0</v>
      </c>
      <c r="B21" s="29" t="s">
        <v>38</v>
      </c>
      <c r="C21" s="30">
        <v>36.62</v>
      </c>
      <c r="D21" s="3"/>
      <c r="E21" s="31"/>
      <c r="F21" s="3"/>
      <c r="G21" s="3"/>
      <c r="H21" s="3"/>
      <c r="I21" s="3"/>
      <c r="J21" s="3" t="str">
        <f t="shared" si="1"/>
        <v>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15.75" customHeight="1">
      <c r="A22" s="28">
        <v>18.0</v>
      </c>
      <c r="B22" s="29" t="s">
        <v>39</v>
      </c>
      <c r="C22" s="30">
        <v>80.36</v>
      </c>
      <c r="D22" s="3"/>
      <c r="E22" s="31"/>
      <c r="F22" s="3"/>
      <c r="G22" s="3"/>
      <c r="H22" s="3"/>
      <c r="I22" s="3"/>
      <c r="J22" s="3" t="str">
        <f t="shared" si="1"/>
        <v>0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15.75" customHeight="1">
      <c r="A23" s="28">
        <v>19.0</v>
      </c>
      <c r="B23" s="29" t="s">
        <v>40</v>
      </c>
      <c r="C23" s="30">
        <v>160.56</v>
      </c>
      <c r="D23" s="3"/>
      <c r="E23" s="31"/>
      <c r="F23" s="3"/>
      <c r="G23" s="3"/>
      <c r="H23" s="3"/>
      <c r="I23" s="3"/>
      <c r="J23" s="3" t="str">
        <f t="shared" si="1"/>
        <v>0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15.75" customHeight="1">
      <c r="A24" s="28">
        <v>20.0</v>
      </c>
      <c r="B24" s="29" t="s">
        <v>41</v>
      </c>
      <c r="C24" s="30">
        <v>186.44</v>
      </c>
      <c r="D24" s="3"/>
      <c r="E24" s="31"/>
      <c r="F24" s="3"/>
      <c r="G24" s="3"/>
      <c r="H24" s="3"/>
      <c r="I24" s="3"/>
      <c r="J24" s="3" t="str">
        <f t="shared" si="1"/>
        <v>0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15.75" customHeight="1">
      <c r="A25" s="28">
        <v>21.0</v>
      </c>
      <c r="B25" s="29" t="s">
        <v>42</v>
      </c>
      <c r="C25" s="30">
        <v>92.59</v>
      </c>
      <c r="D25" s="3"/>
      <c r="E25" s="31"/>
      <c r="F25" s="3"/>
      <c r="G25" s="3"/>
      <c r="H25" s="3"/>
      <c r="I25" s="3"/>
      <c r="J25" s="3" t="str">
        <f t="shared" si="1"/>
        <v>0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15.75" customHeight="1">
      <c r="A26" s="28">
        <v>22.0</v>
      </c>
      <c r="B26" s="29" t="s">
        <v>43</v>
      </c>
      <c r="C26" s="30">
        <v>95.17</v>
      </c>
      <c r="D26" s="3"/>
      <c r="E26" s="31"/>
      <c r="F26" s="3"/>
      <c r="G26" s="3"/>
      <c r="H26" s="3"/>
      <c r="I26" s="3"/>
      <c r="J26" s="3" t="str">
        <f t="shared" si="1"/>
        <v>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15.75" customHeight="1">
      <c r="A27" s="28">
        <v>23.0</v>
      </c>
      <c r="B27" s="29" t="s">
        <v>44</v>
      </c>
      <c r="C27" s="30">
        <v>92.94</v>
      </c>
      <c r="D27" s="3"/>
      <c r="E27" s="31"/>
      <c r="F27" s="3"/>
      <c r="G27" s="3"/>
      <c r="H27" s="3"/>
      <c r="I27" s="3"/>
      <c r="J27" s="3" t="str">
        <f t="shared" si="1"/>
        <v>0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15.75" customHeight="1">
      <c r="A28" s="28">
        <v>24.0</v>
      </c>
      <c r="B28" s="29" t="s">
        <v>45</v>
      </c>
      <c r="C28" s="30">
        <v>101.82</v>
      </c>
      <c r="D28" s="3"/>
      <c r="E28" s="31"/>
      <c r="F28" s="3"/>
      <c r="G28" s="3"/>
      <c r="H28" s="3"/>
      <c r="I28" s="3"/>
      <c r="J28" s="3" t="str">
        <f t="shared" si="1"/>
        <v>0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15.75" customHeight="1">
      <c r="A29" s="28">
        <v>25.0</v>
      </c>
      <c r="B29" s="29" t="s">
        <v>46</v>
      </c>
      <c r="C29" s="30">
        <v>53.49</v>
      </c>
      <c r="D29" s="3"/>
      <c r="E29" s="31"/>
      <c r="F29" s="3"/>
      <c r="G29" s="3"/>
      <c r="H29" s="3"/>
      <c r="I29" s="3"/>
      <c r="J29" s="3" t="str">
        <f t="shared" si="1"/>
        <v>0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15.75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15.75" customHeight="1">
      <c r="A31" s="28">
        <v>27.0</v>
      </c>
      <c r="B31" s="29" t="s">
        <v>48</v>
      </c>
      <c r="C31" s="30">
        <v>116.68</v>
      </c>
      <c r="D31" s="3"/>
      <c r="E31" s="31"/>
      <c r="F31" s="3"/>
      <c r="G31" s="3"/>
      <c r="H31" s="3"/>
      <c r="I31" s="3"/>
      <c r="J31" s="3" t="str">
        <f t="shared" si="1"/>
        <v>0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15.75" customHeight="1">
      <c r="A32" s="28">
        <v>28.0</v>
      </c>
      <c r="B32" s="29" t="s">
        <v>49</v>
      </c>
      <c r="C32" s="30">
        <v>107.96</v>
      </c>
      <c r="D32" s="3"/>
      <c r="E32" s="31"/>
      <c r="F32" s="3"/>
      <c r="G32" s="3"/>
      <c r="H32" s="3"/>
      <c r="I32" s="3"/>
      <c r="J32" s="3" t="str">
        <f t="shared" si="1"/>
        <v>0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15.75" customHeight="1">
      <c r="A33" s="28">
        <v>29.0</v>
      </c>
      <c r="B33" s="29" t="s">
        <v>50</v>
      </c>
      <c r="C33" s="30">
        <v>248.89</v>
      </c>
      <c r="D33" s="3"/>
      <c r="E33" s="31"/>
      <c r="F33" s="3"/>
      <c r="G33" s="3"/>
      <c r="H33" s="3"/>
      <c r="I33" s="3"/>
      <c r="J33" s="3" t="str">
        <f t="shared" si="1"/>
        <v>0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15.75" customHeight="1">
      <c r="A34" s="28">
        <v>30.0</v>
      </c>
      <c r="B34" s="29" t="s">
        <v>51</v>
      </c>
      <c r="C34" s="30">
        <v>80.36</v>
      </c>
      <c r="D34" s="3"/>
      <c r="E34" s="31"/>
      <c r="F34" s="3"/>
      <c r="G34" s="3"/>
      <c r="H34" s="3"/>
      <c r="I34" s="3"/>
      <c r="J34" s="3" t="str">
        <f t="shared" si="1"/>
        <v>0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15.75" customHeight="1">
      <c r="A35" s="28">
        <v>31.0</v>
      </c>
      <c r="B35" s="29" t="s">
        <v>52</v>
      </c>
      <c r="C35" s="30">
        <v>52.46</v>
      </c>
      <c r="D35" s="3"/>
      <c r="E35" s="31"/>
      <c r="F35" s="27"/>
      <c r="G35" s="27"/>
      <c r="H35" s="27"/>
      <c r="I35" s="3"/>
      <c r="J35" s="3" t="str">
        <f t="shared" si="1"/>
        <v>0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15.75" customHeight="1">
      <c r="A36" s="28">
        <v>32.0</v>
      </c>
      <c r="B36" s="29" t="s">
        <v>53</v>
      </c>
      <c r="C36" s="30">
        <v>71.21</v>
      </c>
      <c r="D36" s="3"/>
      <c r="E36" s="31"/>
      <c r="F36" s="27"/>
      <c r="G36" s="27"/>
      <c r="H36" s="27"/>
      <c r="I36" s="3"/>
      <c r="J36" s="3" t="str">
        <f t="shared" si="1"/>
        <v>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15.75" customHeight="1">
      <c r="A37" s="28">
        <v>33.0</v>
      </c>
      <c r="B37" s="29" t="s">
        <v>54</v>
      </c>
      <c r="C37" s="30">
        <v>80.35</v>
      </c>
      <c r="D37" s="3"/>
      <c r="E37" s="31"/>
      <c r="F37" s="27"/>
      <c r="G37" s="27"/>
      <c r="H37" s="27"/>
      <c r="I37" s="3"/>
      <c r="J37" s="3" t="str">
        <f t="shared" si="1"/>
        <v>0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15.75" customHeight="1">
      <c r="A38" s="28">
        <v>34.0</v>
      </c>
      <c r="B38" s="29" t="s">
        <v>55</v>
      </c>
      <c r="C38" s="30">
        <v>64.18</v>
      </c>
      <c r="D38" s="3"/>
      <c r="E38" s="31"/>
      <c r="F38" s="27"/>
      <c r="G38" s="27"/>
      <c r="H38" s="27"/>
      <c r="I38" s="3"/>
      <c r="J38" s="3" t="str">
        <f t="shared" si="1"/>
        <v>0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15.75" customHeight="1">
      <c r="A39" s="28">
        <v>35.0</v>
      </c>
      <c r="B39" s="29" t="s">
        <v>56</v>
      </c>
      <c r="C39" s="30">
        <v>36.9</v>
      </c>
      <c r="D39" s="3"/>
      <c r="E39" s="31"/>
      <c r="F39" s="27"/>
      <c r="G39" s="27"/>
      <c r="H39" s="27"/>
      <c r="I39" s="3"/>
      <c r="J39" s="3" t="str">
        <f t="shared" si="1"/>
        <v>0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15.75" customHeight="1">
      <c r="A40" s="28">
        <v>36.0</v>
      </c>
      <c r="B40" s="29" t="s">
        <v>57</v>
      </c>
      <c r="C40" s="30">
        <v>101.54</v>
      </c>
      <c r="D40" s="3"/>
      <c r="E40" s="31"/>
      <c r="F40" s="27"/>
      <c r="G40" s="27"/>
      <c r="H40" s="27"/>
      <c r="I40" s="3"/>
      <c r="J40" s="3" t="str">
        <f t="shared" si="1"/>
        <v>0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/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15.75" customHeight="1">
      <c r="A42" s="28">
        <v>38.0</v>
      </c>
      <c r="B42" s="29" t="s">
        <v>59</v>
      </c>
      <c r="C42" s="30">
        <v>66.69</v>
      </c>
      <c r="D42" s="3"/>
      <c r="E42" s="31"/>
      <c r="F42" s="27"/>
      <c r="G42" s="27"/>
      <c r="H42" s="27"/>
      <c r="I42" s="3"/>
      <c r="J42" s="3" t="str">
        <f t="shared" si="1"/>
        <v>0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15.75" customHeight="1">
      <c r="A43" s="28">
        <v>39.0</v>
      </c>
      <c r="B43" s="29" t="s">
        <v>60</v>
      </c>
      <c r="C43" s="29">
        <v>150.85999999999999</v>
      </c>
      <c r="D43" s="3"/>
      <c r="E43" s="31"/>
      <c r="F43" s="27"/>
      <c r="G43" s="27"/>
      <c r="H43" s="27"/>
      <c r="I43" s="3"/>
      <c r="J43" s="3" t="str">
        <f t="shared" si="1"/>
        <v>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15.75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15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15.75" customHeight="1">
      <c r="A46" s="28">
        <v>42.0</v>
      </c>
      <c r="B46" s="29"/>
      <c r="C46" s="29"/>
      <c r="D46" s="3"/>
      <c r="E46" s="31"/>
      <c r="F46" s="27"/>
      <c r="G46" s="27"/>
      <c r="H46" s="27"/>
      <c r="I46" s="3"/>
      <c r="J46" s="3" t="str">
        <f t="shared" si="1"/>
        <v>0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15.75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15.7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15.7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0</v>
      </c>
      <c r="E61" s="3" t="str">
        <f t="shared" si="8"/>
        <v>0</v>
      </c>
      <c r="F61" s="3" t="str">
        <f t="shared" si="8"/>
        <v>0</v>
      </c>
      <c r="G61" s="3" t="str">
        <f t="shared" si="8"/>
        <v>0</v>
      </c>
      <c r="H61" s="3" t="str">
        <f t="shared" si="8"/>
        <v>0</v>
      </c>
      <c r="I61" s="3" t="str">
        <f t="shared" si="8"/>
        <v>0</v>
      </c>
      <c r="J61" s="3" t="str">
        <f t="shared" si="1"/>
        <v>0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No Issue</v>
      </c>
      <c r="P61" s="3" t="str">
        <f t="shared" si="7"/>
        <v>NoIssue</v>
      </c>
    </row>
    <row r="62" ht="15.75" customHeight="1">
      <c r="A62" s="10"/>
      <c r="B62" s="11" t="s">
        <v>3</v>
      </c>
      <c r="C62" s="39"/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/>
      <c r="E75" s="3"/>
      <c r="F75" s="3"/>
      <c r="G75" s="3"/>
      <c r="H75" s="3"/>
      <c r="I75" s="3"/>
      <c r="J75" s="3" t="str">
        <f t="shared" si="9"/>
        <v>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/>
      <c r="E76" s="3"/>
      <c r="F76" s="3"/>
      <c r="G76" s="3"/>
      <c r="H76" s="3"/>
      <c r="I76" s="3"/>
      <c r="J76" s="3" t="str">
        <f t="shared" si="9"/>
        <v>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/>
      <c r="E78" s="3"/>
      <c r="F78" s="3"/>
      <c r="G78" s="3"/>
      <c r="H78" s="3"/>
      <c r="I78" s="3"/>
      <c r="J78" s="3" t="str">
        <f t="shared" si="9"/>
        <v>0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/>
      <c r="E83" s="3"/>
      <c r="F83" s="3"/>
      <c r="G83" s="3"/>
      <c r="H83" s="3"/>
      <c r="I83" s="3"/>
      <c r="J83" s="3" t="str">
        <f t="shared" si="9"/>
        <v>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/>
      <c r="E99" s="3"/>
      <c r="F99" s="27"/>
      <c r="G99" s="27"/>
      <c r="H99" s="27"/>
      <c r="I99" s="3"/>
      <c r="J99" s="3" t="str">
        <f t="shared" si="9"/>
        <v>0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0</v>
      </c>
      <c r="E120" s="3" t="str">
        <f t="shared" si="16"/>
        <v>0</v>
      </c>
      <c r="F120" s="3" t="str">
        <f t="shared" si="16"/>
        <v>0</v>
      </c>
      <c r="G120" s="3" t="str">
        <f t="shared" si="16"/>
        <v>0</v>
      </c>
      <c r="H120" s="3" t="str">
        <f t="shared" si="16"/>
        <v>0</v>
      </c>
      <c r="I120" s="3" t="str">
        <f t="shared" si="16"/>
        <v>0</v>
      </c>
      <c r="J120" s="3" t="str">
        <f t="shared" si="9"/>
        <v>0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No Issue</v>
      </c>
      <c r="P120" s="3" t="str">
        <f t="shared" si="15"/>
        <v>NoIssue</v>
      </c>
    </row>
    <row r="121" ht="15.75" customHeight="1">
      <c r="A121" s="10"/>
      <c r="B121" s="11" t="s">
        <v>3</v>
      </c>
      <c r="C121" s="39"/>
      <c r="D121" s="13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/>
      <c r="E125" s="3"/>
      <c r="F125" s="3"/>
      <c r="G125" s="3"/>
      <c r="H125" s="3"/>
      <c r="I125" s="3"/>
      <c r="J125" s="3" t="str">
        <f t="shared" si="17"/>
        <v>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/>
      <c r="E144" s="3"/>
      <c r="F144" s="3"/>
      <c r="G144" s="3"/>
      <c r="H144" s="3"/>
      <c r="I144" s="3"/>
      <c r="J144" s="3" t="str">
        <f t="shared" si="17"/>
        <v>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/>
      <c r="E145" s="3"/>
      <c r="F145" s="3"/>
      <c r="G145" s="3"/>
      <c r="H145" s="3"/>
      <c r="I145" s="3"/>
      <c r="J145" s="3" t="str">
        <f t="shared" si="17"/>
        <v>0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/>
      <c r="E146" s="3"/>
      <c r="F146" s="3"/>
      <c r="G146" s="3"/>
      <c r="H146" s="3"/>
      <c r="I146" s="3"/>
      <c r="J146" s="3" t="str">
        <f t="shared" si="17"/>
        <v>0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/>
      <c r="E149" s="3"/>
      <c r="F149" s="3"/>
      <c r="G149" s="3"/>
      <c r="H149" s="3"/>
      <c r="I149" s="3"/>
      <c r="J149" s="3" t="str">
        <f t="shared" si="17"/>
        <v>0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/>
      <c r="E152" s="3"/>
      <c r="F152" s="27"/>
      <c r="G152" s="27"/>
      <c r="H152" s="27"/>
      <c r="I152" s="3"/>
      <c r="J152" s="3" t="str">
        <f t="shared" si="17"/>
        <v>0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/>
      <c r="E153" s="3"/>
      <c r="F153" s="27"/>
      <c r="G153" s="27"/>
      <c r="H153" s="27"/>
      <c r="I153" s="3"/>
      <c r="J153" s="3" t="str">
        <f t="shared" si="17"/>
        <v>0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/>
      <c r="E160" s="3"/>
      <c r="F160" s="27"/>
      <c r="G160" s="27"/>
      <c r="H160" s="27"/>
      <c r="I160" s="3"/>
      <c r="J160" s="3" t="str">
        <f t="shared" si="17"/>
        <v>0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0</v>
      </c>
      <c r="E179" s="3" t="str">
        <f t="shared" si="24"/>
        <v>0</v>
      </c>
      <c r="F179" s="3" t="str">
        <f t="shared" si="24"/>
        <v>0</v>
      </c>
      <c r="G179" s="3" t="str">
        <f t="shared" si="24"/>
        <v>0</v>
      </c>
      <c r="H179" s="3" t="str">
        <f t="shared" si="24"/>
        <v>0</v>
      </c>
      <c r="I179" s="3" t="str">
        <f t="shared" si="24"/>
        <v>0</v>
      </c>
      <c r="J179" s="3" t="str">
        <f t="shared" si="17"/>
        <v>0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NoIssue</v>
      </c>
    </row>
    <row r="180" ht="15.75" customHeight="1">
      <c r="A180" s="10"/>
      <c r="B180" s="11" t="s">
        <v>3</v>
      </c>
      <c r="C180" s="39"/>
      <c r="D180" s="13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/>
      <c r="E197" s="3"/>
      <c r="F197" s="3"/>
      <c r="G197" s="3"/>
      <c r="H197" s="3"/>
      <c r="I197" s="3"/>
      <c r="J197" s="3" t="str">
        <f t="shared" si="25"/>
        <v>0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/>
      <c r="E200" s="3"/>
      <c r="F200" s="3"/>
      <c r="G200" s="3"/>
      <c r="H200" s="3"/>
      <c r="I200" s="3"/>
      <c r="J200" s="3" t="str">
        <f t="shared" si="25"/>
        <v>0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/>
      <c r="E215" s="3"/>
      <c r="F215" s="27"/>
      <c r="G215" s="27"/>
      <c r="H215" s="27"/>
      <c r="I215" s="3"/>
      <c r="J215" s="3" t="str">
        <f t="shared" si="25"/>
        <v>0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/>
      <c r="E216" s="3"/>
      <c r="F216" s="27"/>
      <c r="G216" s="27"/>
      <c r="H216" s="27"/>
      <c r="I216" s="3"/>
      <c r="J216" s="3" t="str">
        <f t="shared" si="25"/>
        <v>0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/>
      <c r="E217" s="3"/>
      <c r="F217" s="27"/>
      <c r="G217" s="27"/>
      <c r="H217" s="27"/>
      <c r="I217" s="3"/>
      <c r="J217" s="3" t="str">
        <f t="shared" si="25"/>
        <v>0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/>
      <c r="E219" s="3"/>
      <c r="F219" s="27"/>
      <c r="G219" s="27"/>
      <c r="H219" s="27"/>
      <c r="I219" s="3"/>
      <c r="J219" s="3" t="str">
        <f t="shared" si="25"/>
        <v>0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0</v>
      </c>
      <c r="E238" s="3" t="str">
        <f t="shared" si="32"/>
        <v>0</v>
      </c>
      <c r="F238" s="3" t="str">
        <f t="shared" si="32"/>
        <v>0</v>
      </c>
      <c r="G238" s="3" t="str">
        <f t="shared" si="32"/>
        <v>0</v>
      </c>
      <c r="H238" s="3" t="str">
        <f t="shared" si="32"/>
        <v>0</v>
      </c>
      <c r="I238" s="3" t="str">
        <f t="shared" si="32"/>
        <v>0</v>
      </c>
      <c r="J238" s="3" t="str">
        <f t="shared" si="25"/>
        <v>0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No Issue</v>
      </c>
      <c r="P238" s="3" t="str">
        <f t="shared" si="31"/>
        <v>NoIssue</v>
      </c>
    </row>
    <row r="239" ht="15.75" customHeight="1">
      <c r="A239" s="10"/>
      <c r="B239" s="11" t="s">
        <v>3</v>
      </c>
      <c r="C239" s="39"/>
      <c r="D239" s="13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/>
      <c r="E244" s="3"/>
      <c r="F244" s="3"/>
      <c r="G244" s="3"/>
      <c r="H244" s="3"/>
      <c r="I244" s="3"/>
      <c r="J244" s="3" t="str">
        <f t="shared" si="33"/>
        <v>0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/>
      <c r="E245" s="3"/>
      <c r="F245" s="3"/>
      <c r="G245" s="3"/>
      <c r="H245" s="3"/>
      <c r="I245" s="3"/>
      <c r="J245" s="3" t="str">
        <f t="shared" si="33"/>
        <v>0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/>
      <c r="E254" s="3"/>
      <c r="F254" s="3"/>
      <c r="G254" s="3"/>
      <c r="H254" s="3"/>
      <c r="I254" s="3"/>
      <c r="J254" s="3" t="str">
        <f t="shared" si="33"/>
        <v>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/>
      <c r="E255" s="3"/>
      <c r="F255" s="3"/>
      <c r="G255" s="3"/>
      <c r="H255" s="3"/>
      <c r="I255" s="3"/>
      <c r="J255" s="3" t="str">
        <f t="shared" si="33"/>
        <v>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/>
      <c r="E261" s="3"/>
      <c r="F261" s="3"/>
      <c r="G261" s="3"/>
      <c r="H261" s="3"/>
      <c r="I261" s="3"/>
      <c r="J261" s="3" t="str">
        <f t="shared" si="33"/>
        <v>0</v>
      </c>
      <c r="K261" s="27" t="str">
        <f t="shared" si="34"/>
        <v> No Issue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/>
      <c r="E269" s="3"/>
      <c r="F269" s="3"/>
      <c r="G269" s="3"/>
      <c r="H269" s="3"/>
      <c r="I269" s="3"/>
      <c r="J269" s="3" t="str">
        <f t="shared" si="33"/>
        <v>0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/>
      <c r="E272" s="3"/>
      <c r="F272" s="27"/>
      <c r="G272" s="27"/>
      <c r="H272" s="27"/>
      <c r="I272" s="3"/>
      <c r="J272" s="3" t="str">
        <f t="shared" si="33"/>
        <v>0</v>
      </c>
      <c r="K272" s="27" t="str">
        <f t="shared" si="34"/>
        <v> No Issue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/>
      <c r="E274" s="3"/>
      <c r="F274" s="27"/>
      <c r="G274" s="27"/>
      <c r="H274" s="27"/>
      <c r="I274" s="3"/>
      <c r="J274" s="3" t="str">
        <f t="shared" si="33"/>
        <v>0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/>
      <c r="E275" s="3"/>
      <c r="F275" s="27"/>
      <c r="G275" s="27"/>
      <c r="H275" s="27"/>
      <c r="I275" s="3"/>
      <c r="J275" s="3" t="str">
        <f t="shared" si="33"/>
        <v>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/>
      <c r="E276" s="3"/>
      <c r="F276" s="27"/>
      <c r="G276" s="27"/>
      <c r="H276" s="27"/>
      <c r="I276" s="3"/>
      <c r="J276" s="3" t="str">
        <f t="shared" si="33"/>
        <v>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/>
      <c r="E278" s="3"/>
      <c r="F278" s="27"/>
      <c r="G278" s="27"/>
      <c r="H278" s="27"/>
      <c r="I278" s="3"/>
      <c r="J278" s="3" t="str">
        <f t="shared" si="33"/>
        <v>0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0</v>
      </c>
      <c r="E297" s="3" t="str">
        <f t="shared" si="40"/>
        <v>0</v>
      </c>
      <c r="F297" s="3" t="str">
        <f t="shared" si="40"/>
        <v>0</v>
      </c>
      <c r="G297" s="3" t="str">
        <f t="shared" si="40"/>
        <v>0</v>
      </c>
      <c r="H297" s="3" t="str">
        <f t="shared" si="40"/>
        <v>0</v>
      </c>
      <c r="I297" s="3" t="str">
        <f t="shared" si="40"/>
        <v>0</v>
      </c>
      <c r="J297" s="3" t="str">
        <f t="shared" si="33"/>
        <v>0</v>
      </c>
      <c r="K297" s="27" t="str">
        <f t="shared" si="34"/>
        <v> No Issue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No Issue</v>
      </c>
      <c r="P297" s="3" t="str">
        <f t="shared" si="39"/>
        <v>NoIssue</v>
      </c>
    </row>
    <row r="298" ht="15.75" customHeight="1">
      <c r="A298" s="10"/>
      <c r="B298" s="11" t="s">
        <v>3</v>
      </c>
      <c r="C298" s="39"/>
      <c r="D298" s="13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/>
      <c r="E312" s="3"/>
      <c r="F312" s="3"/>
      <c r="G312" s="3"/>
      <c r="H312" s="3"/>
      <c r="I312" s="3"/>
      <c r="J312" s="3" t="str">
        <f t="shared" si="41"/>
        <v>0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/>
      <c r="E315" s="3"/>
      <c r="F315" s="3"/>
      <c r="G315" s="3"/>
      <c r="H315" s="3"/>
      <c r="I315" s="3"/>
      <c r="J315" s="3" t="str">
        <f t="shared" si="41"/>
        <v>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/>
      <c r="E316" s="3"/>
      <c r="F316" s="3"/>
      <c r="G316" s="3"/>
      <c r="H316" s="3"/>
      <c r="I316" s="3"/>
      <c r="J316" s="3" t="str">
        <f t="shared" si="41"/>
        <v>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/>
      <c r="E318" s="3"/>
      <c r="F318" s="3"/>
      <c r="G318" s="3"/>
      <c r="H318" s="3"/>
      <c r="I318" s="3"/>
      <c r="J318" s="3" t="str">
        <f t="shared" si="41"/>
        <v>0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/>
      <c r="E319" s="3"/>
      <c r="F319" s="3"/>
      <c r="G319" s="3"/>
      <c r="H319" s="3"/>
      <c r="I319" s="3"/>
      <c r="J319" s="3" t="str">
        <f t="shared" si="41"/>
        <v>0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/>
      <c r="E320" s="3"/>
      <c r="F320" s="3"/>
      <c r="G320" s="3"/>
      <c r="H320" s="3"/>
      <c r="I320" s="3"/>
      <c r="J320" s="3" t="str">
        <f t="shared" si="41"/>
        <v>0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/>
      <c r="E326" s="3"/>
      <c r="F326" s="3"/>
      <c r="G326" s="3"/>
      <c r="H326" s="3"/>
      <c r="I326" s="3"/>
      <c r="J326" s="3" t="str">
        <f t="shared" si="41"/>
        <v>0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/>
      <c r="E333" s="3"/>
      <c r="F333" s="27"/>
      <c r="G333" s="27"/>
      <c r="H333" s="27"/>
      <c r="I333" s="3"/>
      <c r="J333" s="3" t="str">
        <f t="shared" si="41"/>
        <v>0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/>
      <c r="E334" s="3"/>
      <c r="F334" s="27"/>
      <c r="G334" s="27"/>
      <c r="H334" s="27"/>
      <c r="I334" s="3"/>
      <c r="J334" s="3" t="str">
        <f t="shared" si="41"/>
        <v>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/>
      <c r="E335" s="3"/>
      <c r="F335" s="27"/>
      <c r="G335" s="27"/>
      <c r="H335" s="27"/>
      <c r="I335" s="3"/>
      <c r="J335" s="3" t="str">
        <f t="shared" si="41"/>
        <v>0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/>
      <c r="E337" s="3"/>
      <c r="F337" s="27"/>
      <c r="G337" s="27"/>
      <c r="H337" s="27"/>
      <c r="I337" s="3"/>
      <c r="J337" s="3" t="str">
        <f t="shared" si="41"/>
        <v>0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0</v>
      </c>
      <c r="E356" s="3" t="str">
        <f t="shared" si="48"/>
        <v>0</v>
      </c>
      <c r="F356" s="3" t="str">
        <f t="shared" si="48"/>
        <v>0</v>
      </c>
      <c r="G356" s="3" t="str">
        <f t="shared" si="48"/>
        <v>0</v>
      </c>
      <c r="H356" s="3" t="str">
        <f t="shared" si="48"/>
        <v>0</v>
      </c>
      <c r="I356" s="3" t="str">
        <f t="shared" si="48"/>
        <v>0</v>
      </c>
      <c r="J356" s="3" t="str">
        <f t="shared" si="41"/>
        <v>0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No Issue</v>
      </c>
      <c r="P356" s="3" t="str">
        <f t="shared" si="47"/>
        <v>NoIssue</v>
      </c>
    </row>
    <row r="357" ht="15.75" customHeight="1">
      <c r="A357" s="10"/>
      <c r="B357" s="11" t="s">
        <v>3</v>
      </c>
      <c r="C357" s="39"/>
      <c r="D357" s="13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/>
      <c r="E363" s="3"/>
      <c r="F363" s="3"/>
      <c r="G363" s="3"/>
      <c r="H363" s="3"/>
      <c r="I363" s="3"/>
      <c r="J363" s="3" t="str">
        <f t="shared" si="49"/>
        <v>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/>
      <c r="E372" s="3"/>
      <c r="F372" s="3"/>
      <c r="G372" s="3"/>
      <c r="H372" s="3"/>
      <c r="I372" s="3"/>
      <c r="J372" s="3" t="str">
        <f t="shared" si="49"/>
        <v>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/>
      <c r="E392" s="3"/>
      <c r="F392" s="27"/>
      <c r="G392" s="27"/>
      <c r="H392" s="27"/>
      <c r="I392" s="3"/>
      <c r="J392" s="3" t="str">
        <f t="shared" si="49"/>
        <v>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/>
      <c r="F394" s="27"/>
      <c r="G394" s="27"/>
      <c r="H394" s="27"/>
      <c r="I394" s="3"/>
      <c r="J394" s="3" t="str">
        <f t="shared" si="49"/>
        <v>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0</v>
      </c>
      <c r="E415" s="3" t="str">
        <f t="shared" si="56"/>
        <v>0</v>
      </c>
      <c r="F415" s="3" t="str">
        <f t="shared" si="56"/>
        <v>0</v>
      </c>
      <c r="G415" s="3" t="str">
        <f t="shared" si="56"/>
        <v>0</v>
      </c>
      <c r="H415" s="3" t="str">
        <f t="shared" si="56"/>
        <v>0</v>
      </c>
      <c r="I415" s="3" t="str">
        <f t="shared" si="56"/>
        <v>0</v>
      </c>
      <c r="J415" s="3" t="str">
        <f t="shared" si="49"/>
        <v>0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No Issue</v>
      </c>
      <c r="P415" s="3" t="str">
        <f t="shared" si="55"/>
        <v>NoIssue</v>
      </c>
    </row>
    <row r="416" ht="15.75" customHeight="1">
      <c r="A416" s="10"/>
      <c r="B416" s="11" t="s">
        <v>3</v>
      </c>
      <c r="C416" s="39"/>
      <c r="D416" s="13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/>
      <c r="E418" s="3"/>
      <c r="F418" s="3"/>
      <c r="G418" s="3"/>
      <c r="H418" s="3"/>
      <c r="I418" s="3"/>
      <c r="J418" s="3" t="str">
        <f t="shared" ref="J418:J474" si="57">D418+E418-F418-G418+H418</f>
        <v>0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/>
      <c r="E419" s="3"/>
      <c r="F419" s="3"/>
      <c r="G419" s="3"/>
      <c r="H419" s="3"/>
      <c r="I419" s="3"/>
      <c r="J419" s="3" t="str">
        <f t="shared" si="57"/>
        <v>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/>
      <c r="E420" s="3"/>
      <c r="F420" s="3"/>
      <c r="G420" s="3"/>
      <c r="H420" s="3"/>
      <c r="I420" s="3"/>
      <c r="J420" s="3" t="str">
        <f t="shared" si="57"/>
        <v>0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/>
      <c r="E424" s="3"/>
      <c r="F424" s="3"/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/>
      <c r="E427" s="3"/>
      <c r="F427" s="3"/>
      <c r="G427" s="3"/>
      <c r="H427" s="3"/>
      <c r="I427" s="3"/>
      <c r="J427" s="3" t="str">
        <f t="shared" si="57"/>
        <v>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/>
      <c r="E431" s="3"/>
      <c r="F431" s="3"/>
      <c r="G431" s="3"/>
      <c r="H431" s="3"/>
      <c r="I431" s="3"/>
      <c r="J431" s="3" t="str">
        <f t="shared" si="57"/>
        <v>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/>
      <c r="E432" s="3"/>
      <c r="F432" s="3"/>
      <c r="G432" s="3"/>
      <c r="H432" s="3"/>
      <c r="I432" s="3"/>
      <c r="J432" s="3" t="str">
        <f t="shared" si="57"/>
        <v>0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/>
      <c r="E433" s="3"/>
      <c r="F433" s="3"/>
      <c r="G433" s="3"/>
      <c r="H433" s="3"/>
      <c r="I433" s="3"/>
      <c r="J433" s="3" t="str">
        <f t="shared" si="57"/>
        <v>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/>
      <c r="E434" s="3"/>
      <c r="F434" s="3"/>
      <c r="G434" s="3"/>
      <c r="H434" s="3"/>
      <c r="I434" s="3"/>
      <c r="J434" s="3" t="str">
        <f t="shared" si="57"/>
        <v>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/>
      <c r="E438" s="3"/>
      <c r="F438" s="3"/>
      <c r="G438" s="3"/>
      <c r="H438" s="3"/>
      <c r="I438" s="3"/>
      <c r="J438" s="3" t="str">
        <f t="shared" si="57"/>
        <v>0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/>
      <c r="E441" s="3"/>
      <c r="F441" s="3"/>
      <c r="G441" s="3"/>
      <c r="H441" s="3"/>
      <c r="I441" s="3"/>
      <c r="J441" s="3" t="str">
        <f t="shared" si="57"/>
        <v>0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/>
      <c r="E444" s="3"/>
      <c r="F444" s="3"/>
      <c r="G444" s="3"/>
      <c r="H444" s="3"/>
      <c r="I444" s="3"/>
      <c r="J444" s="3" t="str">
        <f t="shared" si="57"/>
        <v>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/>
      <c r="E447" s="3"/>
      <c r="F447" s="27"/>
      <c r="G447" s="27"/>
      <c r="H447" s="27"/>
      <c r="I447" s="3"/>
      <c r="J447" s="3" t="str">
        <f t="shared" si="57"/>
        <v>0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/>
      <c r="E449" s="3"/>
      <c r="F449" s="27"/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/>
      <c r="E451" s="3"/>
      <c r="F451" s="27"/>
      <c r="G451" s="27"/>
      <c r="H451" s="27"/>
      <c r="I451" s="3"/>
      <c r="J451" s="3" t="str">
        <f t="shared" si="57"/>
        <v>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/>
      <c r="E452" s="3"/>
      <c r="F452" s="27"/>
      <c r="G452" s="27"/>
      <c r="H452" s="27"/>
      <c r="I452" s="3"/>
      <c r="J452" s="3" t="str">
        <f t="shared" si="57"/>
        <v>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/>
      <c r="E453" s="3"/>
      <c r="F453" s="27"/>
      <c r="G453" s="27"/>
      <c r="H453" s="27"/>
      <c r="I453" s="3"/>
      <c r="J453" s="3" t="str">
        <f t="shared" si="57"/>
        <v>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/>
      <c r="E455" s="3"/>
      <c r="F455" s="27"/>
      <c r="G455" s="27"/>
      <c r="H455" s="27"/>
      <c r="I455" s="3"/>
      <c r="J455" s="3" t="str">
        <f t="shared" si="57"/>
        <v>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0</v>
      </c>
      <c r="E474" s="3" t="str">
        <f t="shared" si="64"/>
        <v>0</v>
      </c>
      <c r="F474" s="3" t="str">
        <f t="shared" si="64"/>
        <v>0</v>
      </c>
      <c r="G474" s="3" t="str">
        <f t="shared" si="64"/>
        <v>0</v>
      </c>
      <c r="H474" s="3" t="str">
        <f t="shared" si="64"/>
        <v>0</v>
      </c>
      <c r="I474" s="3" t="str">
        <f t="shared" si="64"/>
        <v>0</v>
      </c>
      <c r="J474" s="3" t="str">
        <f t="shared" si="57"/>
        <v>0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No Issue</v>
      </c>
      <c r="P474" s="3" t="str">
        <f t="shared" si="63"/>
        <v>NoIssue</v>
      </c>
    </row>
    <row r="475" ht="15.75" customHeight="1">
      <c r="A475" s="10"/>
      <c r="B475" s="11" t="s">
        <v>3</v>
      </c>
      <c r="C475" s="39"/>
      <c r="D475" s="13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/>
      <c r="E478" s="3"/>
      <c r="F478" s="3"/>
      <c r="G478" s="3"/>
      <c r="H478" s="3"/>
      <c r="I478" s="3"/>
      <c r="J478" s="3" t="str">
        <f t="shared" si="65"/>
        <v>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/>
      <c r="E499" s="3"/>
      <c r="F499" s="3"/>
      <c r="G499" s="3"/>
      <c r="H499" s="3"/>
      <c r="I499" s="3"/>
      <c r="J499" s="3" t="str">
        <f t="shared" si="65"/>
        <v>0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/>
      <c r="E500" s="3"/>
      <c r="F500" s="3"/>
      <c r="G500" s="3"/>
      <c r="H500" s="3"/>
      <c r="I500" s="3"/>
      <c r="J500" s="3" t="str">
        <f t="shared" si="65"/>
        <v>0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/>
      <c r="E501" s="3"/>
      <c r="F501" s="3"/>
      <c r="G501" s="3"/>
      <c r="H501" s="3"/>
      <c r="I501" s="3"/>
      <c r="J501" s="3" t="str">
        <f t="shared" si="65"/>
        <v>0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/>
      <c r="E503" s="3"/>
      <c r="F503" s="3"/>
      <c r="G503" s="3"/>
      <c r="H503" s="3"/>
      <c r="I503" s="3"/>
      <c r="J503" s="3" t="str">
        <f t="shared" si="65"/>
        <v>0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/>
      <c r="E505" s="3"/>
      <c r="F505" s="3"/>
      <c r="G505" s="3"/>
      <c r="H505" s="3"/>
      <c r="I505" s="3"/>
      <c r="J505" s="3" t="str">
        <f t="shared" si="65"/>
        <v>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/>
      <c r="E506" s="3"/>
      <c r="F506" s="27"/>
      <c r="G506" s="27"/>
      <c r="H506" s="27"/>
      <c r="I506" s="3"/>
      <c r="J506" s="3" t="str">
        <f t="shared" si="65"/>
        <v>0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/>
      <c r="E510" s="3"/>
      <c r="F510" s="27"/>
      <c r="G510" s="27"/>
      <c r="H510" s="27"/>
      <c r="I510" s="3"/>
      <c r="J510" s="3" t="str">
        <f t="shared" si="65"/>
        <v>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/>
      <c r="E511" s="3"/>
      <c r="F511" s="27"/>
      <c r="G511" s="27"/>
      <c r="H511" s="27"/>
      <c r="I511" s="3"/>
      <c r="J511" s="3" t="str">
        <f t="shared" si="65"/>
        <v>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/>
      <c r="E512" s="3"/>
      <c r="F512" s="27"/>
      <c r="G512" s="27"/>
      <c r="H512" s="27"/>
      <c r="I512" s="3"/>
      <c r="J512" s="3" t="str">
        <f t="shared" si="65"/>
        <v>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/>
      <c r="E514" s="3"/>
      <c r="F514" s="27"/>
      <c r="G514" s="27"/>
      <c r="H514" s="27"/>
      <c r="I514" s="3"/>
      <c r="J514" s="3" t="str">
        <f t="shared" si="65"/>
        <v>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0</v>
      </c>
      <c r="E533" s="3" t="str">
        <f t="shared" si="72"/>
        <v>0</v>
      </c>
      <c r="F533" s="3" t="str">
        <f t="shared" si="72"/>
        <v>0</v>
      </c>
      <c r="G533" s="3" t="str">
        <f t="shared" si="72"/>
        <v>0</v>
      </c>
      <c r="H533" s="3" t="str">
        <f t="shared" si="72"/>
        <v>0</v>
      </c>
      <c r="I533" s="3" t="str">
        <f t="shared" si="72"/>
        <v>0</v>
      </c>
      <c r="J533" s="3" t="str">
        <f t="shared" si="65"/>
        <v>0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No Issue</v>
      </c>
      <c r="P533" s="3" t="str">
        <f t="shared" si="71"/>
        <v>NoIssue</v>
      </c>
    </row>
    <row r="534" ht="15.75" customHeight="1">
      <c r="A534" s="10"/>
      <c r="B534" s="11" t="s">
        <v>3</v>
      </c>
      <c r="C534" s="39"/>
      <c r="D534" s="13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/>
      <c r="E540" s="3"/>
      <c r="F540" s="3"/>
      <c r="G540" s="3"/>
      <c r="H540" s="3"/>
      <c r="I540" s="3"/>
      <c r="J540" s="3" t="str">
        <f t="shared" si="73"/>
        <v>0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/>
      <c r="E547" s="3"/>
      <c r="F547" s="3"/>
      <c r="G547" s="3"/>
      <c r="H547" s="3"/>
      <c r="I547" s="3"/>
      <c r="J547" s="3" t="str">
        <f t="shared" si="73"/>
        <v>0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/>
      <c r="E548" s="3"/>
      <c r="F548" s="3"/>
      <c r="G548" s="3"/>
      <c r="H548" s="3"/>
      <c r="I548" s="3"/>
      <c r="J548" s="3" t="str">
        <f t="shared" si="73"/>
        <v>0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/>
      <c r="E549" s="3"/>
      <c r="F549" s="3"/>
      <c r="G549" s="3"/>
      <c r="H549" s="3"/>
      <c r="I549" s="3"/>
      <c r="J549" s="3" t="str">
        <f t="shared" si="73"/>
        <v>0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/>
      <c r="E550" s="3"/>
      <c r="F550" s="3"/>
      <c r="G550" s="3"/>
      <c r="H550" s="3"/>
      <c r="I550" s="3"/>
      <c r="J550" s="3" t="str">
        <f t="shared" si="73"/>
        <v>0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/>
      <c r="E551" s="3"/>
      <c r="F551" s="3"/>
      <c r="G551" s="3"/>
      <c r="H551" s="3"/>
      <c r="I551" s="3"/>
      <c r="J551" s="3" t="str">
        <f t="shared" si="73"/>
        <v>0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/>
      <c r="E552" s="3"/>
      <c r="F552" s="3"/>
      <c r="G552" s="3"/>
      <c r="H552" s="3"/>
      <c r="I552" s="3"/>
      <c r="J552" s="3" t="str">
        <f t="shared" si="73"/>
        <v>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/>
      <c r="E554" s="3"/>
      <c r="F554" s="3"/>
      <c r="G554" s="3"/>
      <c r="H554" s="3"/>
      <c r="I554" s="3"/>
      <c r="J554" s="3" t="str">
        <f t="shared" si="73"/>
        <v>0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/>
      <c r="E555" s="3"/>
      <c r="F555" s="3"/>
      <c r="G555" s="3"/>
      <c r="H555" s="3"/>
      <c r="I555" s="3"/>
      <c r="J555" s="3" t="str">
        <f t="shared" si="73"/>
        <v>0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/>
      <c r="E558" s="3"/>
      <c r="F558" s="3"/>
      <c r="G558" s="3"/>
      <c r="H558" s="3"/>
      <c r="I558" s="3"/>
      <c r="J558" s="3" t="str">
        <f t="shared" si="73"/>
        <v>0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/>
      <c r="E560" s="3"/>
      <c r="F560" s="3"/>
      <c r="G560" s="3"/>
      <c r="H560" s="3"/>
      <c r="I560" s="3"/>
      <c r="J560" s="3" t="str">
        <f t="shared" si="73"/>
        <v>0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/>
      <c r="E562" s="3"/>
      <c r="F562" s="3"/>
      <c r="G562" s="3"/>
      <c r="H562" s="3"/>
      <c r="I562" s="3"/>
      <c r="J562" s="3" t="str">
        <f t="shared" si="73"/>
        <v>0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/>
      <c r="E564" s="3"/>
      <c r="F564" s="3"/>
      <c r="G564" s="3"/>
      <c r="H564" s="3"/>
      <c r="I564" s="3"/>
      <c r="J564" s="3" t="str">
        <f t="shared" si="73"/>
        <v>0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/>
      <c r="E565" s="3"/>
      <c r="F565" s="27"/>
      <c r="G565" s="27"/>
      <c r="H565" s="27"/>
      <c r="I565" s="3"/>
      <c r="J565" s="3" t="str">
        <f t="shared" si="73"/>
        <v>0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/>
      <c r="E566" s="3"/>
      <c r="F566" s="27"/>
      <c r="G566" s="27"/>
      <c r="H566" s="27"/>
      <c r="I566" s="3"/>
      <c r="J566" s="3" t="str">
        <f t="shared" si="73"/>
        <v>0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/>
      <c r="E567" s="3"/>
      <c r="F567" s="27"/>
      <c r="G567" s="27"/>
      <c r="H567" s="27"/>
      <c r="I567" s="3"/>
      <c r="J567" s="3" t="str">
        <f t="shared" si="73"/>
        <v>0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/>
      <c r="E569" s="3"/>
      <c r="F569" s="27"/>
      <c r="G569" s="27"/>
      <c r="H569" s="27"/>
      <c r="I569" s="3"/>
      <c r="J569" s="3" t="str">
        <f t="shared" si="73"/>
        <v>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/>
      <c r="E570" s="3"/>
      <c r="F570" s="27"/>
      <c r="G570" s="27"/>
      <c r="H570" s="27"/>
      <c r="I570" s="3"/>
      <c r="J570" s="3" t="str">
        <f t="shared" si="73"/>
        <v>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/>
      <c r="E571" s="3"/>
      <c r="F571" s="27"/>
      <c r="G571" s="27"/>
      <c r="H571" s="27"/>
      <c r="I571" s="3"/>
      <c r="J571" s="3" t="str">
        <f t="shared" si="73"/>
        <v>0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/>
      <c r="E573" s="3"/>
      <c r="F573" s="27"/>
      <c r="G573" s="27"/>
      <c r="H573" s="27"/>
      <c r="I573" s="3"/>
      <c r="J573" s="3" t="str">
        <f t="shared" si="73"/>
        <v>0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0</v>
      </c>
      <c r="E592" s="3" t="str">
        <f t="shared" si="80"/>
        <v>0</v>
      </c>
      <c r="F592" s="3" t="str">
        <f t="shared" si="80"/>
        <v>0</v>
      </c>
      <c r="G592" s="3" t="str">
        <f t="shared" si="80"/>
        <v>0</v>
      </c>
      <c r="H592" s="3" t="str">
        <f t="shared" si="80"/>
        <v>0</v>
      </c>
      <c r="I592" s="3" t="str">
        <f t="shared" si="80"/>
        <v>0</v>
      </c>
      <c r="J592" s="3" t="str">
        <f t="shared" si="73"/>
        <v>0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No Issue</v>
      </c>
      <c r="P592" s="3" t="str">
        <f t="shared" si="79"/>
        <v>NoIssue</v>
      </c>
    </row>
    <row r="593" ht="15.75" customHeight="1">
      <c r="A593" s="10"/>
      <c r="B593" s="11" t="s">
        <v>3</v>
      </c>
      <c r="C593" s="39"/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/>
      <c r="F599" s="3"/>
      <c r="G599" s="3"/>
      <c r="H599" s="3"/>
      <c r="I599" s="3"/>
      <c r="J599" s="3" t="str">
        <f t="shared" si="81"/>
        <v>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/>
      <c r="F626" s="27"/>
      <c r="G626" s="27"/>
      <c r="H626" s="27"/>
      <c r="I626" s="3"/>
      <c r="J626" s="3" t="str">
        <f t="shared" si="81"/>
        <v>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/>
      <c r="F632" s="27"/>
      <c r="G632" s="27"/>
      <c r="H632" s="27"/>
      <c r="I632" s="3"/>
      <c r="J632" s="3" t="str">
        <f t="shared" si="81"/>
        <v>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0</v>
      </c>
      <c r="F651" s="3" t="str">
        <f t="shared" si="88"/>
        <v>0</v>
      </c>
      <c r="G651" s="3" t="str">
        <f t="shared" si="88"/>
        <v>0</v>
      </c>
      <c r="H651" s="3" t="str">
        <f t="shared" si="88"/>
        <v>0</v>
      </c>
      <c r="I651" s="3" t="str">
        <f t="shared" si="88"/>
        <v>0</v>
      </c>
      <c r="J651" s="3" t="str">
        <f t="shared" si="81"/>
        <v>0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No Issue</v>
      </c>
      <c r="P651" s="3" t="str">
        <f t="shared" si="87"/>
        <v>NoIssue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5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0</v>
      </c>
      <c r="E890" s="3" t="str">
        <f t="shared" si="121"/>
        <v>0</v>
      </c>
      <c r="F890" s="3" t="str">
        <f t="shared" si="121"/>
        <v>0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0</v>
      </c>
      <c r="J890" s="3" t="str">
        <f t="shared" ref="J890:J946" si="123">D890+E890-F890-G890+H890</f>
        <v>0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0</v>
      </c>
      <c r="E891" s="3" t="str">
        <f t="shared" si="122"/>
        <v>0</v>
      </c>
      <c r="F891" s="3" t="str">
        <f t="shared" si="122"/>
        <v>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0</v>
      </c>
      <c r="J891" s="3" t="str">
        <f t="shared" si="123"/>
        <v>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0</v>
      </c>
      <c r="E892" s="3" t="str">
        <f t="shared" si="130"/>
        <v>0</v>
      </c>
      <c r="F892" s="3" t="str">
        <f t="shared" si="130"/>
        <v>0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0</v>
      </c>
      <c r="J892" s="3" t="str">
        <f t="shared" si="123"/>
        <v>0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0</v>
      </c>
      <c r="E893" s="3" t="str">
        <f t="shared" si="131"/>
        <v>0</v>
      </c>
      <c r="F893" s="3" t="str">
        <f t="shared" si="131"/>
        <v>0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0</v>
      </c>
      <c r="J893" s="3" t="str">
        <f t="shared" si="123"/>
        <v>0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0</v>
      </c>
      <c r="E894" s="3" t="str">
        <f t="shared" si="132"/>
        <v>0</v>
      </c>
      <c r="F894" s="3" t="str">
        <f t="shared" si="132"/>
        <v>0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0</v>
      </c>
      <c r="J894" s="3" t="str">
        <f t="shared" si="123"/>
        <v>0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0</v>
      </c>
      <c r="E895" s="3" t="str">
        <f t="shared" si="133"/>
        <v>0</v>
      </c>
      <c r="F895" s="3" t="str">
        <f t="shared" si="133"/>
        <v>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0</v>
      </c>
      <c r="J895" s="3" t="str">
        <f t="shared" si="123"/>
        <v>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0</v>
      </c>
      <c r="E896" s="3" t="str">
        <f t="shared" si="134"/>
        <v>0</v>
      </c>
      <c r="F896" s="3" t="str">
        <f t="shared" si="134"/>
        <v>0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0</v>
      </c>
      <c r="J896" s="3" t="str">
        <f t="shared" si="123"/>
        <v>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0</v>
      </c>
      <c r="E899" s="3" t="str">
        <f t="shared" si="137"/>
        <v>0</v>
      </c>
      <c r="F899" s="3" t="str">
        <f t="shared" si="137"/>
        <v>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0</v>
      </c>
      <c r="J899" s="3" t="str">
        <f t="shared" si="123"/>
        <v>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0</v>
      </c>
      <c r="E900" s="3" t="str">
        <f t="shared" si="138"/>
        <v>0</v>
      </c>
      <c r="F900" s="3" t="str">
        <f t="shared" si="138"/>
        <v>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0</v>
      </c>
      <c r="J900" s="3" t="str">
        <f t="shared" si="123"/>
        <v>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0</v>
      </c>
      <c r="E901" s="3" t="str">
        <f t="shared" si="139"/>
        <v>0</v>
      </c>
      <c r="F901" s="3" t="str">
        <f t="shared" si="139"/>
        <v>0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0</v>
      </c>
      <c r="J901" s="3" t="str">
        <f t="shared" si="123"/>
        <v>0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0</v>
      </c>
      <c r="E902" s="3" t="str">
        <f t="shared" si="140"/>
        <v>0</v>
      </c>
      <c r="F902" s="3" t="str">
        <f t="shared" si="140"/>
        <v>0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0</v>
      </c>
      <c r="J902" s="3" t="str">
        <f t="shared" si="123"/>
        <v>0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0</v>
      </c>
      <c r="E903" s="3" t="str">
        <f t="shared" si="141"/>
        <v>0</v>
      </c>
      <c r="F903" s="3" t="str">
        <f t="shared" si="141"/>
        <v>0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0</v>
      </c>
      <c r="J903" s="3" t="str">
        <f t="shared" si="123"/>
        <v>0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0</v>
      </c>
      <c r="E904" s="3" t="str">
        <f t="shared" si="142"/>
        <v>0</v>
      </c>
      <c r="F904" s="3" t="str">
        <f t="shared" si="142"/>
        <v>0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0</v>
      </c>
      <c r="J904" s="3" t="str">
        <f t="shared" si="123"/>
        <v>0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0</v>
      </c>
      <c r="E905" s="3" t="str">
        <f t="shared" si="143"/>
        <v>0</v>
      </c>
      <c r="F905" s="3" t="str">
        <f t="shared" si="143"/>
        <v>0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0</v>
      </c>
      <c r="J905" s="3" t="str">
        <f t="shared" si="123"/>
        <v>0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0</v>
      </c>
      <c r="E906" s="3" t="str">
        <f t="shared" si="144"/>
        <v>0</v>
      </c>
      <c r="F906" s="3" t="str">
        <f t="shared" si="144"/>
        <v>0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0</v>
      </c>
      <c r="J906" s="3" t="str">
        <f t="shared" si="123"/>
        <v>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0</v>
      </c>
      <c r="E907" s="3" t="str">
        <f t="shared" si="145"/>
        <v>0</v>
      </c>
      <c r="F907" s="3" t="str">
        <f t="shared" si="145"/>
        <v>0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0</v>
      </c>
      <c r="J907" s="3" t="str">
        <f t="shared" si="123"/>
        <v>0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0</v>
      </c>
      <c r="E908" s="3" t="str">
        <f t="shared" si="146"/>
        <v>0</v>
      </c>
      <c r="F908" s="3" t="str">
        <f t="shared" si="146"/>
        <v>0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0</v>
      </c>
      <c r="J908" s="3" t="str">
        <f t="shared" si="123"/>
        <v>0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0</v>
      </c>
      <c r="E909" s="3" t="str">
        <f t="shared" si="147"/>
        <v>0</v>
      </c>
      <c r="F909" s="3" t="str">
        <f t="shared" si="147"/>
        <v>0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0</v>
      </c>
      <c r="J909" s="3" t="str">
        <f t="shared" si="123"/>
        <v>0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0</v>
      </c>
      <c r="E910" s="3" t="str">
        <f t="shared" si="148"/>
        <v>0</v>
      </c>
      <c r="F910" s="3" t="str">
        <f t="shared" si="148"/>
        <v>0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0</v>
      </c>
      <c r="J910" s="3" t="str">
        <f t="shared" si="123"/>
        <v>0</v>
      </c>
      <c r="K910" s="27" t="str">
        <f t="shared" si="124"/>
        <v> No Issue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0</v>
      </c>
      <c r="E911" s="3" t="str">
        <f t="shared" si="149"/>
        <v>0</v>
      </c>
      <c r="F911" s="3" t="str">
        <f t="shared" si="149"/>
        <v>0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0</v>
      </c>
      <c r="J911" s="3" t="str">
        <f t="shared" si="123"/>
        <v>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0</v>
      </c>
      <c r="E912" s="3" t="str">
        <f t="shared" si="150"/>
        <v>0</v>
      </c>
      <c r="F912" s="3" t="str">
        <f t="shared" si="150"/>
        <v>0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0</v>
      </c>
      <c r="J912" s="3" t="str">
        <f t="shared" si="123"/>
        <v>0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0</v>
      </c>
      <c r="E913" s="3" t="str">
        <f t="shared" si="151"/>
        <v>0</v>
      </c>
      <c r="F913" s="3" t="str">
        <f t="shared" si="151"/>
        <v>0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0</v>
      </c>
      <c r="J913" s="3" t="str">
        <f t="shared" si="123"/>
        <v>0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0</v>
      </c>
      <c r="E914" s="3" t="str">
        <f t="shared" si="152"/>
        <v>0</v>
      </c>
      <c r="F914" s="3" t="str">
        <f t="shared" si="152"/>
        <v>0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0</v>
      </c>
      <c r="J914" s="3" t="str">
        <f t="shared" si="123"/>
        <v>0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0</v>
      </c>
      <c r="E916" s="3" t="str">
        <f t="shared" si="154"/>
        <v>0</v>
      </c>
      <c r="F916" s="3" t="str">
        <f t="shared" si="154"/>
        <v>0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0</v>
      </c>
      <c r="J916" s="3" t="str">
        <f t="shared" si="123"/>
        <v>0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0</v>
      </c>
      <c r="E917" s="3" t="str">
        <f t="shared" si="155"/>
        <v>0</v>
      </c>
      <c r="F917" s="3" t="str">
        <f t="shared" si="155"/>
        <v>0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0</v>
      </c>
      <c r="J917" s="3" t="str">
        <f t="shared" si="123"/>
        <v>0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0</v>
      </c>
      <c r="E918" s="3" t="str">
        <f t="shared" si="156"/>
        <v>0</v>
      </c>
      <c r="F918" s="3" t="str">
        <f t="shared" si="156"/>
        <v>0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0</v>
      </c>
      <c r="J918" s="3" t="str">
        <f t="shared" si="123"/>
        <v>0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0</v>
      </c>
      <c r="E919" s="3" t="str">
        <f t="shared" si="157"/>
        <v>0</v>
      </c>
      <c r="F919" s="3" t="str">
        <f t="shared" si="157"/>
        <v>0</v>
      </c>
      <c r="G919" s="3" t="str">
        <f t="shared" si="157"/>
        <v>0</v>
      </c>
      <c r="H919" s="3" t="str">
        <f t="shared" si="157"/>
        <v>0</v>
      </c>
      <c r="I919" s="3" t="str">
        <f t="shared" si="157"/>
        <v>0</v>
      </c>
      <c r="J919" s="3" t="str">
        <f t="shared" si="123"/>
        <v>0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0</v>
      </c>
      <c r="E920" s="3" t="str">
        <f t="shared" si="158"/>
        <v>0</v>
      </c>
      <c r="F920" s="3" t="str">
        <f t="shared" si="158"/>
        <v>0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0</v>
      </c>
      <c r="J920" s="3" t="str">
        <f t="shared" si="123"/>
        <v>0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0</v>
      </c>
      <c r="E921" s="3" t="str">
        <f t="shared" si="159"/>
        <v>0</v>
      </c>
      <c r="F921" s="3" t="str">
        <f t="shared" si="159"/>
        <v>0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0</v>
      </c>
      <c r="J921" s="3" t="str">
        <f t="shared" si="123"/>
        <v>0</v>
      </c>
      <c r="K921" s="27" t="str">
        <f t="shared" si="124"/>
        <v> No Issue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0</v>
      </c>
      <c r="E922" s="3" t="str">
        <f t="shared" si="160"/>
        <v>0</v>
      </c>
      <c r="F922" s="3" t="str">
        <f t="shared" si="160"/>
        <v>0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0</v>
      </c>
      <c r="J922" s="3" t="str">
        <f t="shared" si="123"/>
        <v>0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0</v>
      </c>
      <c r="E923" s="3" t="str">
        <f t="shared" si="161"/>
        <v>0</v>
      </c>
      <c r="F923" s="3" t="str">
        <f t="shared" si="161"/>
        <v>0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0</v>
      </c>
      <c r="J923" s="3" t="str">
        <f t="shared" si="123"/>
        <v>0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0</v>
      </c>
      <c r="E924" s="3" t="str">
        <f t="shared" si="162"/>
        <v>0</v>
      </c>
      <c r="F924" s="3" t="str">
        <f t="shared" si="162"/>
        <v>0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0</v>
      </c>
      <c r="J924" s="3" t="str">
        <f t="shared" si="123"/>
        <v>0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0</v>
      </c>
      <c r="E925" s="3" t="str">
        <f t="shared" si="163"/>
        <v>0</v>
      </c>
      <c r="F925" s="3" t="str">
        <f t="shared" si="163"/>
        <v>0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0</v>
      </c>
      <c r="J925" s="3" t="str">
        <f t="shared" si="123"/>
        <v>0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0</v>
      </c>
      <c r="E927" s="3" t="str">
        <f t="shared" si="165"/>
        <v>0</v>
      </c>
      <c r="F927" s="3" t="str">
        <f t="shared" si="165"/>
        <v>0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0</v>
      </c>
      <c r="J927" s="3" t="str">
        <f t="shared" si="123"/>
        <v>0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0</v>
      </c>
      <c r="E928" s="3" t="str">
        <f t="shared" si="166"/>
        <v>0</v>
      </c>
      <c r="F928" s="3" t="str">
        <f t="shared" si="166"/>
        <v>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0</v>
      </c>
      <c r="J928" s="3" t="str">
        <f t="shared" si="123"/>
        <v>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0</v>
      </c>
      <c r="E931" s="3" t="str">
        <f t="shared" si="169"/>
        <v>0</v>
      </c>
      <c r="F931" s="3" t="str">
        <f t="shared" si="169"/>
        <v>0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0</v>
      </c>
      <c r="J931" s="3" t="str">
        <f t="shared" si="123"/>
        <v>0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0</v>
      </c>
      <c r="E946" s="3" t="str">
        <f t="shared" si="184"/>
        <v>0</v>
      </c>
      <c r="F946" s="3" t="str">
        <f t="shared" si="184"/>
        <v>0</v>
      </c>
      <c r="G946" s="3" t="str">
        <f t="shared" si="184"/>
        <v>0</v>
      </c>
      <c r="H946" s="3" t="str">
        <f t="shared" si="184"/>
        <v>0</v>
      </c>
      <c r="I946" s="3" t="str">
        <f t="shared" si="184"/>
        <v>0</v>
      </c>
      <c r="J946" s="3" t="str">
        <f t="shared" si="123"/>
        <v>0</v>
      </c>
      <c r="K946" s="27" t="str">
        <f t="shared" si="124"/>
        <v> No Issue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No Issue</v>
      </c>
      <c r="P946" s="3" t="str">
        <f t="shared" si="129"/>
        <v>NoIssue</v>
      </c>
    </row>
  </sheetData>
  <mergeCells count="32">
    <mergeCell ref="K770:P770"/>
    <mergeCell ref="K711:P711"/>
    <mergeCell ref="K534:P534"/>
    <mergeCell ref="G593:H593"/>
    <mergeCell ref="G534:H534"/>
    <mergeCell ref="K652:P652"/>
    <mergeCell ref="K593:P593"/>
    <mergeCell ref="G770:H770"/>
    <mergeCell ref="G298:H298"/>
    <mergeCell ref="K298:P298"/>
    <mergeCell ref="K829:P829"/>
    <mergeCell ref="G829:H829"/>
    <mergeCell ref="G652:H652"/>
    <mergeCell ref="G711:H711"/>
    <mergeCell ref="G475:H475"/>
    <mergeCell ref="K475:P475"/>
    <mergeCell ref="G888:H888"/>
    <mergeCell ref="K888:P888"/>
    <mergeCell ref="K416:P416"/>
    <mergeCell ref="G416:H416"/>
    <mergeCell ref="G357:H357"/>
    <mergeCell ref="K357:P357"/>
    <mergeCell ref="K180:P180"/>
    <mergeCell ref="G180:H180"/>
    <mergeCell ref="K62:P62"/>
    <mergeCell ref="G3:H3"/>
    <mergeCell ref="K3:P3"/>
    <mergeCell ref="G121:H121"/>
    <mergeCell ref="K121:P121"/>
    <mergeCell ref="K239:P239"/>
    <mergeCell ref="G239:H239"/>
    <mergeCell ref="G62:H62"/>
  </mergeCells>
  <conditionalFormatting sqref="I359">
    <cfRule type="containsText" dxfId="0" priority="1" operator="containsText" text="Problem">
      <formula>NOT(ISERROR(SEARCH(("Problem"),(I359))))</formula>
    </cfRule>
  </conditionalFormatting>
  <conditionalFormatting sqref="I359">
    <cfRule type="containsText" dxfId="0" priority="2" operator="containsText" text="Problem">
      <formula>NOT(ISERROR(SEARCH(("Problem"),(I359))))</formula>
    </cfRule>
  </conditionalFormatting>
  <conditionalFormatting sqref="I359">
    <cfRule type="containsText" dxfId="0" priority="3" operator="containsText" text="Problem">
      <formula>NOT(ISERROR(SEARCH(("Problem"),(I359))))</formula>
    </cfRule>
  </conditionalFormatting>
  <conditionalFormatting sqref="E419:E446">
    <cfRule type="containsText" dxfId="0" priority="4" operator="containsText" text="Problem">
      <formula>NOT(ISERROR(SEARCH(("Problem"),(E419))))</formula>
    </cfRule>
  </conditionalFormatting>
  <conditionalFormatting sqref="E419:E446">
    <cfRule type="containsText" dxfId="0" priority="5" operator="containsText" text="Problem">
      <formula>NOT(ISERROR(SEARCH(("Problem"),(E419))))</formula>
    </cfRule>
  </conditionalFormatting>
  <conditionalFormatting sqref="E419:E446">
    <cfRule type="containsText" dxfId="0" priority="6" operator="containsText" text="Problem">
      <formula>NOT(ISERROR(SEARCH(("Problem"),(E419))))</formula>
    </cfRule>
  </conditionalFormatting>
  <conditionalFormatting sqref="B396:C396 B408:B411 B413:C414 C365:C395 C405:C411">
    <cfRule type="containsText" dxfId="0" priority="7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8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9" operator="containsText" text="Problem">
      <formula>NOT(ISERROR(SEARCH(("Problem"),(B396))))</formula>
    </cfRule>
  </conditionalFormatting>
  <conditionalFormatting sqref="D714:D741">
    <cfRule type="containsText" dxfId="0" priority="10" operator="containsText" text="Problem">
      <formula>NOT(ISERROR(SEARCH(("Problem"),(D714))))</formula>
    </cfRule>
  </conditionalFormatting>
  <conditionalFormatting sqref="D714:D741">
    <cfRule type="containsText" dxfId="0" priority="11" operator="containsText" text="Problem">
      <formula>NOT(ISERROR(SEARCH(("Problem"),(D714))))</formula>
    </cfRule>
  </conditionalFormatting>
  <conditionalFormatting sqref="D714:D741">
    <cfRule type="containsText" dxfId="0" priority="12" operator="containsText" text="Problem">
      <formula>NOT(ISERROR(SEARCH(("Problem"),(D714))))</formula>
    </cfRule>
  </conditionalFormatting>
  <conditionalFormatting sqref="A772:A827">
    <cfRule type="containsText" dxfId="0" priority="13" operator="containsText" text="Problem">
      <formula>NOT(ISERROR(SEARCH(("Problem"),(A772))))</formula>
    </cfRule>
  </conditionalFormatting>
  <conditionalFormatting sqref="A772:A827">
    <cfRule type="containsText" dxfId="0" priority="14" operator="containsText" text="Problem">
      <formula>NOT(ISERROR(SEARCH(("Problem"),(A772))))</formula>
    </cfRule>
  </conditionalFormatting>
  <conditionalFormatting sqref="A772:A827">
    <cfRule type="containsText" dxfId="0" priority="15" operator="containsText" text="Problem">
      <formula>NOT(ISERROR(SEARCH(("Problem"),(A772))))</formula>
    </cfRule>
  </conditionalFormatting>
  <conditionalFormatting sqref="D536">
    <cfRule type="containsText" dxfId="0" priority="16" operator="containsText" text="Problem">
      <formula>NOT(ISERROR(SEARCH(("Problem"),(D536))))</formula>
    </cfRule>
  </conditionalFormatting>
  <conditionalFormatting sqref="I713">
    <cfRule type="containsText" dxfId="0" priority="17" operator="containsText" text="Problem">
      <formula>NOT(ISERROR(SEARCH(("Problem"),(I713))))</formula>
    </cfRule>
  </conditionalFormatting>
  <conditionalFormatting sqref="I713">
    <cfRule type="containsText" dxfId="0" priority="18" operator="containsText" text="Problem">
      <formula>NOT(ISERROR(SEARCH(("Problem"),(I713))))</formula>
    </cfRule>
  </conditionalFormatting>
  <conditionalFormatting sqref="I713">
    <cfRule type="containsText" dxfId="0" priority="19" operator="containsText" text="Problem">
      <formula>NOT(ISERROR(SEARCH(("Problem"),(I713))))</formula>
    </cfRule>
  </conditionalFormatting>
  <conditionalFormatting sqref="I123">
    <cfRule type="containsText" dxfId="0" priority="20" operator="containsText" text="Problem">
      <formula>NOT(ISERROR(SEARCH(("Problem"),(I123))))</formula>
    </cfRule>
  </conditionalFormatting>
  <conditionalFormatting sqref="I123">
    <cfRule type="containsText" dxfId="0" priority="21" operator="containsText" text="Problem">
      <formula>NOT(ISERROR(SEARCH(("Problem"),(I123))))</formula>
    </cfRule>
  </conditionalFormatting>
  <conditionalFormatting sqref="I123">
    <cfRule type="containsText" dxfId="0" priority="22" operator="containsText" text="Problem">
      <formula>NOT(ISERROR(SEARCH(("Problem"),(I123))))</formula>
    </cfRule>
  </conditionalFormatting>
  <conditionalFormatting sqref="H831">
    <cfRule type="containsText" dxfId="0" priority="23" operator="containsText" text="Problem">
      <formula>NOT(ISERROR(SEARCH(("Problem"),(H831))))</formula>
    </cfRule>
  </conditionalFormatting>
  <conditionalFormatting sqref="H831">
    <cfRule type="containsText" dxfId="0" priority="24" operator="containsText" text="Problem">
      <formula>NOT(ISERROR(SEARCH(("Problem"),(H831))))</formula>
    </cfRule>
  </conditionalFormatting>
  <conditionalFormatting sqref="H831">
    <cfRule type="containsText" dxfId="0" priority="25" operator="containsText" text="Problem">
      <formula>NOT(ISERROR(SEARCH(("Problem"),(H831))))</formula>
    </cfRule>
  </conditionalFormatting>
  <conditionalFormatting sqref="A181:P181 A238:H238 I211:I238 J182:M238 O182:P238">
    <cfRule type="containsText" dxfId="0" priority="26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27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28" operator="containsText" text="Problem">
      <formula>NOT(ISERROR(SEARCH(("Problem"),(A181))))</formula>
    </cfRule>
  </conditionalFormatting>
  <conditionalFormatting sqref="G773:G800">
    <cfRule type="containsText" dxfId="0" priority="29" operator="containsText" text="Problem">
      <formula>NOT(ISERROR(SEARCH(("Problem"),(G773))))</formula>
    </cfRule>
  </conditionalFormatting>
  <conditionalFormatting sqref="G773:G800">
    <cfRule type="containsText" dxfId="0" priority="30" operator="containsText" text="Problem">
      <formula>NOT(ISERROR(SEARCH(("Problem"),(G773))))</formula>
    </cfRule>
  </conditionalFormatting>
  <conditionalFormatting sqref="G773:G800">
    <cfRule type="containsText" dxfId="0" priority="31" operator="containsText" text="Problem">
      <formula>NOT(ISERROR(SEARCH(("Problem"),(G773))))</formula>
    </cfRule>
  </conditionalFormatting>
  <conditionalFormatting sqref="F655:F682">
    <cfRule type="containsText" dxfId="0" priority="32" operator="containsText" text="Problem">
      <formula>NOT(ISERROR(SEARCH(("Problem"),(F655))))</formula>
    </cfRule>
  </conditionalFormatting>
  <conditionalFormatting sqref="F655:F682">
    <cfRule type="containsText" dxfId="0" priority="33" operator="containsText" text="Problem">
      <formula>NOT(ISERROR(SEARCH(("Problem"),(F655))))</formula>
    </cfRule>
  </conditionalFormatting>
  <conditionalFormatting sqref="F655:F682">
    <cfRule type="containsText" dxfId="0" priority="34" operator="containsText" text="Problem">
      <formula>NOT(ISERROR(SEARCH(("Problem"),(F655))))</formula>
    </cfRule>
  </conditionalFormatting>
  <conditionalFormatting sqref="H773:H800">
    <cfRule type="containsText" dxfId="0" priority="35" operator="containsText" text="Problem">
      <formula>NOT(ISERROR(SEARCH(("Problem"),(H773))))</formula>
    </cfRule>
  </conditionalFormatting>
  <conditionalFormatting sqref="H773:H800">
    <cfRule type="containsText" dxfId="0" priority="36" operator="containsText" text="Problem">
      <formula>NOT(ISERROR(SEARCH(("Problem"),(H773))))</formula>
    </cfRule>
  </conditionalFormatting>
  <conditionalFormatting sqref="H773:H800">
    <cfRule type="containsText" dxfId="0" priority="37" operator="containsText" text="Problem">
      <formula>NOT(ISERROR(SEARCH(("Problem"),(H773))))</formula>
    </cfRule>
  </conditionalFormatting>
  <conditionalFormatting sqref="I595">
    <cfRule type="containsText" dxfId="0" priority="38" operator="containsText" text="Problem">
      <formula>NOT(ISERROR(SEARCH(("Problem"),(I595))))</formula>
    </cfRule>
  </conditionalFormatting>
  <conditionalFormatting sqref="I595">
    <cfRule type="containsText" dxfId="0" priority="39" operator="containsText" text="Problem">
      <formula>NOT(ISERROR(SEARCH(("Problem"),(I595))))</formula>
    </cfRule>
  </conditionalFormatting>
  <conditionalFormatting sqref="I595">
    <cfRule type="containsText" dxfId="0" priority="40" operator="containsText" text="Problem">
      <formula>NOT(ISERROR(SEARCH(("Problem"),(I595))))</formula>
    </cfRule>
  </conditionalFormatting>
  <conditionalFormatting sqref="A180 J180:P180">
    <cfRule type="containsText" dxfId="0" priority="41" operator="containsText" text="Problem">
      <formula>NOT(ISERROR(SEARCH(("Problem"),(A180))))</formula>
    </cfRule>
  </conditionalFormatting>
  <conditionalFormatting sqref="A180 J180:P180">
    <cfRule type="containsText" dxfId="0" priority="42" operator="containsText" text="Problem">
      <formula>NOT(ISERROR(SEARCH(("Problem"),(A180))))</formula>
    </cfRule>
  </conditionalFormatting>
  <conditionalFormatting sqref="A180 J180:P180">
    <cfRule type="containsText" dxfId="0" priority="43" operator="containsText" text="Problem">
      <formula>NOT(ISERROR(SEARCH(("Problem"),(A180))))</formula>
    </cfRule>
  </conditionalFormatting>
  <conditionalFormatting sqref="I714:I741">
    <cfRule type="containsText" dxfId="0" priority="44" operator="containsText" text="Problem">
      <formula>NOT(ISERROR(SEARCH(("Problem"),(I714))))</formula>
    </cfRule>
  </conditionalFormatting>
  <conditionalFormatting sqref="I714:I741">
    <cfRule type="containsText" dxfId="0" priority="45" operator="containsText" text="Problem">
      <formula>NOT(ISERROR(SEARCH(("Problem"),(I714))))</formula>
    </cfRule>
  </conditionalFormatting>
  <conditionalFormatting sqref="I714:I741">
    <cfRule type="containsText" dxfId="0" priority="46" operator="containsText" text="Problem">
      <formula>NOT(ISERROR(SEARCH(("Problem"),(I714))))</formula>
    </cfRule>
  </conditionalFormatting>
  <conditionalFormatting sqref="I714:I741">
    <cfRule type="containsText" dxfId="0" priority="47" operator="containsText" text="Problem">
      <formula>NOT(ISERROR(SEARCH(("Problem"),(I714))))</formula>
    </cfRule>
  </conditionalFormatting>
  <conditionalFormatting sqref="B337:C337 B349:B352 B354:C355 C306:C336 C346:C352">
    <cfRule type="containsText" dxfId="0" priority="48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9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50" operator="containsText" text="Problem">
      <formula>NOT(ISERROR(SEARCH(("Problem"),(B337))))</formula>
    </cfRule>
  </conditionalFormatting>
  <conditionalFormatting sqref="A771:I771 A828:H828 I801:I828 J771:P828">
    <cfRule type="containsText" dxfId="0" priority="51" operator="containsText" text="Problem">
      <formula>NOT(ISERROR(SEARCH(("Problem"),(A771))))</formula>
    </cfRule>
  </conditionalFormatting>
  <conditionalFormatting sqref="A771:I771 A828:H828 I801:I828 J771:P828">
    <cfRule type="containsText" dxfId="0" priority="52" operator="containsText" text="Problem">
      <formula>NOT(ISERROR(SEARCH(("Problem"),(A771))))</formula>
    </cfRule>
  </conditionalFormatting>
  <conditionalFormatting sqref="A771:I771 A828:H828 I801:I828 J771:P828">
    <cfRule type="containsText" dxfId="0" priority="53" operator="containsText" text="Problem">
      <formula>NOT(ISERROR(SEARCH(("Problem"),(A771))))</formula>
    </cfRule>
  </conditionalFormatting>
  <conditionalFormatting sqref="D413:D414 E388:H414">
    <cfRule type="containsText" dxfId="0" priority="54" operator="containsText" text="Problem">
      <formula>NOT(ISERROR(SEARCH(("Problem"),(D413))))</formula>
    </cfRule>
  </conditionalFormatting>
  <conditionalFormatting sqref="D413:D414 E388:H414">
    <cfRule type="containsText" dxfId="0" priority="55" operator="containsText" text="Problem">
      <formula>NOT(ISERROR(SEARCH(("Problem"),(D413))))</formula>
    </cfRule>
  </conditionalFormatting>
  <conditionalFormatting sqref="D413:D414 E388:H414">
    <cfRule type="containsText" dxfId="0" priority="56" operator="containsText" text="Problem">
      <formula>NOT(ISERROR(SEARCH(("Problem"),(D413))))</formula>
    </cfRule>
  </conditionalFormatting>
  <conditionalFormatting sqref="D295:D296 E270:H296">
    <cfRule type="containsText" dxfId="0" priority="57" operator="containsText" text="Problem">
      <formula>NOT(ISERROR(SEARCH(("Problem"),(D295))))</formula>
    </cfRule>
  </conditionalFormatting>
  <conditionalFormatting sqref="D295:D296 E270:H296">
    <cfRule type="containsText" dxfId="0" priority="58" operator="containsText" text="Problem">
      <formula>NOT(ISERROR(SEARCH(("Problem"),(D295))))</formula>
    </cfRule>
  </conditionalFormatting>
  <conditionalFormatting sqref="D295:D296 E270:H296">
    <cfRule type="containsText" dxfId="0" priority="59" operator="containsText" text="Problem">
      <formula>NOT(ISERROR(SEARCH(("Problem"),(D295))))</formula>
    </cfRule>
  </conditionalFormatting>
  <conditionalFormatting sqref="E832:E859">
    <cfRule type="containsText" dxfId="0" priority="60" operator="containsText" text="Problem">
      <formula>NOT(ISERROR(SEARCH(("Problem"),(E832))))</formula>
    </cfRule>
  </conditionalFormatting>
  <conditionalFormatting sqref="E832:E859">
    <cfRule type="containsText" dxfId="0" priority="61" operator="containsText" text="Problem">
      <formula>NOT(ISERROR(SEARCH(("Problem"),(E832))))</formula>
    </cfRule>
  </conditionalFormatting>
  <conditionalFormatting sqref="E832:E859">
    <cfRule type="containsText" dxfId="0" priority="62" operator="containsText" text="Problem">
      <formula>NOT(ISERROR(SEARCH(("Problem"),(E832))))</formula>
    </cfRule>
  </conditionalFormatting>
  <conditionalFormatting sqref="G655:G682">
    <cfRule type="containsText" dxfId="0" priority="63" operator="containsText" text="Problem">
      <formula>NOT(ISERROR(SEARCH(("Problem"),(G655))))</formula>
    </cfRule>
  </conditionalFormatting>
  <conditionalFormatting sqref="G655:G682">
    <cfRule type="containsText" dxfId="0" priority="64" operator="containsText" text="Problem">
      <formula>NOT(ISERROR(SEARCH(("Problem"),(G655))))</formula>
    </cfRule>
  </conditionalFormatting>
  <conditionalFormatting sqref="G655:G682">
    <cfRule type="containsText" dxfId="0" priority="65" operator="containsText" text="Problem">
      <formula>NOT(ISERROR(SEARCH(("Problem"),(G655))))</formula>
    </cfRule>
  </conditionalFormatting>
  <conditionalFormatting sqref="D93:D117">
    <cfRule type="containsText" dxfId="0" priority="66" operator="containsText" text="Problem">
      <formula>NOT(ISERROR(SEARCH(("Problem"),(D93))))</formula>
    </cfRule>
  </conditionalFormatting>
  <conditionalFormatting sqref="D93:D117">
    <cfRule type="containsText" dxfId="0" priority="67" operator="containsText" text="Problem">
      <formula>NOT(ISERROR(SEARCH(("Problem"),(D93))))</formula>
    </cfRule>
  </conditionalFormatting>
  <conditionalFormatting sqref="A770 J770:P770">
    <cfRule type="containsText" dxfId="0" priority="68" operator="containsText" text="Problem">
      <formula>NOT(ISERROR(SEARCH(("Problem"),(A770))))</formula>
    </cfRule>
  </conditionalFormatting>
  <conditionalFormatting sqref="A770 J770:P770">
    <cfRule type="containsText" dxfId="0" priority="69" operator="containsText" text="Problem">
      <formula>NOT(ISERROR(SEARCH(("Problem"),(A770))))</formula>
    </cfRule>
  </conditionalFormatting>
  <conditionalFormatting sqref="A770 J770:P770">
    <cfRule type="containsText" dxfId="0" priority="70" operator="containsText" text="Problem">
      <formula>NOT(ISERROR(SEARCH(("Problem"),(A770))))</formula>
    </cfRule>
  </conditionalFormatting>
  <conditionalFormatting sqref="A417:I417 A474:H474 I447:I474 J417:P474">
    <cfRule type="containsText" dxfId="0" priority="71" operator="containsText" text="Problem">
      <formula>NOT(ISERROR(SEARCH(("Problem"),(A417))))</formula>
    </cfRule>
  </conditionalFormatting>
  <conditionalFormatting sqref="A417:I417 A474:H474 I447:I474 J417:P474">
    <cfRule type="containsText" dxfId="0" priority="72" operator="containsText" text="Problem">
      <formula>NOT(ISERROR(SEARCH(("Problem"),(A417))))</formula>
    </cfRule>
  </conditionalFormatting>
  <conditionalFormatting sqref="A417:I417 A474:H474 I447:I474 J417:P474">
    <cfRule type="containsText" dxfId="0" priority="73" operator="containsText" text="Problem">
      <formula>NOT(ISERROR(SEARCH(("Problem"),(A417))))</formula>
    </cfRule>
  </conditionalFormatting>
  <conditionalFormatting sqref="D531:D532 E506:H532">
    <cfRule type="containsText" dxfId="0" priority="74" operator="containsText" text="Problem">
      <formula>NOT(ISERROR(SEARCH(("Problem"),(D531))))</formula>
    </cfRule>
  </conditionalFormatting>
  <conditionalFormatting sqref="D531:D532 E506:H532">
    <cfRule type="containsText" dxfId="0" priority="75" operator="containsText" text="Problem">
      <formula>NOT(ISERROR(SEARCH(("Problem"),(D531))))</formula>
    </cfRule>
  </conditionalFormatting>
  <conditionalFormatting sqref="D531:D532 E506:H532">
    <cfRule type="containsText" dxfId="0" priority="76" operator="containsText" text="Problem">
      <formula>NOT(ISERROR(SEARCH(("Problem"),(D531))))</formula>
    </cfRule>
  </conditionalFormatting>
  <conditionalFormatting sqref="A418:A473">
    <cfRule type="containsText" dxfId="0" priority="77" operator="containsText" text="Problem">
      <formula>NOT(ISERROR(SEARCH(("Problem"),(A418))))</formula>
    </cfRule>
  </conditionalFormatting>
  <conditionalFormatting sqref="A418:A473">
    <cfRule type="containsText" dxfId="0" priority="78" operator="containsText" text="Problem">
      <formula>NOT(ISERROR(SEARCH(("Problem"),(A418))))</formula>
    </cfRule>
  </conditionalFormatting>
  <conditionalFormatting sqref="A418:A473">
    <cfRule type="containsText" dxfId="0" priority="79" operator="containsText" text="Problem">
      <formula>NOT(ISERROR(SEARCH(("Problem"),(A418))))</formula>
    </cfRule>
  </conditionalFormatting>
  <conditionalFormatting sqref="D177:D178 E152:H178">
    <cfRule type="containsText" dxfId="0" priority="80" operator="containsText" text="Problem">
      <formula>NOT(ISERROR(SEARCH(("Problem"),(D177))))</formula>
    </cfRule>
  </conditionalFormatting>
  <conditionalFormatting sqref="D177:D178 E152:H178">
    <cfRule type="containsText" dxfId="0" priority="81" operator="containsText" text="Problem">
      <formula>NOT(ISERROR(SEARCH(("Problem"),(D177))))</formula>
    </cfRule>
  </conditionalFormatting>
  <conditionalFormatting sqref="D177:D178 E152:H178">
    <cfRule type="containsText" dxfId="0" priority="82" operator="containsText" text="Problem">
      <formula>NOT(ISERROR(SEARCH(("Problem"),(D177))))</formula>
    </cfRule>
  </conditionalFormatting>
  <conditionalFormatting sqref="H655:H682">
    <cfRule type="containsText" dxfId="0" priority="83" operator="containsText" text="Problem">
      <formula>NOT(ISERROR(SEARCH(("Problem"),(H655))))</formula>
    </cfRule>
  </conditionalFormatting>
  <conditionalFormatting sqref="H655:H682">
    <cfRule type="containsText" dxfId="0" priority="84" operator="containsText" text="Problem">
      <formula>NOT(ISERROR(SEARCH(("Problem"),(H655))))</formula>
    </cfRule>
  </conditionalFormatting>
  <conditionalFormatting sqref="H655:H682">
    <cfRule type="containsText" dxfId="0" priority="85" operator="containsText" text="Problem">
      <formula>NOT(ISERROR(SEARCH(("Problem"),(H655))))</formula>
    </cfRule>
  </conditionalFormatting>
  <conditionalFormatting sqref="C239 E239:I239">
    <cfRule type="containsText" dxfId="0" priority="86" operator="containsText" text="Problem">
      <formula>NOT(ISERROR(SEARCH(("Problem"),(C239))))</formula>
    </cfRule>
  </conditionalFormatting>
  <conditionalFormatting sqref="C239 E239:I239">
    <cfRule type="containsText" dxfId="0" priority="87" operator="containsText" text="Problem">
      <formula>NOT(ISERROR(SEARCH(("Problem"),(C239))))</formula>
    </cfRule>
  </conditionalFormatting>
  <conditionalFormatting sqref="C239 E239:I239">
    <cfRule type="containsText" dxfId="0" priority="88" operator="containsText" text="Problem">
      <formula>NOT(ISERROR(SEARCH(("Problem"),(C239))))</formula>
    </cfRule>
  </conditionalFormatting>
  <conditionalFormatting sqref="D478:D505">
    <cfRule type="containsText" dxfId="0" priority="89" operator="containsText" text="Problem">
      <formula>NOT(ISERROR(SEARCH(("Problem"),(D478))))</formula>
    </cfRule>
  </conditionalFormatting>
  <conditionalFormatting sqref="D478:D505">
    <cfRule type="containsText" dxfId="0" priority="90" operator="containsText" text="Problem">
      <formula>NOT(ISERROR(SEARCH(("Problem"),(D478))))</formula>
    </cfRule>
  </conditionalFormatting>
  <conditionalFormatting sqref="D478:D505">
    <cfRule type="containsText" dxfId="0" priority="91" operator="containsText" text="Problem">
      <formula>NOT(ISERROR(SEARCH(("Problem"),(D478))))</formula>
    </cfRule>
  </conditionalFormatting>
  <conditionalFormatting sqref="A475 J475:P475">
    <cfRule type="containsText" dxfId="0" priority="92" operator="containsText" text="Problem">
      <formula>NOT(ISERROR(SEARCH(("Problem"),(A475))))</formula>
    </cfRule>
  </conditionalFormatting>
  <conditionalFormatting sqref="A475 J475:P475">
    <cfRule type="containsText" dxfId="0" priority="93" operator="containsText" text="Problem">
      <formula>NOT(ISERROR(SEARCH(("Problem"),(A475))))</formula>
    </cfRule>
  </conditionalFormatting>
  <conditionalFormatting sqref="A475 J475:P475">
    <cfRule type="containsText" dxfId="0" priority="94" operator="containsText" text="Problem">
      <formula>NOT(ISERROR(SEARCH(("Problem"),(A475))))</formula>
    </cfRule>
  </conditionalFormatting>
  <conditionalFormatting sqref="F242:F269">
    <cfRule type="containsText" dxfId="0" priority="95" operator="containsText" text="Problem">
      <formula>NOT(ISERROR(SEARCH(("Problem"),(F242))))</formula>
    </cfRule>
  </conditionalFormatting>
  <conditionalFormatting sqref="F242:F269">
    <cfRule type="containsText" dxfId="0" priority="96" operator="containsText" text="Problem">
      <formula>NOT(ISERROR(SEARCH(("Problem"),(F242))))</formula>
    </cfRule>
  </conditionalFormatting>
  <conditionalFormatting sqref="F242:F269">
    <cfRule type="containsText" dxfId="0" priority="97" operator="containsText" text="Problem">
      <formula>NOT(ISERROR(SEARCH(("Problem"),(F242))))</formula>
    </cfRule>
  </conditionalFormatting>
  <conditionalFormatting sqref="I655:I682">
    <cfRule type="containsText" dxfId="0" priority="98" operator="containsText" text="Problem">
      <formula>NOT(ISERROR(SEARCH(("Problem"),(I655))))</formula>
    </cfRule>
  </conditionalFormatting>
  <conditionalFormatting sqref="I655:I682">
    <cfRule type="containsText" dxfId="0" priority="99" operator="containsText" text="Problem">
      <formula>NOT(ISERROR(SEARCH(("Problem"),(I655))))</formula>
    </cfRule>
  </conditionalFormatting>
  <conditionalFormatting sqref="I655:I682">
    <cfRule type="containsText" dxfId="0" priority="100" operator="containsText" text="Problem">
      <formula>NOT(ISERROR(SEARCH(("Problem"),(I655))))</formula>
    </cfRule>
  </conditionalFormatting>
  <conditionalFormatting sqref="I655:I682">
    <cfRule type="containsText" dxfId="0" priority="101" operator="containsText" text="Problem">
      <formula>NOT(ISERROR(SEARCH(("Problem"),(I655))))</formula>
    </cfRule>
  </conditionalFormatting>
  <conditionalFormatting sqref="H418">
    <cfRule type="containsText" dxfId="0" priority="102" operator="containsText" text="Problem">
      <formula>NOT(ISERROR(SEARCH(("Problem"),(H418))))</formula>
    </cfRule>
  </conditionalFormatting>
  <conditionalFormatting sqref="H418">
    <cfRule type="containsText" dxfId="0" priority="103" operator="containsText" text="Problem">
      <formula>NOT(ISERROR(SEARCH(("Problem"),(H418))))</formula>
    </cfRule>
  </conditionalFormatting>
  <conditionalFormatting sqref="H418">
    <cfRule type="containsText" dxfId="0" priority="104" operator="containsText" text="Problem">
      <formula>NOT(ISERROR(SEARCH(("Problem"),(H418))))</formula>
    </cfRule>
  </conditionalFormatting>
  <conditionalFormatting sqref="H300">
    <cfRule type="containsText" dxfId="0" priority="105" operator="containsText" text="Problem">
      <formula>NOT(ISERROR(SEARCH(("Problem"),(H300))))</formula>
    </cfRule>
  </conditionalFormatting>
  <conditionalFormatting sqref="H300">
    <cfRule type="containsText" dxfId="0" priority="106" operator="containsText" text="Problem">
      <formula>NOT(ISERROR(SEARCH(("Problem"),(H300))))</formula>
    </cfRule>
  </conditionalFormatting>
  <conditionalFormatting sqref="H300">
    <cfRule type="containsText" dxfId="0" priority="107" operator="containsText" text="Problem">
      <formula>NOT(ISERROR(SEARCH(("Problem"),(H300))))</formula>
    </cfRule>
  </conditionalFormatting>
  <conditionalFormatting sqref="A357 J357:P357">
    <cfRule type="containsText" dxfId="0" priority="108" operator="containsText" text="Problem">
      <formula>NOT(ISERROR(SEARCH(("Problem"),(A357))))</formula>
    </cfRule>
  </conditionalFormatting>
  <conditionalFormatting sqref="A357 J357:P357">
    <cfRule type="containsText" dxfId="0" priority="109" operator="containsText" text="Problem">
      <formula>NOT(ISERROR(SEARCH(("Problem"),(A357))))</formula>
    </cfRule>
  </conditionalFormatting>
  <conditionalFormatting sqref="A357 J357:P357">
    <cfRule type="containsText" dxfId="0" priority="110" operator="containsText" text="Problem">
      <formula>NOT(ISERROR(SEARCH(("Problem"),(A357))))</formula>
    </cfRule>
  </conditionalFormatting>
  <conditionalFormatting sqref="D708:D709 E683:H709">
    <cfRule type="containsText" dxfId="0" priority="111" operator="containsText" text="Problem">
      <formula>NOT(ISERROR(SEARCH(("Problem"),(D708))))</formula>
    </cfRule>
  </conditionalFormatting>
  <conditionalFormatting sqref="D708:D709 E683:H709">
    <cfRule type="containsText" dxfId="0" priority="112" operator="containsText" text="Problem">
      <formula>NOT(ISERROR(SEARCH(("Problem"),(D708))))</formula>
    </cfRule>
  </conditionalFormatting>
  <conditionalFormatting sqref="D708:D709 E683:H709">
    <cfRule type="containsText" dxfId="0" priority="113" operator="containsText" text="Problem">
      <formula>NOT(ISERROR(SEARCH(("Problem"),(D708))))</formula>
    </cfRule>
  </conditionalFormatting>
  <conditionalFormatting sqref="B219:C219 B231:B234 B236:C237 C188:C218 C228:C234">
    <cfRule type="containsText" dxfId="0" priority="114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115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116" operator="containsText" text="Problem">
      <formula>NOT(ISERROR(SEARCH(("Problem"),(B219))))</formula>
    </cfRule>
  </conditionalFormatting>
  <conditionalFormatting sqref="G772">
    <cfRule type="containsText" dxfId="0" priority="117" operator="containsText" text="Problem">
      <formula>NOT(ISERROR(SEARCH(("Problem"),(G772))))</formula>
    </cfRule>
  </conditionalFormatting>
  <conditionalFormatting sqref="G772">
    <cfRule type="containsText" dxfId="0" priority="118" operator="containsText" text="Problem">
      <formula>NOT(ISERROR(SEARCH(("Problem"),(G772))))</formula>
    </cfRule>
  </conditionalFormatting>
  <conditionalFormatting sqref="G772">
    <cfRule type="containsText" dxfId="0" priority="119" operator="containsText" text="Problem">
      <formula>NOT(ISERROR(SEARCH(("Problem"),(G772))))</formula>
    </cfRule>
  </conditionalFormatting>
  <conditionalFormatting sqref="E713">
    <cfRule type="containsText" dxfId="0" priority="120" operator="containsText" text="Problem">
      <formula>NOT(ISERROR(SEARCH(("Problem"),(E713))))</formula>
    </cfRule>
  </conditionalFormatting>
  <conditionalFormatting sqref="E713">
    <cfRule type="containsText" dxfId="0" priority="121" operator="containsText" text="Problem">
      <formula>NOT(ISERROR(SEARCH(("Problem"),(E713))))</formula>
    </cfRule>
  </conditionalFormatting>
  <conditionalFormatting sqref="E713">
    <cfRule type="containsText" dxfId="0" priority="122" operator="containsText" text="Problem">
      <formula>NOT(ISERROR(SEARCH(("Problem"),(E713))))</formula>
    </cfRule>
  </conditionalFormatting>
  <conditionalFormatting sqref="H595">
    <cfRule type="containsText" dxfId="0" priority="123" operator="containsText" text="Problem">
      <formula>NOT(ISERROR(SEARCH(("Problem"),(H595))))</formula>
    </cfRule>
  </conditionalFormatting>
  <conditionalFormatting sqref="H595">
    <cfRule type="containsText" dxfId="0" priority="124" operator="containsText" text="Problem">
      <formula>NOT(ISERROR(SEARCH(("Problem"),(H595))))</formula>
    </cfRule>
  </conditionalFormatting>
  <conditionalFormatting sqref="H595">
    <cfRule type="containsText" dxfId="0" priority="125" operator="containsText" text="Problem">
      <formula>NOT(ISERROR(SEARCH(("Problem"),(H595))))</formula>
    </cfRule>
  </conditionalFormatting>
  <conditionalFormatting sqref="A122:I122 A179:H179 I152:I179 J122:P179">
    <cfRule type="containsText" dxfId="0" priority="126" operator="containsText" text="Problem">
      <formula>NOT(ISERROR(SEARCH(("Problem"),(A122))))</formula>
    </cfRule>
  </conditionalFormatting>
  <conditionalFormatting sqref="A122:I122 A179:H179 I152:I179 J122:P179">
    <cfRule type="containsText" dxfId="0" priority="127" operator="containsText" text="Problem">
      <formula>NOT(ISERROR(SEARCH(("Problem"),(A122))))</formula>
    </cfRule>
  </conditionalFormatting>
  <conditionalFormatting sqref="A122:I122 A179:H179 I152:I179 J122:P179">
    <cfRule type="containsText" dxfId="0" priority="128" operator="containsText" text="Problem">
      <formula>NOT(ISERROR(SEARCH(("Problem"),(A122))))</formula>
    </cfRule>
  </conditionalFormatting>
  <conditionalFormatting sqref="H64">
    <cfRule type="containsText" dxfId="0" priority="129" operator="containsText" text="Problem">
      <formula>NOT(ISERROR(SEARCH(("Problem"),(H64))))</formula>
    </cfRule>
  </conditionalFormatting>
  <conditionalFormatting sqref="H64">
    <cfRule type="containsText" dxfId="0" priority="130" operator="containsText" text="Problem">
      <formula>NOT(ISERROR(SEARCH(("Problem"),(H64))))</formula>
    </cfRule>
  </conditionalFormatting>
  <conditionalFormatting sqref="H64">
    <cfRule type="containsText" dxfId="0" priority="131" operator="containsText" text="Problem">
      <formula>NOT(ISERROR(SEARCH(("Problem"),(H64))))</formula>
    </cfRule>
  </conditionalFormatting>
  <conditionalFormatting sqref="N182:N238">
    <cfRule type="containsText" dxfId="0" priority="132" operator="containsText" text="Problem">
      <formula>NOT(ISERROR(SEARCH(("Problem"),(N182))))</formula>
    </cfRule>
  </conditionalFormatting>
  <conditionalFormatting sqref="N182:N238">
    <cfRule type="containsText" dxfId="0" priority="133" operator="containsText" text="Problem">
      <formula>NOT(ISERROR(SEARCH(("Problem"),(N182))))</formula>
    </cfRule>
  </conditionalFormatting>
  <conditionalFormatting sqref="N182:N238">
    <cfRule type="containsText" dxfId="0" priority="134" operator="containsText" text="Problem">
      <formula>NOT(ISERROR(SEARCH(("Problem"),(N182))))</formula>
    </cfRule>
  </conditionalFormatting>
  <conditionalFormatting sqref="C298 E298:I298">
    <cfRule type="containsText" dxfId="0" priority="135" operator="containsText" text="Problem">
      <formula>NOT(ISERROR(SEARCH(("Problem"),(C298))))</formula>
    </cfRule>
  </conditionalFormatting>
  <conditionalFormatting sqref="C298 E298:I298">
    <cfRule type="containsText" dxfId="0" priority="136" operator="containsText" text="Problem">
      <formula>NOT(ISERROR(SEARCH(("Problem"),(C298))))</formula>
    </cfRule>
  </conditionalFormatting>
  <conditionalFormatting sqref="C298 E298:I298">
    <cfRule type="containsText" dxfId="0" priority="137" operator="containsText" text="Problem">
      <formula>NOT(ISERROR(SEARCH(("Problem"),(C298))))</formula>
    </cfRule>
  </conditionalFormatting>
  <conditionalFormatting sqref="D124:D151">
    <cfRule type="containsText" dxfId="0" priority="138" operator="containsText" text="Problem">
      <formula>NOT(ISERROR(SEARCH(("Problem"),(D124))))</formula>
    </cfRule>
  </conditionalFormatting>
  <conditionalFormatting sqref="D124:D151">
    <cfRule type="containsText" dxfId="0" priority="139" operator="containsText" text="Problem">
      <formula>NOT(ISERROR(SEARCH(("Problem"),(D124))))</formula>
    </cfRule>
  </conditionalFormatting>
  <conditionalFormatting sqref="D124:D151">
    <cfRule type="containsText" dxfId="0" priority="140" operator="containsText" text="Problem">
      <formula>NOT(ISERROR(SEARCH(("Problem"),(D124))))</formula>
    </cfRule>
  </conditionalFormatting>
  <conditionalFormatting sqref="H242:H269">
    <cfRule type="containsText" dxfId="0" priority="141" operator="containsText" text="Problem">
      <formula>NOT(ISERROR(SEARCH(("Problem"),(H242))))</formula>
    </cfRule>
  </conditionalFormatting>
  <conditionalFormatting sqref="H242:H269">
    <cfRule type="containsText" dxfId="0" priority="142" operator="containsText" text="Problem">
      <formula>NOT(ISERROR(SEARCH(("Problem"),(H242))))</formula>
    </cfRule>
  </conditionalFormatting>
  <conditionalFormatting sqref="H242:H269">
    <cfRule type="containsText" dxfId="0" priority="143" operator="containsText" text="Problem">
      <formula>NOT(ISERROR(SEARCH(("Problem"),(H242))))</formula>
    </cfRule>
  </conditionalFormatting>
  <conditionalFormatting sqref="A3:A61 B42:C42 B54:B57 B59:C61 C11:C41 C51:C57 I35:I61 J3:P61">
    <cfRule type="containsText" dxfId="0" priority="144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145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146" operator="containsText" text="Problem">
      <formula>NOT(ISERROR(SEARCH(("Problem"),(A3))))</formula>
    </cfRule>
  </conditionalFormatting>
  <conditionalFormatting sqref="D6:D34">
    <cfRule type="containsText" dxfId="0" priority="147" operator="containsText" text="Problem">
      <formula>NOT(ISERROR(SEARCH(("Problem"),(D6))))</formula>
    </cfRule>
  </conditionalFormatting>
  <conditionalFormatting sqref="D6:D34">
    <cfRule type="containsText" dxfId="0" priority="148" operator="containsText" text="Problem">
      <formula>NOT(ISERROR(SEARCH(("Problem"),(D6))))</formula>
    </cfRule>
  </conditionalFormatting>
  <conditionalFormatting sqref="D6:D34">
    <cfRule type="containsText" dxfId="0" priority="149" operator="containsText" text="Problem">
      <formula>NOT(ISERROR(SEARCH(("Problem"),(D6))))</formula>
    </cfRule>
  </conditionalFormatting>
  <conditionalFormatting sqref="E65:E92">
    <cfRule type="containsText" dxfId="0" priority="150" operator="containsText" text="Problem">
      <formula>NOT(ISERROR(SEARCH(("Problem"),(E65))))</formula>
    </cfRule>
  </conditionalFormatting>
  <conditionalFormatting sqref="E65:E92">
    <cfRule type="containsText" dxfId="0" priority="151" operator="containsText" text="Problem">
      <formula>NOT(ISERROR(SEARCH(("Problem"),(E65))))</formula>
    </cfRule>
  </conditionalFormatting>
  <conditionalFormatting sqref="E65:E92">
    <cfRule type="containsText" dxfId="0" priority="152" operator="containsText" text="Problem">
      <formula>NOT(ISERROR(SEARCH(("Problem"),(E65))))</formula>
    </cfRule>
  </conditionalFormatting>
  <conditionalFormatting sqref="F654">
    <cfRule type="containsText" dxfId="0" priority="153" operator="containsText" text="Problem">
      <formula>NOT(ISERROR(SEARCH(("Problem"),(F654))))</formula>
    </cfRule>
  </conditionalFormatting>
  <conditionalFormatting sqref="F654">
    <cfRule type="containsText" dxfId="0" priority="154" operator="containsText" text="Problem">
      <formula>NOT(ISERROR(SEARCH(("Problem"),(F654))))</formula>
    </cfRule>
  </conditionalFormatting>
  <conditionalFormatting sqref="F654">
    <cfRule type="containsText" dxfId="0" priority="155" operator="containsText" text="Problem">
      <formula>NOT(ISERROR(SEARCH(("Problem"),(F654))))</formula>
    </cfRule>
  </conditionalFormatting>
  <conditionalFormatting sqref="G241">
    <cfRule type="containsText" dxfId="0" priority="156" operator="containsText" text="Problem">
      <formula>NOT(ISERROR(SEARCH(("Problem"),(G241))))</formula>
    </cfRule>
  </conditionalFormatting>
  <conditionalFormatting sqref="G241">
    <cfRule type="containsText" dxfId="0" priority="157" operator="containsText" text="Problem">
      <formula>NOT(ISERROR(SEARCH(("Problem"),(G241))))</formula>
    </cfRule>
  </conditionalFormatting>
  <conditionalFormatting sqref="G241">
    <cfRule type="containsText" dxfId="0" priority="158" operator="containsText" text="Problem">
      <formula>NOT(ISERROR(SEARCH(("Problem"),(G241))))</formula>
    </cfRule>
  </conditionalFormatting>
  <conditionalFormatting sqref="G477">
    <cfRule type="containsText" dxfId="0" priority="159" operator="containsText" text="Problem">
      <formula>NOT(ISERROR(SEARCH(("Problem"),(G477))))</formula>
    </cfRule>
  </conditionalFormatting>
  <conditionalFormatting sqref="G477">
    <cfRule type="containsText" dxfId="0" priority="160" operator="containsText" text="Problem">
      <formula>NOT(ISERROR(SEARCH(("Problem"),(G477))))</formula>
    </cfRule>
  </conditionalFormatting>
  <conditionalFormatting sqref="G477">
    <cfRule type="containsText" dxfId="0" priority="161" operator="containsText" text="Problem">
      <formula>NOT(ISERROR(SEARCH(("Problem"),(G477))))</formula>
    </cfRule>
  </conditionalFormatting>
  <conditionalFormatting sqref="A182:A237">
    <cfRule type="containsText" dxfId="0" priority="162" operator="containsText" text="Problem">
      <formula>NOT(ISERROR(SEARCH(("Problem"),(A182))))</formula>
    </cfRule>
  </conditionalFormatting>
  <conditionalFormatting sqref="A182:A237">
    <cfRule type="containsText" dxfId="0" priority="163" operator="containsText" text="Problem">
      <formula>NOT(ISERROR(SEARCH(("Problem"),(A182))))</formula>
    </cfRule>
  </conditionalFormatting>
  <conditionalFormatting sqref="A182:A237">
    <cfRule type="containsText" dxfId="0" priority="164" operator="containsText" text="Problem">
      <formula>NOT(ISERROR(SEARCH(("Problem"),(A182))))</formula>
    </cfRule>
  </conditionalFormatting>
  <conditionalFormatting sqref="E714:E741">
    <cfRule type="containsText" dxfId="0" priority="165" operator="containsText" text="Problem">
      <formula>NOT(ISERROR(SEARCH(("Problem"),(E714))))</formula>
    </cfRule>
  </conditionalFormatting>
  <conditionalFormatting sqref="E714:E741">
    <cfRule type="containsText" dxfId="0" priority="166" operator="containsText" text="Problem">
      <formula>NOT(ISERROR(SEARCH(("Problem"),(E714))))</formula>
    </cfRule>
  </conditionalFormatting>
  <conditionalFormatting sqref="E714:E741">
    <cfRule type="containsText" dxfId="0" priority="167" operator="containsText" text="Problem">
      <formula>NOT(ISERROR(SEARCH(("Problem"),(E714))))</formula>
    </cfRule>
  </conditionalFormatting>
  <conditionalFormatting sqref="A831:A886">
    <cfRule type="containsText" dxfId="0" priority="168" operator="containsText" text="Problem">
      <formula>NOT(ISERROR(SEARCH(("Problem"),(A831))))</formula>
    </cfRule>
  </conditionalFormatting>
  <conditionalFormatting sqref="A831:A886">
    <cfRule type="containsText" dxfId="0" priority="169" operator="containsText" text="Problem">
      <formula>NOT(ISERROR(SEARCH(("Problem"),(A831))))</formula>
    </cfRule>
  </conditionalFormatting>
  <conditionalFormatting sqref="A831:A886">
    <cfRule type="containsText" dxfId="0" priority="170" operator="containsText" text="Problem">
      <formula>NOT(ISERROR(SEARCH(("Problem"),(A831))))</formula>
    </cfRule>
  </conditionalFormatting>
  <conditionalFormatting sqref="E64">
    <cfRule type="containsText" dxfId="0" priority="171" operator="containsText" text="Problem">
      <formula>NOT(ISERROR(SEARCH(("Problem"),(E64))))</formula>
    </cfRule>
  </conditionalFormatting>
  <conditionalFormatting sqref="E64">
    <cfRule type="containsText" dxfId="0" priority="172" operator="containsText" text="Problem">
      <formula>NOT(ISERROR(SEARCH(("Problem"),(E64))))</formula>
    </cfRule>
  </conditionalFormatting>
  <conditionalFormatting sqref="E64">
    <cfRule type="containsText" dxfId="0" priority="173" operator="containsText" text="Problem">
      <formula>NOT(ISERROR(SEARCH(("Problem"),(E64))))</formula>
    </cfRule>
  </conditionalFormatting>
  <conditionalFormatting sqref="H713">
    <cfRule type="containsText" dxfId="0" priority="174" operator="containsText" text="Problem">
      <formula>NOT(ISERROR(SEARCH(("Problem"),(H713))))</formula>
    </cfRule>
  </conditionalFormatting>
  <conditionalFormatting sqref="H713">
    <cfRule type="containsText" dxfId="0" priority="175" operator="containsText" text="Problem">
      <formula>NOT(ISERROR(SEARCH(("Problem"),(H713))))</formula>
    </cfRule>
  </conditionalFormatting>
  <conditionalFormatting sqref="H713">
    <cfRule type="containsText" dxfId="0" priority="176" operator="containsText" text="Problem">
      <formula>NOT(ISERROR(SEARCH(("Problem"),(H713))))</formula>
    </cfRule>
  </conditionalFormatting>
  <conditionalFormatting sqref="I183:I210">
    <cfRule type="containsText" dxfId="0" priority="177" operator="containsText" text="Problem">
      <formula>NOT(ISERROR(SEARCH(("Problem"),(I183))))</formula>
    </cfRule>
  </conditionalFormatting>
  <conditionalFormatting sqref="I183:I210">
    <cfRule type="containsText" dxfId="0" priority="178" operator="containsText" text="Problem">
      <formula>NOT(ISERROR(SEARCH(("Problem"),(I183))))</formula>
    </cfRule>
  </conditionalFormatting>
  <conditionalFormatting sqref="I183:I210">
    <cfRule type="containsText" dxfId="0" priority="179" operator="containsText" text="Problem">
      <formula>NOT(ISERROR(SEARCH(("Problem"),(I183))))</formula>
    </cfRule>
  </conditionalFormatting>
  <conditionalFormatting sqref="I183:I210">
    <cfRule type="containsText" dxfId="0" priority="180" operator="containsText" text="Problem">
      <formula>NOT(ISERROR(SEARCH(("Problem"),(I183))))</formula>
    </cfRule>
  </conditionalFormatting>
  <conditionalFormatting sqref="D242:D269">
    <cfRule type="containsText" dxfId="0" priority="181" operator="containsText" text="Problem">
      <formula>NOT(ISERROR(SEARCH(("Problem"),(D242))))</formula>
    </cfRule>
  </conditionalFormatting>
  <conditionalFormatting sqref="D242:D269">
    <cfRule type="containsText" dxfId="0" priority="182" operator="containsText" text="Problem">
      <formula>NOT(ISERROR(SEARCH(("Problem"),(D242))))</formula>
    </cfRule>
  </conditionalFormatting>
  <conditionalFormatting sqref="D242:D269">
    <cfRule type="containsText" dxfId="0" priority="183" operator="containsText" text="Problem">
      <formula>NOT(ISERROR(SEARCH(("Problem"),(D242))))</formula>
    </cfRule>
  </conditionalFormatting>
  <conditionalFormatting sqref="G300">
    <cfRule type="containsText" dxfId="0" priority="184" operator="containsText" text="Problem">
      <formula>NOT(ISERROR(SEARCH(("Problem"),(G300))))</formula>
    </cfRule>
  </conditionalFormatting>
  <conditionalFormatting sqref="G300">
    <cfRule type="containsText" dxfId="0" priority="185" operator="containsText" text="Problem">
      <formula>NOT(ISERROR(SEARCH(("Problem"),(G300))))</formula>
    </cfRule>
  </conditionalFormatting>
  <conditionalFormatting sqref="G300">
    <cfRule type="containsText" dxfId="0" priority="186" operator="containsText" text="Problem">
      <formula>NOT(ISERROR(SEARCH(("Problem"),(G300))))</formula>
    </cfRule>
  </conditionalFormatting>
  <conditionalFormatting sqref="D801:D825">
    <cfRule type="containsText" dxfId="0" priority="187" operator="containsText" text="Problem">
      <formula>NOT(ISERROR(SEARCH(("Problem"),(D801))))</formula>
    </cfRule>
  </conditionalFormatting>
  <conditionalFormatting sqref="D801:D825">
    <cfRule type="containsText" dxfId="0" priority="188" operator="containsText" text="Problem">
      <formula>NOT(ISERROR(SEARCH(("Problem"),(D801))))</formula>
    </cfRule>
  </conditionalFormatting>
  <conditionalFormatting sqref="I536">
    <cfRule type="containsText" dxfId="0" priority="189" operator="containsText" text="Problem">
      <formula>NOT(ISERROR(SEARCH(("Problem"),(I536))))</formula>
    </cfRule>
  </conditionalFormatting>
  <conditionalFormatting sqref="I536">
    <cfRule type="containsText" dxfId="0" priority="190" operator="containsText" text="Problem">
      <formula>NOT(ISERROR(SEARCH(("Problem"),(I536))))</formula>
    </cfRule>
  </conditionalFormatting>
  <conditionalFormatting sqref="I536">
    <cfRule type="containsText" dxfId="0" priority="191" operator="containsText" text="Problem">
      <formula>NOT(ISERROR(SEARCH(("Problem"),(I536))))</formula>
    </cfRule>
  </conditionalFormatting>
  <conditionalFormatting sqref="C652 E652:I652">
    <cfRule type="containsText" dxfId="0" priority="192" operator="containsText" text="Problem">
      <formula>NOT(ISERROR(SEARCH(("Problem"),(C652))))</formula>
    </cfRule>
  </conditionalFormatting>
  <conditionalFormatting sqref="C652 E652:I652">
    <cfRule type="containsText" dxfId="0" priority="193" operator="containsText" text="Problem">
      <formula>NOT(ISERROR(SEARCH(("Problem"),(C652))))</formula>
    </cfRule>
  </conditionalFormatting>
  <conditionalFormatting sqref="C652 E652:I652">
    <cfRule type="containsText" dxfId="0" priority="194" operator="containsText" text="Problem">
      <formula>NOT(ISERROR(SEARCH(("Problem"),(C652))))</formula>
    </cfRule>
  </conditionalFormatting>
  <conditionalFormatting sqref="G832:G859">
    <cfRule type="containsText" dxfId="0" priority="195" operator="containsText" text="Problem">
      <formula>NOT(ISERROR(SEARCH(("Problem"),(G832))))</formula>
    </cfRule>
  </conditionalFormatting>
  <conditionalFormatting sqref="G832:G859">
    <cfRule type="containsText" dxfId="0" priority="196" operator="containsText" text="Problem">
      <formula>NOT(ISERROR(SEARCH(("Problem"),(G832))))</formula>
    </cfRule>
  </conditionalFormatting>
  <conditionalFormatting sqref="G832:G859">
    <cfRule type="containsText" dxfId="0" priority="197" operator="containsText" text="Problem">
      <formula>NOT(ISERROR(SEARCH(("Problem"),(G832))))</formula>
    </cfRule>
  </conditionalFormatting>
  <conditionalFormatting sqref="A63:I63 A120:H120 I93:I120 J63:P120">
    <cfRule type="containsText" dxfId="0" priority="198" operator="containsText" text="Problem">
      <formula>NOT(ISERROR(SEARCH(("Problem"),(A63))))</formula>
    </cfRule>
  </conditionalFormatting>
  <conditionalFormatting sqref="A63:I63 A120:H120 I93:I120 J63:P120">
    <cfRule type="containsText" dxfId="0" priority="199" operator="containsText" text="Problem">
      <formula>NOT(ISERROR(SEARCH(("Problem"),(A63))))</formula>
    </cfRule>
  </conditionalFormatting>
  <conditionalFormatting sqref="A63:I63 A120:H120 I93:I120 J63:P120">
    <cfRule type="containsText" dxfId="0" priority="200" operator="containsText" text="Problem">
      <formula>NOT(ISERROR(SEARCH(("Problem"),(A63))))</formula>
    </cfRule>
  </conditionalFormatting>
  <conditionalFormatting sqref="I241">
    <cfRule type="containsText" dxfId="0" priority="201" operator="containsText" text="Problem">
      <formula>NOT(ISERROR(SEARCH(("Problem"),(I241))))</formula>
    </cfRule>
  </conditionalFormatting>
  <conditionalFormatting sqref="I241">
    <cfRule type="containsText" dxfId="0" priority="202" operator="containsText" text="Problem">
      <formula>NOT(ISERROR(SEARCH(("Problem"),(I241))))</formula>
    </cfRule>
  </conditionalFormatting>
  <conditionalFormatting sqref="I241">
    <cfRule type="containsText" dxfId="0" priority="203" operator="containsText" text="Problem">
      <formula>NOT(ISERROR(SEARCH(("Problem"),(I241))))</formula>
    </cfRule>
  </conditionalFormatting>
  <conditionalFormatting sqref="D301:D328">
    <cfRule type="containsText" dxfId="0" priority="204" operator="containsText" text="Problem">
      <formula>NOT(ISERROR(SEARCH(("Problem"),(D301))))</formula>
    </cfRule>
  </conditionalFormatting>
  <conditionalFormatting sqref="D301:D328">
    <cfRule type="containsText" dxfId="0" priority="205" operator="containsText" text="Problem">
      <formula>NOT(ISERROR(SEARCH(("Problem"),(D301))))</formula>
    </cfRule>
  </conditionalFormatting>
  <conditionalFormatting sqref="D301:D328">
    <cfRule type="containsText" dxfId="0" priority="206" operator="containsText" text="Problem">
      <formula>NOT(ISERROR(SEARCH(("Problem"),(D301))))</formula>
    </cfRule>
  </conditionalFormatting>
  <conditionalFormatting sqref="E359">
    <cfRule type="containsText" dxfId="0" priority="207" operator="containsText" text="Problem">
      <formula>NOT(ISERROR(SEARCH(("Problem"),(E359))))</formula>
    </cfRule>
  </conditionalFormatting>
  <conditionalFormatting sqref="E359">
    <cfRule type="containsText" dxfId="0" priority="208" operator="containsText" text="Problem">
      <formula>NOT(ISERROR(SEARCH(("Problem"),(E359))))</formula>
    </cfRule>
  </conditionalFormatting>
  <conditionalFormatting sqref="E359">
    <cfRule type="containsText" dxfId="0" priority="209" operator="containsText" text="Problem">
      <formula>NOT(ISERROR(SEARCH(("Problem"),(E359))))</formula>
    </cfRule>
  </conditionalFormatting>
  <conditionalFormatting sqref="A121 J121:P121">
    <cfRule type="containsText" dxfId="0" priority="210" operator="containsText" text="Problem">
      <formula>NOT(ISERROR(SEARCH(("Problem"),(A121))))</formula>
    </cfRule>
  </conditionalFormatting>
  <conditionalFormatting sqref="A121 J121:P121">
    <cfRule type="containsText" dxfId="0" priority="211" operator="containsText" text="Problem">
      <formula>NOT(ISERROR(SEARCH(("Problem"),(A121))))</formula>
    </cfRule>
  </conditionalFormatting>
  <conditionalFormatting sqref="A121 J121:P121">
    <cfRule type="containsText" dxfId="0" priority="212" operator="containsText" text="Problem">
      <formula>NOT(ISERROR(SEARCH(("Problem"),(A121))))</formula>
    </cfRule>
  </conditionalFormatting>
  <conditionalFormatting sqref="C180 E180:I180">
    <cfRule type="containsText" dxfId="0" priority="213" operator="containsText" text="Problem">
      <formula>NOT(ISERROR(SEARCH(("Problem"),(C180))))</formula>
    </cfRule>
  </conditionalFormatting>
  <conditionalFormatting sqref="C180 E180:I180">
    <cfRule type="containsText" dxfId="0" priority="214" operator="containsText" text="Problem">
      <formula>NOT(ISERROR(SEARCH(("Problem"),(C180))))</formula>
    </cfRule>
  </conditionalFormatting>
  <conditionalFormatting sqref="C180 E180:I180">
    <cfRule type="containsText" dxfId="0" priority="215" operator="containsText" text="Problem">
      <formula>NOT(ISERROR(SEARCH(("Problem"),(C180))))</formula>
    </cfRule>
  </conditionalFormatting>
  <conditionalFormatting sqref="D826:D827 E801:H827">
    <cfRule type="containsText" dxfId="0" priority="216" operator="containsText" text="Problem">
      <formula>NOT(ISERROR(SEARCH(("Problem"),(D826))))</formula>
    </cfRule>
  </conditionalFormatting>
  <conditionalFormatting sqref="D826:D827 E801:H827">
    <cfRule type="containsText" dxfId="0" priority="217" operator="containsText" text="Problem">
      <formula>NOT(ISERROR(SEARCH(("Problem"),(D826))))</formula>
    </cfRule>
  </conditionalFormatting>
  <conditionalFormatting sqref="D826:D827 E801:H827">
    <cfRule type="containsText" dxfId="0" priority="218" operator="containsText" text="Problem">
      <formula>NOT(ISERROR(SEARCH(("Problem"),(D826))))</formula>
    </cfRule>
  </conditionalFormatting>
  <conditionalFormatting sqref="H359">
    <cfRule type="containsText" dxfId="0" priority="219" operator="containsText" text="Problem">
      <formula>NOT(ISERROR(SEARCH(("Problem"),(H359))))</formula>
    </cfRule>
  </conditionalFormatting>
  <conditionalFormatting sqref="H359">
    <cfRule type="containsText" dxfId="0" priority="220" operator="containsText" text="Problem">
      <formula>NOT(ISERROR(SEARCH(("Problem"),(H359))))</formula>
    </cfRule>
  </conditionalFormatting>
  <conditionalFormatting sqref="H359">
    <cfRule type="containsText" dxfId="0" priority="221" operator="containsText" text="Problem">
      <formula>NOT(ISERROR(SEARCH(("Problem"),(H359))))</formula>
    </cfRule>
  </conditionalFormatting>
  <conditionalFormatting sqref="D772">
    <cfRule type="containsText" dxfId="0" priority="222" operator="containsText" text="Problem">
      <formula>NOT(ISERROR(SEARCH(("Problem"),(D772))))</formula>
    </cfRule>
  </conditionalFormatting>
  <conditionalFormatting sqref="B4 C3:C4 D4 D61:H61 E3:I4 K917:P918">
    <cfRule type="containsText" dxfId="0" priority="223" operator="containsText" text="Problem">
      <formula>NOT(ISERROR(SEARCH(("Problem"),(B4))))</formula>
    </cfRule>
  </conditionalFormatting>
  <conditionalFormatting sqref="B4 C3:C4 D4 D61:H61 E3:I4 K917:P918">
    <cfRule type="containsText" dxfId="0" priority="224" operator="containsText" text="Problem">
      <formula>NOT(ISERROR(SEARCH(("Problem"),(B4))))</formula>
    </cfRule>
  </conditionalFormatting>
  <conditionalFormatting sqref="B4 C3:C4 D4 D61:H61 E3:I4 K917:P918">
    <cfRule type="containsText" dxfId="0" priority="225" operator="containsText" text="Problem">
      <formula>NOT(ISERROR(SEARCH(("Problem"),(B4))))</formula>
    </cfRule>
  </conditionalFormatting>
  <conditionalFormatting sqref="F359">
    <cfRule type="containsText" dxfId="0" priority="226" operator="containsText" text="Problem">
      <formula>NOT(ISERROR(SEARCH(("Problem"),(F359))))</formula>
    </cfRule>
  </conditionalFormatting>
  <conditionalFormatting sqref="F359">
    <cfRule type="containsText" dxfId="0" priority="227" operator="containsText" text="Problem">
      <formula>NOT(ISERROR(SEARCH(("Problem"),(F359))))</formula>
    </cfRule>
  </conditionalFormatting>
  <conditionalFormatting sqref="F359">
    <cfRule type="containsText" dxfId="0" priority="228" operator="containsText" text="Problem">
      <formula>NOT(ISERROR(SEARCH(("Problem"),(F359))))</formula>
    </cfRule>
  </conditionalFormatting>
  <conditionalFormatting sqref="F124:F151">
    <cfRule type="containsText" dxfId="0" priority="229" operator="containsText" text="Problem">
      <formula>NOT(ISERROR(SEARCH(("Problem"),(F124))))</formula>
    </cfRule>
  </conditionalFormatting>
  <conditionalFormatting sqref="F124:F151">
    <cfRule type="containsText" dxfId="0" priority="230" operator="containsText" text="Problem">
      <formula>NOT(ISERROR(SEARCH(("Problem"),(F124))))</formula>
    </cfRule>
  </conditionalFormatting>
  <conditionalFormatting sqref="F124:F151">
    <cfRule type="containsText" dxfId="0" priority="231" operator="containsText" text="Problem">
      <formula>NOT(ISERROR(SEARCH(("Problem"),(F124))))</formula>
    </cfRule>
  </conditionalFormatting>
  <conditionalFormatting sqref="I300">
    <cfRule type="containsText" dxfId="0" priority="232" operator="containsText" text="Problem">
      <formula>NOT(ISERROR(SEARCH(("Problem"),(I300))))</formula>
    </cfRule>
  </conditionalFormatting>
  <conditionalFormatting sqref="I300">
    <cfRule type="containsText" dxfId="0" priority="233" operator="containsText" text="Problem">
      <formula>NOT(ISERROR(SEARCH(("Problem"),(I300))))</formula>
    </cfRule>
  </conditionalFormatting>
  <conditionalFormatting sqref="I300">
    <cfRule type="containsText" dxfId="0" priority="234" operator="containsText" text="Problem">
      <formula>NOT(ISERROR(SEARCH(("Problem"),(I300))))</formula>
    </cfRule>
  </conditionalFormatting>
  <conditionalFormatting sqref="B691:C691 B703:B706 B708:C709 C660:C690 C700:C706">
    <cfRule type="containsText" dxfId="0" priority="235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236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237" operator="containsText" text="Problem">
      <formula>NOT(ISERROR(SEARCH(("Problem"),(B691))))</formula>
    </cfRule>
  </conditionalFormatting>
  <conditionalFormatting sqref="I242:I269">
    <cfRule type="containsText" dxfId="0" priority="238" operator="containsText" text="Problem">
      <formula>NOT(ISERROR(SEARCH(("Problem"),(I242))))</formula>
    </cfRule>
  </conditionalFormatting>
  <conditionalFormatting sqref="I242:I269">
    <cfRule type="containsText" dxfId="0" priority="239" operator="containsText" text="Problem">
      <formula>NOT(ISERROR(SEARCH(("Problem"),(I242))))</formula>
    </cfRule>
  </conditionalFormatting>
  <conditionalFormatting sqref="I242:I269">
    <cfRule type="containsText" dxfId="0" priority="240" operator="containsText" text="Problem">
      <formula>NOT(ISERROR(SEARCH(("Problem"),(I242))))</formula>
    </cfRule>
  </conditionalFormatting>
  <conditionalFormatting sqref="I242:I269">
    <cfRule type="containsText" dxfId="0" priority="241" operator="containsText" text="Problem">
      <formula>NOT(ISERROR(SEARCH(("Problem"),(I242))))</formula>
    </cfRule>
  </conditionalFormatting>
  <conditionalFormatting sqref="A594:I594 A651:H651 I624:I651 J594:P651">
    <cfRule type="containsText" dxfId="0" priority="242" operator="containsText" text="Problem">
      <formula>NOT(ISERROR(SEARCH(("Problem"),(A594))))</formula>
    </cfRule>
  </conditionalFormatting>
  <conditionalFormatting sqref="A594:I594 A651:H651 I624:I651 J594:P651">
    <cfRule type="containsText" dxfId="0" priority="243" operator="containsText" text="Problem">
      <formula>NOT(ISERROR(SEARCH(("Problem"),(A594))))</formula>
    </cfRule>
  </conditionalFormatting>
  <conditionalFormatting sqref="A594:I594 A651:H651 I624:I651 J594:P651">
    <cfRule type="containsText" dxfId="0" priority="244" operator="containsText" text="Problem">
      <formula>NOT(ISERROR(SEARCH(("Problem"),(A594))))</formula>
    </cfRule>
  </conditionalFormatting>
  <conditionalFormatting sqref="D360:D387">
    <cfRule type="containsText" dxfId="0" priority="245" operator="containsText" text="Problem">
      <formula>NOT(ISERROR(SEARCH(("Problem"),(D360))))</formula>
    </cfRule>
  </conditionalFormatting>
  <conditionalFormatting sqref="D360:D387">
    <cfRule type="containsText" dxfId="0" priority="246" operator="containsText" text="Problem">
      <formula>NOT(ISERROR(SEARCH(("Problem"),(D360))))</formula>
    </cfRule>
  </conditionalFormatting>
  <conditionalFormatting sqref="D360:D387">
    <cfRule type="containsText" dxfId="0" priority="247" operator="containsText" text="Problem">
      <formula>NOT(ISERROR(SEARCH(("Problem"),(D360))))</formula>
    </cfRule>
  </conditionalFormatting>
  <conditionalFormatting sqref="F241">
    <cfRule type="containsText" dxfId="0" priority="248" operator="containsText" text="Problem">
      <formula>NOT(ISERROR(SEARCH(("Problem"),(F241))))</formula>
    </cfRule>
  </conditionalFormatting>
  <conditionalFormatting sqref="F241">
    <cfRule type="containsText" dxfId="0" priority="249" operator="containsText" text="Problem">
      <formula>NOT(ISERROR(SEARCH(("Problem"),(F241))))</formula>
    </cfRule>
  </conditionalFormatting>
  <conditionalFormatting sqref="F241">
    <cfRule type="containsText" dxfId="0" priority="250" operator="containsText" text="Problem">
      <formula>NOT(ISERROR(SEARCH(("Problem"),(F241))))</formula>
    </cfRule>
  </conditionalFormatting>
  <conditionalFormatting sqref="B160:C160 B172:B175 B177:C178 C129:C159 C169:C175">
    <cfRule type="containsText" dxfId="0" priority="251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252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253" operator="containsText" text="Problem">
      <formula>NOT(ISERROR(SEARCH(("Problem"),(B160))))</formula>
    </cfRule>
  </conditionalFormatting>
  <conditionalFormatting sqref="B278:C278 B290:B293 B295:C296 C247:C277 C287:C293">
    <cfRule type="containsText" dxfId="0" priority="254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255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256" operator="containsText" text="Problem">
      <formula>NOT(ISERROR(SEARCH(("Problem"),(B278))))</formula>
    </cfRule>
  </conditionalFormatting>
  <conditionalFormatting sqref="I182">
    <cfRule type="containsText" dxfId="0" priority="257" operator="containsText" text="Problem">
      <formula>NOT(ISERROR(SEARCH(("Problem"),(I182))))</formula>
    </cfRule>
  </conditionalFormatting>
  <conditionalFormatting sqref="I182">
    <cfRule type="containsText" dxfId="0" priority="258" operator="containsText" text="Problem">
      <formula>NOT(ISERROR(SEARCH(("Problem"),(I182))))</formula>
    </cfRule>
  </conditionalFormatting>
  <conditionalFormatting sqref="I182">
    <cfRule type="containsText" dxfId="0" priority="259" operator="containsText" text="Problem">
      <formula>NOT(ISERROR(SEARCH(("Problem"),(I182))))</formula>
    </cfRule>
  </conditionalFormatting>
  <conditionalFormatting sqref="A241:A296">
    <cfRule type="containsText" dxfId="0" priority="260" operator="containsText" text="Problem">
      <formula>NOT(ISERROR(SEARCH(("Problem"),(A241))))</formula>
    </cfRule>
  </conditionalFormatting>
  <conditionalFormatting sqref="A241:A296">
    <cfRule type="containsText" dxfId="0" priority="261" operator="containsText" text="Problem">
      <formula>NOT(ISERROR(SEARCH(("Problem"),(A241))))</formula>
    </cfRule>
  </conditionalFormatting>
  <conditionalFormatting sqref="A241:A296">
    <cfRule type="containsText" dxfId="0" priority="262" operator="containsText" text="Problem">
      <formula>NOT(ISERROR(SEARCH(("Problem"),(A241))))</formula>
    </cfRule>
  </conditionalFormatting>
  <conditionalFormatting sqref="A300:A355">
    <cfRule type="containsText" dxfId="0" priority="263" operator="containsText" text="Problem">
      <formula>NOT(ISERROR(SEARCH(("Problem"),(A300))))</formula>
    </cfRule>
  </conditionalFormatting>
  <conditionalFormatting sqref="A300:A355">
    <cfRule type="containsText" dxfId="0" priority="264" operator="containsText" text="Problem">
      <formula>NOT(ISERROR(SEARCH(("Problem"),(A300))))</formula>
    </cfRule>
  </conditionalFormatting>
  <conditionalFormatting sqref="A300:A355">
    <cfRule type="containsText" dxfId="0" priority="265" operator="containsText" text="Problem">
      <formula>NOT(ISERROR(SEARCH(("Problem"),(A300))))</formula>
    </cfRule>
  </conditionalFormatting>
  <conditionalFormatting sqref="G714:G741">
    <cfRule type="containsText" dxfId="0" priority="266" operator="containsText" text="Problem">
      <formula>NOT(ISERROR(SEARCH(("Problem"),(G714))))</formula>
    </cfRule>
  </conditionalFormatting>
  <conditionalFormatting sqref="G714:G741">
    <cfRule type="containsText" dxfId="0" priority="267" operator="containsText" text="Problem">
      <formula>NOT(ISERROR(SEARCH(("Problem"),(G714))))</formula>
    </cfRule>
  </conditionalFormatting>
  <conditionalFormatting sqref="G714:G741">
    <cfRule type="containsText" dxfId="0" priority="268" operator="containsText" text="Problem">
      <formula>NOT(ISERROR(SEARCH(("Problem"),(G714))))</formula>
    </cfRule>
  </conditionalFormatting>
  <conditionalFormatting sqref="D354:D355 E329:H355">
    <cfRule type="containsText" dxfId="0" priority="269" operator="containsText" text="Problem">
      <formula>NOT(ISERROR(SEARCH(("Problem"),(D354))))</formula>
    </cfRule>
  </conditionalFormatting>
  <conditionalFormatting sqref="D354:D355 E329:H355">
    <cfRule type="containsText" dxfId="0" priority="270" operator="containsText" text="Problem">
      <formula>NOT(ISERROR(SEARCH(("Problem"),(D354))))</formula>
    </cfRule>
  </conditionalFormatting>
  <conditionalFormatting sqref="D354:D355 E329:H355">
    <cfRule type="containsText" dxfId="0" priority="271" operator="containsText" text="Problem">
      <formula>NOT(ISERROR(SEARCH(("Problem"),(D354))))</formula>
    </cfRule>
  </conditionalFormatting>
  <conditionalFormatting sqref="C416 E416:I416">
    <cfRule type="containsText" dxfId="0" priority="272" operator="containsText" text="Problem">
      <formula>NOT(ISERROR(SEARCH(("Problem"),(C416))))</formula>
    </cfRule>
  </conditionalFormatting>
  <conditionalFormatting sqref="C416 E416:I416">
    <cfRule type="containsText" dxfId="0" priority="273" operator="containsText" text="Problem">
      <formula>NOT(ISERROR(SEARCH(("Problem"),(C416))))</formula>
    </cfRule>
  </conditionalFormatting>
  <conditionalFormatting sqref="C416 E416:I416">
    <cfRule type="containsText" dxfId="0" priority="274" operator="containsText" text="Problem">
      <formula>NOT(ISERROR(SEARCH(("Problem"),(C416))))</formula>
    </cfRule>
  </conditionalFormatting>
  <conditionalFormatting sqref="D211:D235">
    <cfRule type="containsText" dxfId="0" priority="275" operator="containsText" text="Problem">
      <formula>NOT(ISERROR(SEARCH(("Problem"),(D211))))</formula>
    </cfRule>
  </conditionalFormatting>
  <conditionalFormatting sqref="D211:D235">
    <cfRule type="containsText" dxfId="0" priority="276" operator="containsText" text="Problem">
      <formula>NOT(ISERROR(SEARCH(("Problem"),(D211))))</formula>
    </cfRule>
  </conditionalFormatting>
  <conditionalFormatting sqref="G123">
    <cfRule type="containsText" dxfId="0" priority="277" operator="containsText" text="Problem">
      <formula>NOT(ISERROR(SEARCH(("Problem"),(G123))))</formula>
    </cfRule>
  </conditionalFormatting>
  <conditionalFormatting sqref="G123">
    <cfRule type="containsText" dxfId="0" priority="278" operator="containsText" text="Problem">
      <formula>NOT(ISERROR(SEARCH(("Problem"),(G123))))</formula>
    </cfRule>
  </conditionalFormatting>
  <conditionalFormatting sqref="G123">
    <cfRule type="containsText" dxfId="0" priority="279" operator="containsText" text="Problem">
      <formula>NOT(ISERROR(SEARCH(("Problem"),(G123))))</formula>
    </cfRule>
  </conditionalFormatting>
  <conditionalFormatting sqref="A713:A768">
    <cfRule type="containsText" dxfId="0" priority="280" operator="containsText" text="Problem">
      <formula>NOT(ISERROR(SEARCH(("Problem"),(A713))))</formula>
    </cfRule>
  </conditionalFormatting>
  <conditionalFormatting sqref="A713:A768">
    <cfRule type="containsText" dxfId="0" priority="281" operator="containsText" text="Problem">
      <formula>NOT(ISERROR(SEARCH(("Problem"),(A713))))</formula>
    </cfRule>
  </conditionalFormatting>
  <conditionalFormatting sqref="A713:A768">
    <cfRule type="containsText" dxfId="0" priority="282" operator="containsText" text="Problem">
      <formula>NOT(ISERROR(SEARCH(("Problem"),(A713))))</formula>
    </cfRule>
  </conditionalFormatting>
  <conditionalFormatting sqref="E478:E505">
    <cfRule type="containsText" dxfId="0" priority="283" operator="containsText" text="Problem">
      <formula>NOT(ISERROR(SEARCH(("Problem"),(E478))))</formula>
    </cfRule>
  </conditionalFormatting>
  <conditionalFormatting sqref="E478:E505">
    <cfRule type="containsText" dxfId="0" priority="284" operator="containsText" text="Problem">
      <formula>NOT(ISERROR(SEARCH(("Problem"),(E478))))</formula>
    </cfRule>
  </conditionalFormatting>
  <conditionalFormatting sqref="E478:E505">
    <cfRule type="containsText" dxfId="0" priority="285" operator="containsText" text="Problem">
      <formula>NOT(ISERROR(SEARCH(("Problem"),(E478))))</formula>
    </cfRule>
  </conditionalFormatting>
  <conditionalFormatting sqref="E596:E623">
    <cfRule type="containsText" dxfId="0" priority="286" operator="containsText" text="Problem">
      <formula>NOT(ISERROR(SEARCH(("Problem"),(E596))))</formula>
    </cfRule>
  </conditionalFormatting>
  <conditionalFormatting sqref="E596:E623">
    <cfRule type="containsText" dxfId="0" priority="287" operator="containsText" text="Problem">
      <formula>NOT(ISERROR(SEARCH(("Problem"),(E596))))</formula>
    </cfRule>
  </conditionalFormatting>
  <conditionalFormatting sqref="E596:E623">
    <cfRule type="containsText" dxfId="0" priority="288" operator="containsText" text="Problem">
      <formula>NOT(ISERROR(SEARCH(("Problem"),(E596))))</formula>
    </cfRule>
  </conditionalFormatting>
  <conditionalFormatting sqref="I773:I800">
    <cfRule type="containsText" dxfId="0" priority="289" operator="containsText" text="Problem">
      <formula>NOT(ISERROR(SEARCH(("Problem"),(I773))))</formula>
    </cfRule>
  </conditionalFormatting>
  <conditionalFormatting sqref="I773:I800">
    <cfRule type="containsText" dxfId="0" priority="290" operator="containsText" text="Problem">
      <formula>NOT(ISERROR(SEARCH(("Problem"),(I773))))</formula>
    </cfRule>
  </conditionalFormatting>
  <conditionalFormatting sqref="I773:I800">
    <cfRule type="containsText" dxfId="0" priority="291" operator="containsText" text="Problem">
      <formula>NOT(ISERROR(SEARCH(("Problem"),(I773))))</formula>
    </cfRule>
  </conditionalFormatting>
  <conditionalFormatting sqref="I773:I800">
    <cfRule type="containsText" dxfId="0" priority="292" operator="containsText" text="Problem">
      <formula>NOT(ISERROR(SEARCH(("Problem"),(I773))))</formula>
    </cfRule>
  </conditionalFormatting>
  <conditionalFormatting sqref="D388:D412">
    <cfRule type="containsText" dxfId="0" priority="293" operator="containsText" text="Problem">
      <formula>NOT(ISERROR(SEARCH(("Problem"),(D388))))</formula>
    </cfRule>
  </conditionalFormatting>
  <conditionalFormatting sqref="D388:D412">
    <cfRule type="containsText" dxfId="0" priority="294" operator="containsText" text="Problem">
      <formula>NOT(ISERROR(SEARCH(("Problem"),(D388))))</formula>
    </cfRule>
  </conditionalFormatting>
  <conditionalFormatting sqref="E418">
    <cfRule type="containsText" dxfId="0" priority="295" operator="containsText" text="Problem">
      <formula>NOT(ISERROR(SEARCH(("Problem"),(E418))))</formula>
    </cfRule>
  </conditionalFormatting>
  <conditionalFormatting sqref="E418">
    <cfRule type="containsText" dxfId="0" priority="296" operator="containsText" text="Problem">
      <formula>NOT(ISERROR(SEARCH(("Problem"),(E418))))</formula>
    </cfRule>
  </conditionalFormatting>
  <conditionalFormatting sqref="E418">
    <cfRule type="containsText" dxfId="0" priority="297" operator="containsText" text="Problem">
      <formula>NOT(ISERROR(SEARCH(("Problem"),(E418))))</formula>
    </cfRule>
  </conditionalFormatting>
  <conditionalFormatting sqref="A536:A591">
    <cfRule type="containsText" dxfId="0" priority="298" operator="containsText" text="Problem">
      <formula>NOT(ISERROR(SEARCH(("Problem"),(A536))))</formula>
    </cfRule>
  </conditionalFormatting>
  <conditionalFormatting sqref="A536:A591">
    <cfRule type="containsText" dxfId="0" priority="299" operator="containsText" text="Problem">
      <formula>NOT(ISERROR(SEARCH(("Problem"),(A536))))</formula>
    </cfRule>
  </conditionalFormatting>
  <conditionalFormatting sqref="A536:A591">
    <cfRule type="containsText" dxfId="0" priority="300" operator="containsText" text="Problem">
      <formula>NOT(ISERROR(SEARCH(("Problem"),(A536))))</formula>
    </cfRule>
  </conditionalFormatting>
  <conditionalFormatting sqref="E654">
    <cfRule type="containsText" dxfId="0" priority="301" operator="containsText" text="Problem">
      <formula>NOT(ISERROR(SEARCH(("Problem"),(E654))))</formula>
    </cfRule>
  </conditionalFormatting>
  <conditionalFormatting sqref="E654">
    <cfRule type="containsText" dxfId="0" priority="302" operator="containsText" text="Problem">
      <formula>NOT(ISERROR(SEARCH(("Problem"),(E654))))</formula>
    </cfRule>
  </conditionalFormatting>
  <conditionalFormatting sqref="E654">
    <cfRule type="containsText" dxfId="0" priority="303" operator="containsText" text="Problem">
      <formula>NOT(ISERROR(SEARCH(("Problem"),(E654))))</formula>
    </cfRule>
  </conditionalFormatting>
  <conditionalFormatting sqref="D885:D886 E860:H886">
    <cfRule type="containsText" dxfId="0" priority="304" operator="containsText" text="Problem">
      <formula>NOT(ISERROR(SEARCH(("Problem"),(D885))))</formula>
    </cfRule>
  </conditionalFormatting>
  <conditionalFormatting sqref="D885:D886 E860:H886">
    <cfRule type="containsText" dxfId="0" priority="305" operator="containsText" text="Problem">
      <formula>NOT(ISERROR(SEARCH(("Problem"),(D885))))</formula>
    </cfRule>
  </conditionalFormatting>
  <conditionalFormatting sqref="D885:D886 E860:H886">
    <cfRule type="containsText" dxfId="0" priority="306" operator="containsText" text="Problem">
      <formula>NOT(ISERROR(SEARCH(("Problem"),(D885))))</formula>
    </cfRule>
  </conditionalFormatting>
  <conditionalFormatting sqref="D565:D589">
    <cfRule type="containsText" dxfId="0" priority="307" operator="containsText" text="Problem">
      <formula>NOT(ISERROR(SEARCH(("Problem"),(D565))))</formula>
    </cfRule>
  </conditionalFormatting>
  <conditionalFormatting sqref="D565:D589">
    <cfRule type="containsText" dxfId="0" priority="308" operator="containsText" text="Problem">
      <formula>NOT(ISERROR(SEARCH(("Problem"),(D565))))</formula>
    </cfRule>
  </conditionalFormatting>
  <conditionalFormatting sqref="D65:D92">
    <cfRule type="containsText" dxfId="0" priority="309" operator="containsText" text="Problem">
      <formula>NOT(ISERROR(SEARCH(("Problem"),(D65))))</formula>
    </cfRule>
  </conditionalFormatting>
  <conditionalFormatting sqref="D65:D92">
    <cfRule type="containsText" dxfId="0" priority="310" operator="containsText" text="Problem">
      <formula>NOT(ISERROR(SEARCH(("Problem"),(D65))))</formula>
    </cfRule>
  </conditionalFormatting>
  <conditionalFormatting sqref="D65:D92">
    <cfRule type="containsText" dxfId="0" priority="311" operator="containsText" text="Problem">
      <formula>NOT(ISERROR(SEARCH(("Problem"),(D65))))</formula>
    </cfRule>
  </conditionalFormatting>
  <conditionalFormatting sqref="H241">
    <cfRule type="containsText" dxfId="0" priority="312" operator="containsText" text="Problem">
      <formula>NOT(ISERROR(SEARCH(("Problem"),(H241))))</formula>
    </cfRule>
  </conditionalFormatting>
  <conditionalFormatting sqref="H241">
    <cfRule type="containsText" dxfId="0" priority="313" operator="containsText" text="Problem">
      <formula>NOT(ISERROR(SEARCH(("Problem"),(H241))))</formula>
    </cfRule>
  </conditionalFormatting>
  <conditionalFormatting sqref="H241">
    <cfRule type="containsText" dxfId="0" priority="314" operator="containsText" text="Problem">
      <formula>NOT(ISERROR(SEARCH(("Problem"),(H241))))</formula>
    </cfRule>
  </conditionalFormatting>
  <conditionalFormatting sqref="E831">
    <cfRule type="containsText" dxfId="0" priority="315" operator="containsText" text="Problem">
      <formula>NOT(ISERROR(SEARCH(("Problem"),(E831))))</formula>
    </cfRule>
  </conditionalFormatting>
  <conditionalFormatting sqref="E831">
    <cfRule type="containsText" dxfId="0" priority="316" operator="containsText" text="Problem">
      <formula>NOT(ISERROR(SEARCH(("Problem"),(E831))))</formula>
    </cfRule>
  </conditionalFormatting>
  <conditionalFormatting sqref="E831">
    <cfRule type="containsText" dxfId="0" priority="317" operator="containsText" text="Problem">
      <formula>NOT(ISERROR(SEARCH(("Problem"),(E831))))</formula>
    </cfRule>
  </conditionalFormatting>
  <conditionalFormatting sqref="G301:G328">
    <cfRule type="containsText" dxfId="0" priority="318" operator="containsText" text="Problem">
      <formula>NOT(ISERROR(SEARCH(("Problem"),(G301))))</formula>
    </cfRule>
  </conditionalFormatting>
  <conditionalFormatting sqref="G301:G328">
    <cfRule type="containsText" dxfId="0" priority="319" operator="containsText" text="Problem">
      <formula>NOT(ISERROR(SEARCH(("Problem"),(G301))))</formula>
    </cfRule>
  </conditionalFormatting>
  <conditionalFormatting sqref="G301:G328">
    <cfRule type="containsText" dxfId="0" priority="320" operator="containsText" text="Problem">
      <formula>NOT(ISERROR(SEARCH(("Problem"),(G301))))</formula>
    </cfRule>
  </conditionalFormatting>
  <conditionalFormatting sqref="I654">
    <cfRule type="containsText" dxfId="0" priority="321" operator="containsText" text="Problem">
      <formula>NOT(ISERROR(SEARCH(("Problem"),(I654))))</formula>
    </cfRule>
  </conditionalFormatting>
  <conditionalFormatting sqref="I654">
    <cfRule type="containsText" dxfId="0" priority="322" operator="containsText" text="Problem">
      <formula>NOT(ISERROR(SEARCH(("Problem"),(I654))))</formula>
    </cfRule>
  </conditionalFormatting>
  <conditionalFormatting sqref="I654">
    <cfRule type="containsText" dxfId="0" priority="323" operator="containsText" text="Problem">
      <formula>NOT(ISERROR(SEARCH(("Problem"),(I654))))</formula>
    </cfRule>
  </conditionalFormatting>
  <conditionalFormatting sqref="F5">
    <cfRule type="containsText" dxfId="0" priority="324" operator="containsText" text="Problem">
      <formula>NOT(ISERROR(SEARCH(("Problem"),(F5))))</formula>
    </cfRule>
  </conditionalFormatting>
  <conditionalFormatting sqref="F5">
    <cfRule type="containsText" dxfId="0" priority="325" operator="containsText" text="Problem">
      <formula>NOT(ISERROR(SEARCH(("Problem"),(F5))))</formula>
    </cfRule>
  </conditionalFormatting>
  <conditionalFormatting sqref="F5">
    <cfRule type="containsText" dxfId="0" priority="326" operator="containsText" text="Problem">
      <formula>NOT(ISERROR(SEARCH(("Problem"),(F5))))</formula>
    </cfRule>
  </conditionalFormatting>
  <conditionalFormatting sqref="D713">
    <cfRule type="containsText" dxfId="0" priority="327" operator="containsText" text="Problem">
      <formula>NOT(ISERROR(SEARCH(("Problem"),(D713))))</formula>
    </cfRule>
  </conditionalFormatting>
  <conditionalFormatting sqref="E300">
    <cfRule type="containsText" dxfId="0" priority="328" operator="containsText" text="Problem">
      <formula>NOT(ISERROR(SEARCH(("Problem"),(E300))))</formula>
    </cfRule>
  </conditionalFormatting>
  <conditionalFormatting sqref="E300">
    <cfRule type="containsText" dxfId="0" priority="329" operator="containsText" text="Problem">
      <formula>NOT(ISERROR(SEARCH(("Problem"),(E300))))</formula>
    </cfRule>
  </conditionalFormatting>
  <conditionalFormatting sqref="E300">
    <cfRule type="containsText" dxfId="0" priority="330" operator="containsText" text="Problem">
      <formula>NOT(ISERROR(SEARCH(("Problem"),(E300))))</formula>
    </cfRule>
  </conditionalFormatting>
  <conditionalFormatting sqref="I64">
    <cfRule type="containsText" dxfId="0" priority="331" operator="containsText" text="Problem">
      <formula>NOT(ISERROR(SEARCH(("Problem"),(I64))))</formula>
    </cfRule>
  </conditionalFormatting>
  <conditionalFormatting sqref="I64">
    <cfRule type="containsText" dxfId="0" priority="332" operator="containsText" text="Problem">
      <formula>NOT(ISERROR(SEARCH(("Problem"),(I64))))</formula>
    </cfRule>
  </conditionalFormatting>
  <conditionalFormatting sqref="I64">
    <cfRule type="containsText" dxfId="0" priority="333" operator="containsText" text="Problem">
      <formula>NOT(ISERROR(SEARCH(("Problem"),(I64))))</formula>
    </cfRule>
  </conditionalFormatting>
  <conditionalFormatting sqref="F360:F387">
    <cfRule type="containsText" dxfId="0" priority="334" operator="containsText" text="Problem">
      <formula>NOT(ISERROR(SEARCH(("Problem"),(F360))))</formula>
    </cfRule>
  </conditionalFormatting>
  <conditionalFormatting sqref="F360:F387">
    <cfRule type="containsText" dxfId="0" priority="335" operator="containsText" text="Problem">
      <formula>NOT(ISERROR(SEARCH(("Problem"),(F360))))</formula>
    </cfRule>
  </conditionalFormatting>
  <conditionalFormatting sqref="F360:F387">
    <cfRule type="containsText" dxfId="0" priority="336" operator="containsText" text="Problem">
      <formula>NOT(ISERROR(SEARCH(("Problem"),(F360))))</formula>
    </cfRule>
  </conditionalFormatting>
  <conditionalFormatting sqref="C534 E534:I534">
    <cfRule type="containsText" dxfId="0" priority="337" operator="containsText" text="Problem">
      <formula>NOT(ISERROR(SEARCH(("Problem"),(C534))))</formula>
    </cfRule>
  </conditionalFormatting>
  <conditionalFormatting sqref="C534 E534:I534">
    <cfRule type="containsText" dxfId="0" priority="338" operator="containsText" text="Problem">
      <formula>NOT(ISERROR(SEARCH(("Problem"),(C534))))</formula>
    </cfRule>
  </conditionalFormatting>
  <conditionalFormatting sqref="C534 E534:I534">
    <cfRule type="containsText" dxfId="0" priority="339" operator="containsText" text="Problem">
      <formula>NOT(ISERROR(SEARCH(("Problem"),(C534))))</formula>
    </cfRule>
  </conditionalFormatting>
  <conditionalFormatting sqref="I478:I505">
    <cfRule type="containsText" dxfId="0" priority="340" operator="containsText" text="Problem">
      <formula>NOT(ISERROR(SEARCH(("Problem"),(I478))))</formula>
    </cfRule>
  </conditionalFormatting>
  <conditionalFormatting sqref="I478:I505">
    <cfRule type="containsText" dxfId="0" priority="341" operator="containsText" text="Problem">
      <formula>NOT(ISERROR(SEARCH(("Problem"),(I478))))</formula>
    </cfRule>
  </conditionalFormatting>
  <conditionalFormatting sqref="I478:I505">
    <cfRule type="containsText" dxfId="0" priority="342" operator="containsText" text="Problem">
      <formula>NOT(ISERROR(SEARCH(("Problem"),(I478))))</formula>
    </cfRule>
  </conditionalFormatting>
  <conditionalFormatting sqref="I478:I505">
    <cfRule type="containsText" dxfId="0" priority="343" operator="containsText" text="Problem">
      <formula>NOT(ISERROR(SEARCH(("Problem"),(I478))))</formula>
    </cfRule>
  </conditionalFormatting>
  <conditionalFormatting sqref="E891:I945">
    <cfRule type="containsText" dxfId="0" priority="344" operator="containsText" text="Problem">
      <formula>NOT(ISERROR(SEARCH(("Problem"),(E891))))</formula>
    </cfRule>
  </conditionalFormatting>
  <conditionalFormatting sqref="E891:I945">
    <cfRule type="containsText" dxfId="0" priority="345" operator="containsText" text="Problem">
      <formula>NOT(ISERROR(SEARCH(("Problem"),(E891))))</formula>
    </cfRule>
  </conditionalFormatting>
  <conditionalFormatting sqref="E891:I945">
    <cfRule type="containsText" dxfId="0" priority="346" operator="containsText" text="Problem">
      <formula>NOT(ISERROR(SEARCH(("Problem"),(E891))))</formula>
    </cfRule>
  </conditionalFormatting>
  <conditionalFormatting sqref="I832:I859">
    <cfRule type="containsText" dxfId="0" priority="347" operator="containsText" text="Problem">
      <formula>NOT(ISERROR(SEARCH(("Problem"),(I832))))</formula>
    </cfRule>
  </conditionalFormatting>
  <conditionalFormatting sqref="I832:I859">
    <cfRule type="containsText" dxfId="0" priority="348" operator="containsText" text="Problem">
      <formula>NOT(ISERROR(SEARCH(("Problem"),(I832))))</formula>
    </cfRule>
  </conditionalFormatting>
  <conditionalFormatting sqref="I832:I859">
    <cfRule type="containsText" dxfId="0" priority="349" operator="containsText" text="Problem">
      <formula>NOT(ISERROR(SEARCH(("Problem"),(I832))))</formula>
    </cfRule>
  </conditionalFormatting>
  <conditionalFormatting sqref="I832:I859">
    <cfRule type="containsText" dxfId="0" priority="350" operator="containsText" text="Problem">
      <formula>NOT(ISERROR(SEARCH(("Problem"),(I832))))</formula>
    </cfRule>
  </conditionalFormatting>
  <conditionalFormatting sqref="C121 E121:I121">
    <cfRule type="containsText" dxfId="0" priority="351" operator="containsText" text="Problem">
      <formula>NOT(ISERROR(SEARCH(("Problem"),(C121))))</formula>
    </cfRule>
  </conditionalFormatting>
  <conditionalFormatting sqref="C121 E121:I121">
    <cfRule type="containsText" dxfId="0" priority="352" operator="containsText" text="Problem">
      <formula>NOT(ISERROR(SEARCH(("Problem"),(C121))))</formula>
    </cfRule>
  </conditionalFormatting>
  <conditionalFormatting sqref="C121 E121:I121">
    <cfRule type="containsText" dxfId="0" priority="353" operator="containsText" text="Problem">
      <formula>NOT(ISERROR(SEARCH(("Problem"),(C121))))</formula>
    </cfRule>
  </conditionalFormatting>
  <conditionalFormatting sqref="F537:F564">
    <cfRule type="containsText" dxfId="0" priority="354" operator="containsText" text="Problem">
      <formula>NOT(ISERROR(SEARCH(("Problem"),(F537))))</formula>
    </cfRule>
  </conditionalFormatting>
  <conditionalFormatting sqref="F537:F564">
    <cfRule type="containsText" dxfId="0" priority="355" operator="containsText" text="Problem">
      <formula>NOT(ISERROR(SEARCH(("Problem"),(F537))))</formula>
    </cfRule>
  </conditionalFormatting>
  <conditionalFormatting sqref="F537:F564">
    <cfRule type="containsText" dxfId="0" priority="356" operator="containsText" text="Problem">
      <formula>NOT(ISERROR(SEARCH(("Problem"),(F537))))</formula>
    </cfRule>
  </conditionalFormatting>
  <conditionalFormatting sqref="I6:I34">
    <cfRule type="containsText" dxfId="0" priority="357" operator="containsText" text="Problem">
      <formula>NOT(ISERROR(SEARCH(("Problem"),(I6))))</formula>
    </cfRule>
  </conditionalFormatting>
  <conditionalFormatting sqref="I6:I34">
    <cfRule type="containsText" dxfId="0" priority="358" operator="containsText" text="Problem">
      <formula>NOT(ISERROR(SEARCH(("Problem"),(I6))))</formula>
    </cfRule>
  </conditionalFormatting>
  <conditionalFormatting sqref="I6:I34">
    <cfRule type="containsText" dxfId="0" priority="359" operator="containsText" text="Problem">
      <formula>NOT(ISERROR(SEARCH(("Problem"),(I6))))</formula>
    </cfRule>
  </conditionalFormatting>
  <conditionalFormatting sqref="I6:I34">
    <cfRule type="containsText" dxfId="0" priority="360" operator="containsText" text="Problem">
      <formula>NOT(ISERROR(SEARCH(("Problem"),(I6))))</formula>
    </cfRule>
  </conditionalFormatting>
  <conditionalFormatting sqref="I6:I34">
    <cfRule type="containsText" dxfId="0" priority="361" operator="containsText" text="Problem">
      <formula>NOT(ISERROR(SEARCH(("Problem"),(I6))))</formula>
    </cfRule>
  </conditionalFormatting>
  <conditionalFormatting sqref="I6:I34">
    <cfRule type="containsText" dxfId="0" priority="362" operator="containsText" text="Problem">
      <formula>NOT(ISERROR(SEARCH(("Problem"),(I6))))</formula>
    </cfRule>
  </conditionalFormatting>
  <conditionalFormatting sqref="H183:H210">
    <cfRule type="containsText" dxfId="0" priority="363" operator="containsText" text="Problem">
      <formula>NOT(ISERROR(SEARCH(("Problem"),(H183))))</formula>
    </cfRule>
  </conditionalFormatting>
  <conditionalFormatting sqref="H183:H210">
    <cfRule type="containsText" dxfId="0" priority="364" operator="containsText" text="Problem">
      <formula>NOT(ISERROR(SEARCH(("Problem"),(H183))))</formula>
    </cfRule>
  </conditionalFormatting>
  <conditionalFormatting sqref="H183:H210">
    <cfRule type="containsText" dxfId="0" priority="365" operator="containsText" text="Problem">
      <formula>NOT(ISERROR(SEARCH(("Problem"),(H183))))</formula>
    </cfRule>
  </conditionalFormatting>
  <conditionalFormatting sqref="D506:D530">
    <cfRule type="containsText" dxfId="0" priority="366" operator="containsText" text="Problem">
      <formula>NOT(ISERROR(SEARCH(("Problem"),(D506))))</formula>
    </cfRule>
  </conditionalFormatting>
  <conditionalFormatting sqref="D506:D530">
    <cfRule type="containsText" dxfId="0" priority="367" operator="containsText" text="Problem">
      <formula>NOT(ISERROR(SEARCH(("Problem"),(D506))))</formula>
    </cfRule>
  </conditionalFormatting>
  <conditionalFormatting sqref="B632:C632 B644:B647 B649:C650 C601:C631 C641:C647">
    <cfRule type="containsText" dxfId="0" priority="368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369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370" operator="containsText" text="Problem">
      <formula>NOT(ISERROR(SEARCH(("Problem"),(B632))))</formula>
    </cfRule>
  </conditionalFormatting>
  <conditionalFormatting sqref="F64">
    <cfRule type="containsText" dxfId="0" priority="371" operator="containsText" text="Problem">
      <formula>NOT(ISERROR(SEARCH(("Problem"),(F64))))</formula>
    </cfRule>
  </conditionalFormatting>
  <conditionalFormatting sqref="F64">
    <cfRule type="containsText" dxfId="0" priority="372" operator="containsText" text="Problem">
      <formula>NOT(ISERROR(SEARCH(("Problem"),(F64))))</formula>
    </cfRule>
  </conditionalFormatting>
  <conditionalFormatting sqref="F64">
    <cfRule type="containsText" dxfId="0" priority="373" operator="containsText" text="Problem">
      <formula>NOT(ISERROR(SEARCH(("Problem"),(F64))))</formula>
    </cfRule>
  </conditionalFormatting>
  <conditionalFormatting sqref="B868:C868 B880:B883 B885:C886 C837:C867 C877:C883">
    <cfRule type="containsText" dxfId="0" priority="374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375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376" operator="containsText" text="Problem">
      <formula>NOT(ISERROR(SEARCH(("Problem"),(B868))))</formula>
    </cfRule>
  </conditionalFormatting>
  <conditionalFormatting sqref="C829 E829:I829">
    <cfRule type="containsText" dxfId="0" priority="377" operator="containsText" text="Problem">
      <formula>NOT(ISERROR(SEARCH(("Problem"),(C829))))</formula>
    </cfRule>
  </conditionalFormatting>
  <conditionalFormatting sqref="C829 E829:I829">
    <cfRule type="containsText" dxfId="0" priority="378" operator="containsText" text="Problem">
      <formula>NOT(ISERROR(SEARCH(("Problem"),(C829))))</formula>
    </cfRule>
  </conditionalFormatting>
  <conditionalFormatting sqref="C829 E829:I829">
    <cfRule type="containsText" dxfId="0" priority="379" operator="containsText" text="Problem">
      <formula>NOT(ISERROR(SEARCH(("Problem"),(C829))))</formula>
    </cfRule>
  </conditionalFormatting>
  <conditionalFormatting sqref="D624:D648">
    <cfRule type="containsText" dxfId="0" priority="380" operator="containsText" text="Problem">
      <formula>NOT(ISERROR(SEARCH(("Problem"),(D624))))</formula>
    </cfRule>
  </conditionalFormatting>
  <conditionalFormatting sqref="D624:D648">
    <cfRule type="containsText" dxfId="0" priority="381" operator="containsText" text="Problem">
      <formula>NOT(ISERROR(SEARCH(("Problem"),(D624))))</formula>
    </cfRule>
  </conditionalFormatting>
  <conditionalFormatting sqref="G64">
    <cfRule type="containsText" dxfId="0" priority="382" operator="containsText" text="Problem">
      <formula>NOT(ISERROR(SEARCH(("Problem"),(G64))))</formula>
    </cfRule>
  </conditionalFormatting>
  <conditionalFormatting sqref="G64">
    <cfRule type="containsText" dxfId="0" priority="383" operator="containsText" text="Problem">
      <formula>NOT(ISERROR(SEARCH(("Problem"),(G64))))</formula>
    </cfRule>
  </conditionalFormatting>
  <conditionalFormatting sqref="G64">
    <cfRule type="containsText" dxfId="0" priority="384" operator="containsText" text="Problem">
      <formula>NOT(ISERROR(SEARCH(("Problem"),(G64))))</formula>
    </cfRule>
  </conditionalFormatting>
  <conditionalFormatting sqref="I65:I92">
    <cfRule type="containsText" dxfId="0" priority="385" operator="containsText" text="Problem">
      <formula>NOT(ISERROR(SEARCH(("Problem"),(I65))))</formula>
    </cfRule>
  </conditionalFormatting>
  <conditionalFormatting sqref="I65:I92">
    <cfRule type="containsText" dxfId="0" priority="386" operator="containsText" text="Problem">
      <formula>NOT(ISERROR(SEARCH(("Problem"),(I65))))</formula>
    </cfRule>
  </conditionalFormatting>
  <conditionalFormatting sqref="I65:I92">
    <cfRule type="containsText" dxfId="0" priority="387" operator="containsText" text="Problem">
      <formula>NOT(ISERROR(SEARCH(("Problem"),(I65))))</formula>
    </cfRule>
  </conditionalFormatting>
  <conditionalFormatting sqref="I65:I92">
    <cfRule type="containsText" dxfId="0" priority="388" operator="containsText" text="Problem">
      <formula>NOT(ISERROR(SEARCH(("Problem"),(I65))))</formula>
    </cfRule>
  </conditionalFormatting>
  <conditionalFormatting sqref="E5">
    <cfRule type="containsText" dxfId="0" priority="389" operator="containsText" text="Problem">
      <formula>NOT(ISERROR(SEARCH(("Problem"),(E5))))</formula>
    </cfRule>
  </conditionalFormatting>
  <conditionalFormatting sqref="E5">
    <cfRule type="containsText" dxfId="0" priority="390" operator="containsText" text="Problem">
      <formula>NOT(ISERROR(SEARCH(("Problem"),(E5))))</formula>
    </cfRule>
  </conditionalFormatting>
  <conditionalFormatting sqref="E5">
    <cfRule type="containsText" dxfId="0" priority="391" operator="containsText" text="Problem">
      <formula>NOT(ISERROR(SEARCH(("Problem"),(E5))))</formula>
    </cfRule>
  </conditionalFormatting>
  <conditionalFormatting sqref="H182">
    <cfRule type="containsText" dxfId="0" priority="392" operator="containsText" text="Problem">
      <formula>NOT(ISERROR(SEARCH(("Problem"),(H182))))</formula>
    </cfRule>
  </conditionalFormatting>
  <conditionalFormatting sqref="H182">
    <cfRule type="containsText" dxfId="0" priority="393" operator="containsText" text="Problem">
      <formula>NOT(ISERROR(SEARCH(("Problem"),(H182))))</formula>
    </cfRule>
  </conditionalFormatting>
  <conditionalFormatting sqref="H182">
    <cfRule type="containsText" dxfId="0" priority="394" operator="containsText" text="Problem">
      <formula>NOT(ISERROR(SEARCH(("Problem"),(H182))))</formula>
    </cfRule>
  </conditionalFormatting>
  <conditionalFormatting sqref="A239 J239:P239">
    <cfRule type="containsText" dxfId="0" priority="395" operator="containsText" text="Problem">
      <formula>NOT(ISERROR(SEARCH(("Problem"),(A239))))</formula>
    </cfRule>
  </conditionalFormatting>
  <conditionalFormatting sqref="A239 J239:P239">
    <cfRule type="containsText" dxfId="0" priority="396" operator="containsText" text="Problem">
      <formula>NOT(ISERROR(SEARCH(("Problem"),(A239))))</formula>
    </cfRule>
  </conditionalFormatting>
  <conditionalFormatting sqref="A239 J239:P239">
    <cfRule type="containsText" dxfId="0" priority="397" operator="containsText" text="Problem">
      <formula>NOT(ISERROR(SEARCH(("Problem"),(A239))))</formula>
    </cfRule>
  </conditionalFormatting>
  <conditionalFormatting sqref="A829 J829:P829">
    <cfRule type="containsText" dxfId="0" priority="398" operator="containsText" text="Problem">
      <formula>NOT(ISERROR(SEARCH(("Problem"),(A829))))</formula>
    </cfRule>
  </conditionalFormatting>
  <conditionalFormatting sqref="A829 J829:P829">
    <cfRule type="containsText" dxfId="0" priority="399" operator="containsText" text="Problem">
      <formula>NOT(ISERROR(SEARCH(("Problem"),(A829))))</formula>
    </cfRule>
  </conditionalFormatting>
  <conditionalFormatting sqref="A829 J829:P829">
    <cfRule type="containsText" dxfId="0" priority="400" operator="containsText" text="Problem">
      <formula>NOT(ISERROR(SEARCH(("Problem"),(A829))))</formula>
    </cfRule>
  </conditionalFormatting>
  <conditionalFormatting sqref="H65:H92">
    <cfRule type="containsText" dxfId="0" priority="401" operator="containsText" text="Problem">
      <formula>NOT(ISERROR(SEARCH(("Problem"),(H65))))</formula>
    </cfRule>
  </conditionalFormatting>
  <conditionalFormatting sqref="H65:H92">
    <cfRule type="containsText" dxfId="0" priority="402" operator="containsText" text="Problem">
      <formula>NOT(ISERROR(SEARCH(("Problem"),(H65))))</formula>
    </cfRule>
  </conditionalFormatting>
  <conditionalFormatting sqref="H65:H92">
    <cfRule type="containsText" dxfId="0" priority="403" operator="containsText" text="Problem">
      <formula>NOT(ISERROR(SEARCH(("Problem"),(H65))))</formula>
    </cfRule>
  </conditionalFormatting>
  <conditionalFormatting sqref="E890:I890">
    <cfRule type="containsText" dxfId="0" priority="404" operator="containsText" text="Problem">
      <formula>NOT(ISERROR(SEARCH(("Problem"),(E890))))</formula>
    </cfRule>
  </conditionalFormatting>
  <conditionalFormatting sqref="E890:I890">
    <cfRule type="containsText" dxfId="0" priority="405" operator="containsText" text="Problem">
      <formula>NOT(ISERROR(SEARCH(("Problem"),(E890))))</formula>
    </cfRule>
  </conditionalFormatting>
  <conditionalFormatting sqref="E890:I890">
    <cfRule type="containsText" dxfId="0" priority="406" operator="containsText" text="Problem">
      <formula>NOT(ISERROR(SEARCH(("Problem"),(E890))))</formula>
    </cfRule>
  </conditionalFormatting>
  <conditionalFormatting sqref="H537:H564">
    <cfRule type="containsText" dxfId="0" priority="407" operator="containsText" text="Problem">
      <formula>NOT(ISERROR(SEARCH(("Problem"),(H537))))</formula>
    </cfRule>
  </conditionalFormatting>
  <conditionalFormatting sqref="H537:H564">
    <cfRule type="containsText" dxfId="0" priority="408" operator="containsText" text="Problem">
      <formula>NOT(ISERROR(SEARCH(("Problem"),(H537))))</formula>
    </cfRule>
  </conditionalFormatting>
  <conditionalFormatting sqref="H537:H564">
    <cfRule type="containsText" dxfId="0" priority="409" operator="containsText" text="Problem">
      <formula>NOT(ISERROR(SEARCH(("Problem"),(H537))))</formula>
    </cfRule>
  </conditionalFormatting>
  <conditionalFormatting sqref="G65:G92">
    <cfRule type="containsText" dxfId="0" priority="410" operator="containsText" text="Problem">
      <formula>NOT(ISERROR(SEARCH(("Problem"),(G65))))</formula>
    </cfRule>
  </conditionalFormatting>
  <conditionalFormatting sqref="G65:G92">
    <cfRule type="containsText" dxfId="0" priority="411" operator="containsText" text="Problem">
      <formula>NOT(ISERROR(SEARCH(("Problem"),(G65))))</formula>
    </cfRule>
  </conditionalFormatting>
  <conditionalFormatting sqref="G65:G92">
    <cfRule type="containsText" dxfId="0" priority="412" operator="containsText" text="Problem">
      <formula>NOT(ISERROR(SEARCH(("Problem"),(G65))))</formula>
    </cfRule>
  </conditionalFormatting>
  <conditionalFormatting sqref="F123">
    <cfRule type="containsText" dxfId="0" priority="413" operator="containsText" text="Problem">
      <formula>NOT(ISERROR(SEARCH(("Problem"),(F123))))</formula>
    </cfRule>
  </conditionalFormatting>
  <conditionalFormatting sqref="F123">
    <cfRule type="containsText" dxfId="0" priority="414" operator="containsText" text="Problem">
      <formula>NOT(ISERROR(SEARCH(("Problem"),(F123))))</formula>
    </cfRule>
  </conditionalFormatting>
  <conditionalFormatting sqref="F123">
    <cfRule type="containsText" dxfId="0" priority="415" operator="containsText" text="Problem">
      <formula>NOT(ISERROR(SEARCH(("Problem"),(F123))))</formula>
    </cfRule>
  </conditionalFormatting>
  <conditionalFormatting sqref="G536">
    <cfRule type="containsText" dxfId="0" priority="416" operator="containsText" text="Problem">
      <formula>NOT(ISERROR(SEARCH(("Problem"),(G536))))</formula>
    </cfRule>
  </conditionalFormatting>
  <conditionalFormatting sqref="G536">
    <cfRule type="containsText" dxfId="0" priority="417" operator="containsText" text="Problem">
      <formula>NOT(ISERROR(SEARCH(("Problem"),(G536))))</formula>
    </cfRule>
  </conditionalFormatting>
  <conditionalFormatting sqref="G536">
    <cfRule type="containsText" dxfId="0" priority="418" operator="containsText" text="Problem">
      <formula>NOT(ISERROR(SEARCH(("Problem"),(G536))))</formula>
    </cfRule>
  </conditionalFormatting>
  <conditionalFormatting sqref="D537:D564">
    <cfRule type="containsText" dxfId="0" priority="419" operator="containsText" text="Problem">
      <formula>NOT(ISERROR(SEARCH(("Problem"),(D537))))</formula>
    </cfRule>
  </conditionalFormatting>
  <conditionalFormatting sqref="D537:D564">
    <cfRule type="containsText" dxfId="0" priority="420" operator="containsText" text="Problem">
      <formula>NOT(ISERROR(SEARCH(("Problem"),(D537))))</formula>
    </cfRule>
  </conditionalFormatting>
  <conditionalFormatting sqref="D537:D564">
    <cfRule type="containsText" dxfId="0" priority="421" operator="containsText" text="Problem">
      <formula>NOT(ISERROR(SEARCH(("Problem"),(D537))))</formula>
    </cfRule>
  </conditionalFormatting>
  <conditionalFormatting sqref="A358:I358 A415:H415 I388:I415 J358:P415">
    <cfRule type="containsText" dxfId="0" priority="422" operator="containsText" text="Problem">
      <formula>NOT(ISERROR(SEARCH(("Problem"),(A358))))</formula>
    </cfRule>
  </conditionalFormatting>
  <conditionalFormatting sqref="A358:I358 A415:H415 I388:I415 J358:P415">
    <cfRule type="containsText" dxfId="0" priority="423" operator="containsText" text="Problem">
      <formula>NOT(ISERROR(SEARCH(("Problem"),(A358))))</formula>
    </cfRule>
  </conditionalFormatting>
  <conditionalFormatting sqref="A358:I358 A415:H415 I388:I415 J358:P415">
    <cfRule type="containsText" dxfId="0" priority="424" operator="containsText" text="Problem">
      <formula>NOT(ISERROR(SEARCH(("Problem"),(A358))))</formula>
    </cfRule>
  </conditionalFormatting>
  <conditionalFormatting sqref="D773:D800">
    <cfRule type="containsText" dxfId="0" priority="425" operator="containsText" text="Problem">
      <formula>NOT(ISERROR(SEARCH(("Problem"),(D773))))</formula>
    </cfRule>
  </conditionalFormatting>
  <conditionalFormatting sqref="D773:D800">
    <cfRule type="containsText" dxfId="0" priority="426" operator="containsText" text="Problem">
      <formula>NOT(ISERROR(SEARCH(("Problem"),(D773))))</formula>
    </cfRule>
  </conditionalFormatting>
  <conditionalFormatting sqref="D773:D800">
    <cfRule type="containsText" dxfId="0" priority="427" operator="containsText" text="Problem">
      <formula>NOT(ISERROR(SEARCH(("Problem"),(D773))))</formula>
    </cfRule>
  </conditionalFormatting>
  <conditionalFormatting sqref="B455:C455 B467:B470 B472:C473 C424:C454 C464:C470">
    <cfRule type="containsText" dxfId="0" priority="428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429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430" operator="containsText" text="Problem">
      <formula>NOT(ISERROR(SEARCH(("Problem"),(B455))))</formula>
    </cfRule>
  </conditionalFormatting>
  <conditionalFormatting sqref="G182">
    <cfRule type="containsText" dxfId="0" priority="431" operator="containsText" text="Problem">
      <formula>NOT(ISERROR(SEARCH(("Problem"),(G182))))</formula>
    </cfRule>
  </conditionalFormatting>
  <conditionalFormatting sqref="G182">
    <cfRule type="containsText" dxfId="0" priority="432" operator="containsText" text="Problem">
      <formula>NOT(ISERROR(SEARCH(("Problem"),(G182))))</formula>
    </cfRule>
  </conditionalFormatting>
  <conditionalFormatting sqref="G182">
    <cfRule type="containsText" dxfId="0" priority="433" operator="containsText" text="Problem">
      <formula>NOT(ISERROR(SEARCH(("Problem"),(G182))))</formula>
    </cfRule>
  </conditionalFormatting>
  <conditionalFormatting sqref="D419:D446">
    <cfRule type="containsText" dxfId="0" priority="434" operator="containsText" text="Problem">
      <formula>NOT(ISERROR(SEARCH(("Problem"),(D419))))</formula>
    </cfRule>
  </conditionalFormatting>
  <conditionalFormatting sqref="D419:D446">
    <cfRule type="containsText" dxfId="0" priority="435" operator="containsText" text="Problem">
      <formula>NOT(ISERROR(SEARCH(("Problem"),(D419))))</formula>
    </cfRule>
  </conditionalFormatting>
  <conditionalFormatting sqref="D419:D446">
    <cfRule type="containsText" dxfId="0" priority="436" operator="containsText" text="Problem">
      <formula>NOT(ISERROR(SEARCH(("Problem"),(D419))))</formula>
    </cfRule>
  </conditionalFormatting>
  <conditionalFormatting sqref="A652 J652:P652">
    <cfRule type="containsText" dxfId="0" priority="437" operator="containsText" text="Problem">
      <formula>NOT(ISERROR(SEARCH(("Problem"),(A652))))</formula>
    </cfRule>
  </conditionalFormatting>
  <conditionalFormatting sqref="A652 J652:P652">
    <cfRule type="containsText" dxfId="0" priority="438" operator="containsText" text="Problem">
      <formula>NOT(ISERROR(SEARCH(("Problem"),(A652))))</formula>
    </cfRule>
  </conditionalFormatting>
  <conditionalFormatting sqref="A652 J652:P652">
    <cfRule type="containsText" dxfId="0" priority="439" operator="containsText" text="Problem">
      <formula>NOT(ISERROR(SEARCH(("Problem"),(A652))))</formula>
    </cfRule>
  </conditionalFormatting>
  <conditionalFormatting sqref="A595:A650">
    <cfRule type="containsText" dxfId="0" priority="440" operator="containsText" text="Problem">
      <formula>NOT(ISERROR(SEARCH(("Problem"),(A595))))</formula>
    </cfRule>
  </conditionalFormatting>
  <conditionalFormatting sqref="A595:A650">
    <cfRule type="containsText" dxfId="0" priority="441" operator="containsText" text="Problem">
      <formula>NOT(ISERROR(SEARCH(("Problem"),(A595))))</formula>
    </cfRule>
  </conditionalFormatting>
  <conditionalFormatting sqref="A595:A650">
    <cfRule type="containsText" dxfId="0" priority="442" operator="containsText" text="Problem">
      <formula>NOT(ISERROR(SEARCH(("Problem"),(A595))))</formula>
    </cfRule>
  </conditionalFormatting>
  <conditionalFormatting sqref="F182">
    <cfRule type="containsText" dxfId="0" priority="443" operator="containsText" text="Problem">
      <formula>NOT(ISERROR(SEARCH(("Problem"),(F182))))</formula>
    </cfRule>
  </conditionalFormatting>
  <conditionalFormatting sqref="F182">
    <cfRule type="containsText" dxfId="0" priority="444" operator="containsText" text="Problem">
      <formula>NOT(ISERROR(SEARCH(("Problem"),(F182))))</formula>
    </cfRule>
  </conditionalFormatting>
  <conditionalFormatting sqref="F182">
    <cfRule type="containsText" dxfId="0" priority="445" operator="containsText" text="Problem">
      <formula>NOT(ISERROR(SEARCH(("Problem"),(F182))))</formula>
    </cfRule>
  </conditionalFormatting>
  <conditionalFormatting sqref="D742:D766">
    <cfRule type="containsText" dxfId="0" priority="446" operator="containsText" text="Problem">
      <formula>NOT(ISERROR(SEARCH(("Problem"),(D742))))</formula>
    </cfRule>
  </conditionalFormatting>
  <conditionalFormatting sqref="D742:D766">
    <cfRule type="containsText" dxfId="0" priority="447" operator="containsText" text="Problem">
      <formula>NOT(ISERROR(SEARCH(("Problem"),(D742))))</formula>
    </cfRule>
  </conditionalFormatting>
  <conditionalFormatting sqref="G419:G446">
    <cfRule type="containsText" dxfId="0" priority="448" operator="containsText" text="Problem">
      <formula>NOT(ISERROR(SEARCH(("Problem"),(G419))))</formula>
    </cfRule>
  </conditionalFormatting>
  <conditionalFormatting sqref="G419:G446">
    <cfRule type="containsText" dxfId="0" priority="449" operator="containsText" text="Problem">
      <formula>NOT(ISERROR(SEARCH(("Problem"),(G419))))</formula>
    </cfRule>
  </conditionalFormatting>
  <conditionalFormatting sqref="G419:G446">
    <cfRule type="containsText" dxfId="0" priority="450" operator="containsText" text="Problem">
      <formula>NOT(ISERROR(SEARCH(("Problem"),(G419))))</formula>
    </cfRule>
  </conditionalFormatting>
  <conditionalFormatting sqref="F714:F741">
    <cfRule type="containsText" dxfId="0" priority="451" operator="containsText" text="Problem">
      <formula>NOT(ISERROR(SEARCH(("Problem"),(F714))))</formula>
    </cfRule>
  </conditionalFormatting>
  <conditionalFormatting sqref="F714:F741">
    <cfRule type="containsText" dxfId="0" priority="452" operator="containsText" text="Problem">
      <formula>NOT(ISERROR(SEARCH(("Problem"),(F714))))</formula>
    </cfRule>
  </conditionalFormatting>
  <conditionalFormatting sqref="F714:F741">
    <cfRule type="containsText" dxfId="0" priority="453" operator="containsText" text="Problem">
      <formula>NOT(ISERROR(SEARCH(("Problem"),(F714))))</formula>
    </cfRule>
  </conditionalFormatting>
  <conditionalFormatting sqref="D472:D473 E447:H473">
    <cfRule type="containsText" dxfId="0" priority="454" operator="containsText" text="Problem">
      <formula>NOT(ISERROR(SEARCH(("Problem"),(D472))))</formula>
    </cfRule>
  </conditionalFormatting>
  <conditionalFormatting sqref="D472:D473 E447:H473">
    <cfRule type="containsText" dxfId="0" priority="455" operator="containsText" text="Problem">
      <formula>NOT(ISERROR(SEARCH(("Problem"),(D472))))</formula>
    </cfRule>
  </conditionalFormatting>
  <conditionalFormatting sqref="D472:D473 E447:H473">
    <cfRule type="containsText" dxfId="0" priority="456" operator="containsText" text="Problem">
      <formula>NOT(ISERROR(SEARCH(("Problem"),(D472))))</formula>
    </cfRule>
  </conditionalFormatting>
  <conditionalFormatting sqref="H832:H859">
    <cfRule type="containsText" dxfId="0" priority="457" operator="containsText" text="Problem">
      <formula>NOT(ISERROR(SEARCH(("Problem"),(H832))))</formula>
    </cfRule>
  </conditionalFormatting>
  <conditionalFormatting sqref="H832:H859">
    <cfRule type="containsText" dxfId="0" priority="458" operator="containsText" text="Problem">
      <formula>NOT(ISERROR(SEARCH(("Problem"),(H832))))</formula>
    </cfRule>
  </conditionalFormatting>
  <conditionalFormatting sqref="H832:H859">
    <cfRule type="containsText" dxfId="0" priority="459" operator="containsText" text="Problem">
      <formula>NOT(ISERROR(SEARCH(("Problem"),(H832))))</formula>
    </cfRule>
  </conditionalFormatting>
  <conditionalFormatting sqref="H124:H151">
    <cfRule type="containsText" dxfId="0" priority="460" operator="containsText" text="Problem">
      <formula>NOT(ISERROR(SEARCH(("Problem"),(H124))))</formula>
    </cfRule>
  </conditionalFormatting>
  <conditionalFormatting sqref="H124:H151">
    <cfRule type="containsText" dxfId="0" priority="461" operator="containsText" text="Problem">
      <formula>NOT(ISERROR(SEARCH(("Problem"),(H124))))</formula>
    </cfRule>
  </conditionalFormatting>
  <conditionalFormatting sqref="H124:H151">
    <cfRule type="containsText" dxfId="0" priority="462" operator="containsText" text="Problem">
      <formula>NOT(ISERROR(SEARCH(("Problem"),(H124))))</formula>
    </cfRule>
  </conditionalFormatting>
  <conditionalFormatting sqref="E772">
    <cfRule type="containsText" dxfId="0" priority="463" operator="containsText" text="Problem">
      <formula>NOT(ISERROR(SEARCH(("Problem"),(E772))))</formula>
    </cfRule>
  </conditionalFormatting>
  <conditionalFormatting sqref="E772">
    <cfRule type="containsText" dxfId="0" priority="464" operator="containsText" text="Problem">
      <formula>NOT(ISERROR(SEARCH(("Problem"),(E772))))</formula>
    </cfRule>
  </conditionalFormatting>
  <conditionalFormatting sqref="E772">
    <cfRule type="containsText" dxfId="0" priority="465" operator="containsText" text="Problem">
      <formula>NOT(ISERROR(SEARCH(("Problem"),(E772))))</formula>
    </cfRule>
  </conditionalFormatting>
  <conditionalFormatting sqref="F831">
    <cfRule type="containsText" dxfId="0" priority="466" operator="containsText" text="Problem">
      <formula>NOT(ISERROR(SEARCH(("Problem"),(F831))))</formula>
    </cfRule>
  </conditionalFormatting>
  <conditionalFormatting sqref="F831">
    <cfRule type="containsText" dxfId="0" priority="467" operator="containsText" text="Problem">
      <formula>NOT(ISERROR(SEARCH(("Problem"),(F831))))</formula>
    </cfRule>
  </conditionalFormatting>
  <conditionalFormatting sqref="F831">
    <cfRule type="containsText" dxfId="0" priority="468" operator="containsText" text="Problem">
      <formula>NOT(ISERROR(SEARCH(("Problem"),(F831))))</formula>
    </cfRule>
  </conditionalFormatting>
  <conditionalFormatting sqref="I418">
    <cfRule type="containsText" dxfId="0" priority="469" operator="containsText" text="Problem">
      <formula>NOT(ISERROR(SEARCH(("Problem"),(I418))))</formula>
    </cfRule>
  </conditionalFormatting>
  <conditionalFormatting sqref="I418">
    <cfRule type="containsText" dxfId="0" priority="470" operator="containsText" text="Problem">
      <formula>NOT(ISERROR(SEARCH(("Problem"),(I418))))</formula>
    </cfRule>
  </conditionalFormatting>
  <conditionalFormatting sqref="I418">
    <cfRule type="containsText" dxfId="0" priority="471" operator="containsText" text="Problem">
      <formula>NOT(ISERROR(SEARCH(("Problem"),(I418))))</formula>
    </cfRule>
  </conditionalFormatting>
  <conditionalFormatting sqref="A888 E888:P888">
    <cfRule type="containsText" dxfId="0" priority="472" operator="containsText" text="Problem">
      <formula>NOT(ISERROR(SEARCH(("Problem"),(A888))))</formula>
    </cfRule>
  </conditionalFormatting>
  <conditionalFormatting sqref="A888 E888:P888">
    <cfRule type="containsText" dxfId="0" priority="473" operator="containsText" text="Problem">
      <formula>NOT(ISERROR(SEARCH(("Problem"),(A888))))</formula>
    </cfRule>
  </conditionalFormatting>
  <conditionalFormatting sqref="A888 E888:P888">
    <cfRule type="containsText" dxfId="0" priority="474" operator="containsText" text="Problem">
      <formula>NOT(ISERROR(SEARCH(("Problem"),(A888))))</formula>
    </cfRule>
  </conditionalFormatting>
  <conditionalFormatting sqref="D183:D210">
    <cfRule type="containsText" dxfId="0" priority="475" operator="containsText" text="Problem">
      <formula>NOT(ISERROR(SEARCH(("Problem"),(D183))))</formula>
    </cfRule>
  </conditionalFormatting>
  <conditionalFormatting sqref="D183:D210">
    <cfRule type="containsText" dxfId="0" priority="476" operator="containsText" text="Problem">
      <formula>NOT(ISERROR(SEARCH(("Problem"),(D183))))</formula>
    </cfRule>
  </conditionalFormatting>
  <conditionalFormatting sqref="D183:D210">
    <cfRule type="containsText" dxfId="0" priority="477" operator="containsText" text="Problem">
      <formula>NOT(ISERROR(SEARCH(("Problem"),(D183))))</formula>
    </cfRule>
  </conditionalFormatting>
  <conditionalFormatting sqref="H6:H34">
    <cfRule type="containsText" dxfId="0" priority="478" operator="containsText" text="Problem">
      <formula>NOT(ISERROR(SEARCH(("Problem"),(H6))))</formula>
    </cfRule>
  </conditionalFormatting>
  <conditionalFormatting sqref="H6:H34">
    <cfRule type="containsText" dxfId="0" priority="479" operator="containsText" text="Problem">
      <formula>NOT(ISERROR(SEARCH(("Problem"),(H6))))</formula>
    </cfRule>
  </conditionalFormatting>
  <conditionalFormatting sqref="H6:H34">
    <cfRule type="containsText" dxfId="0" priority="480" operator="containsText" text="Problem">
      <formula>NOT(ISERROR(SEARCH(("Problem"),(H6))))</formula>
    </cfRule>
  </conditionalFormatting>
  <conditionalFormatting sqref="A62 J62:P62">
    <cfRule type="containsText" dxfId="0" priority="481" operator="containsText" text="Problem">
      <formula>NOT(ISERROR(SEARCH(("Problem"),(A62))))</formula>
    </cfRule>
  </conditionalFormatting>
  <conditionalFormatting sqref="A62 J62:P62">
    <cfRule type="containsText" dxfId="0" priority="482" operator="containsText" text="Problem">
      <formula>NOT(ISERROR(SEARCH(("Problem"),(A62))))</formula>
    </cfRule>
  </conditionalFormatting>
  <conditionalFormatting sqref="A62 J62:P62">
    <cfRule type="containsText" dxfId="0" priority="483" operator="containsText" text="Problem">
      <formula>NOT(ISERROR(SEARCH(("Problem"),(A62))))</formula>
    </cfRule>
  </conditionalFormatting>
  <conditionalFormatting sqref="D891:D945 J891:J945">
    <cfRule type="containsText" dxfId="0" priority="484" operator="containsText" text="Problem">
      <formula>NOT(ISERROR(SEARCH(("Problem"),(D891))))</formula>
    </cfRule>
  </conditionalFormatting>
  <conditionalFormatting sqref="D891:D945 J891:J945">
    <cfRule type="containsText" dxfId="0" priority="485" operator="containsText" text="Problem">
      <formula>NOT(ISERROR(SEARCH(("Problem"),(D891))))</formula>
    </cfRule>
  </conditionalFormatting>
  <conditionalFormatting sqref="D891:D945 J891:J945">
    <cfRule type="containsText" dxfId="0" priority="486" operator="containsText" text="Problem">
      <formula>NOT(ISERROR(SEARCH(("Problem"),(D891))))</formula>
    </cfRule>
  </conditionalFormatting>
  <conditionalFormatting sqref="F713">
    <cfRule type="containsText" dxfId="0" priority="487" operator="containsText" text="Problem">
      <formula>NOT(ISERROR(SEARCH(("Problem"),(F713))))</formula>
    </cfRule>
  </conditionalFormatting>
  <conditionalFormatting sqref="F713">
    <cfRule type="containsText" dxfId="0" priority="488" operator="containsText" text="Problem">
      <formula>NOT(ISERROR(SEARCH(("Problem"),(F713))))</formula>
    </cfRule>
  </conditionalFormatting>
  <conditionalFormatting sqref="F713">
    <cfRule type="containsText" dxfId="0" priority="489" operator="containsText" text="Problem">
      <formula>NOT(ISERROR(SEARCH(("Problem"),(F713))))</formula>
    </cfRule>
  </conditionalFormatting>
  <conditionalFormatting sqref="F773:F800">
    <cfRule type="containsText" dxfId="0" priority="490" operator="containsText" text="Problem">
      <formula>NOT(ISERROR(SEARCH(("Problem"),(F773))))</formula>
    </cfRule>
  </conditionalFormatting>
  <conditionalFormatting sqref="F773:F800">
    <cfRule type="containsText" dxfId="0" priority="491" operator="containsText" text="Problem">
      <formula>NOT(ISERROR(SEARCH(("Problem"),(F773))))</formula>
    </cfRule>
  </conditionalFormatting>
  <conditionalFormatting sqref="F773:F800">
    <cfRule type="containsText" dxfId="0" priority="492" operator="containsText" text="Problem">
      <formula>NOT(ISERROR(SEARCH(("Problem"),(F773))))</formula>
    </cfRule>
  </conditionalFormatting>
  <conditionalFormatting sqref="E241">
    <cfRule type="containsText" dxfId="0" priority="493" operator="containsText" text="Problem">
      <formula>NOT(ISERROR(SEARCH(("Problem"),(E241))))</formula>
    </cfRule>
  </conditionalFormatting>
  <conditionalFormatting sqref="E241">
    <cfRule type="containsText" dxfId="0" priority="494" operator="containsText" text="Problem">
      <formula>NOT(ISERROR(SEARCH(("Problem"),(E241))))</formula>
    </cfRule>
  </conditionalFormatting>
  <conditionalFormatting sqref="E241">
    <cfRule type="containsText" dxfId="0" priority="495" operator="containsText" text="Problem">
      <formula>NOT(ISERROR(SEARCH(("Problem"),(E241))))</formula>
    </cfRule>
  </conditionalFormatting>
  <conditionalFormatting sqref="G5">
    <cfRule type="containsText" dxfId="0" priority="496" operator="containsText" text="Problem">
      <formula>NOT(ISERROR(SEARCH(("Problem"),(G5))))</formula>
    </cfRule>
  </conditionalFormatting>
  <conditionalFormatting sqref="G5">
    <cfRule type="containsText" dxfId="0" priority="497" operator="containsText" text="Problem">
      <formula>NOT(ISERROR(SEARCH(("Problem"),(G5))))</formula>
    </cfRule>
  </conditionalFormatting>
  <conditionalFormatting sqref="G5">
    <cfRule type="containsText" dxfId="0" priority="498" operator="containsText" text="Problem">
      <formula>NOT(ISERROR(SEARCH(("Problem"),(G5))))</formula>
    </cfRule>
  </conditionalFormatting>
  <conditionalFormatting sqref="F183:F210">
    <cfRule type="containsText" dxfId="0" priority="499" operator="containsText" text="Problem">
      <formula>NOT(ISERROR(SEARCH(("Problem"),(F183))))</formula>
    </cfRule>
  </conditionalFormatting>
  <conditionalFormatting sqref="F183:F210">
    <cfRule type="containsText" dxfId="0" priority="500" operator="containsText" text="Problem">
      <formula>NOT(ISERROR(SEARCH(("Problem"),(F183))))</formula>
    </cfRule>
  </conditionalFormatting>
  <conditionalFormatting sqref="F183:F210">
    <cfRule type="containsText" dxfId="0" priority="501" operator="containsText" text="Problem">
      <formula>NOT(ISERROR(SEARCH(("Problem"),(F183))))</formula>
    </cfRule>
  </conditionalFormatting>
  <conditionalFormatting sqref="F832:F859">
    <cfRule type="containsText" dxfId="0" priority="502" operator="containsText" text="Problem">
      <formula>NOT(ISERROR(SEARCH(("Problem"),(F832))))</formula>
    </cfRule>
  </conditionalFormatting>
  <conditionalFormatting sqref="F832:F859">
    <cfRule type="containsText" dxfId="0" priority="503" operator="containsText" text="Problem">
      <formula>NOT(ISERROR(SEARCH(("Problem"),(F832))))</formula>
    </cfRule>
  </conditionalFormatting>
  <conditionalFormatting sqref="F832:F859">
    <cfRule type="containsText" dxfId="0" priority="504" operator="containsText" text="Problem">
      <formula>NOT(ISERROR(SEARCH(("Problem"),(F832))))</formula>
    </cfRule>
  </conditionalFormatting>
  <conditionalFormatting sqref="I301:I328">
    <cfRule type="containsText" dxfId="0" priority="505" operator="containsText" text="Problem">
      <formula>NOT(ISERROR(SEARCH(("Problem"),(I301))))</formula>
    </cfRule>
  </conditionalFormatting>
  <conditionalFormatting sqref="I301:I328">
    <cfRule type="containsText" dxfId="0" priority="506" operator="containsText" text="Problem">
      <formula>NOT(ISERROR(SEARCH(("Problem"),(I301))))</formula>
    </cfRule>
  </conditionalFormatting>
  <conditionalFormatting sqref="I301:I328">
    <cfRule type="containsText" dxfId="0" priority="507" operator="containsText" text="Problem">
      <formula>NOT(ISERROR(SEARCH(("Problem"),(I301))))</formula>
    </cfRule>
  </conditionalFormatting>
  <conditionalFormatting sqref="I301:I328">
    <cfRule type="containsText" dxfId="0" priority="508" operator="containsText" text="Problem">
      <formula>NOT(ISERROR(SEARCH(("Problem"),(I301))))</formula>
    </cfRule>
  </conditionalFormatting>
  <conditionalFormatting sqref="D118:D119 E93:H119">
    <cfRule type="containsText" dxfId="0" priority="509" operator="containsText" text="Problem">
      <formula>NOT(ISERROR(SEARCH(("Problem"),(D118))))</formula>
    </cfRule>
  </conditionalFormatting>
  <conditionalFormatting sqref="D118:D119 E93:H119">
    <cfRule type="containsText" dxfId="0" priority="510" operator="containsText" text="Problem">
      <formula>NOT(ISERROR(SEARCH(("Problem"),(D118))))</formula>
    </cfRule>
  </conditionalFormatting>
  <conditionalFormatting sqref="D118:D119 E93:H119">
    <cfRule type="containsText" dxfId="0" priority="511" operator="containsText" text="Problem">
      <formula>NOT(ISERROR(SEARCH(("Problem"),(D118))))</formula>
    </cfRule>
  </conditionalFormatting>
  <conditionalFormatting sqref="C593 E593:I593">
    <cfRule type="containsText" dxfId="0" priority="512" operator="containsText" text="Problem">
      <formula>NOT(ISERROR(SEARCH(("Problem"),(C593))))</formula>
    </cfRule>
  </conditionalFormatting>
  <conditionalFormatting sqref="C593 E593:I593">
    <cfRule type="containsText" dxfId="0" priority="513" operator="containsText" text="Problem">
      <formula>NOT(ISERROR(SEARCH(("Problem"),(C593))))</formula>
    </cfRule>
  </conditionalFormatting>
  <conditionalFormatting sqref="C593 E593:I593">
    <cfRule type="containsText" dxfId="0" priority="514" operator="containsText" text="Problem">
      <formula>NOT(ISERROR(SEARCH(("Problem"),(C593))))</formula>
    </cfRule>
  </conditionalFormatting>
  <conditionalFormatting sqref="C711 E711:I711">
    <cfRule type="containsText" dxfId="0" priority="515" operator="containsText" text="Problem">
      <formula>NOT(ISERROR(SEARCH(("Problem"),(C711))))</formula>
    </cfRule>
  </conditionalFormatting>
  <conditionalFormatting sqref="C711 E711:I711">
    <cfRule type="containsText" dxfId="0" priority="516" operator="containsText" text="Problem">
      <formula>NOT(ISERROR(SEARCH(("Problem"),(C711))))</formula>
    </cfRule>
  </conditionalFormatting>
  <conditionalFormatting sqref="C711 E711:I711">
    <cfRule type="containsText" dxfId="0" priority="517" operator="containsText" text="Problem">
      <formula>NOT(ISERROR(SEARCH(("Problem"),(C711))))</formula>
    </cfRule>
  </conditionalFormatting>
  <conditionalFormatting sqref="I596:I623">
    <cfRule type="containsText" dxfId="0" priority="518" operator="containsText" text="Problem">
      <formula>NOT(ISERROR(SEARCH(("Problem"),(I596))))</formula>
    </cfRule>
  </conditionalFormatting>
  <conditionalFormatting sqref="I596:I623">
    <cfRule type="containsText" dxfId="0" priority="519" operator="containsText" text="Problem">
      <formula>NOT(ISERROR(SEARCH(("Problem"),(I596))))</formula>
    </cfRule>
  </conditionalFormatting>
  <conditionalFormatting sqref="I596:I623">
    <cfRule type="containsText" dxfId="0" priority="520" operator="containsText" text="Problem">
      <formula>NOT(ISERROR(SEARCH(("Problem"),(I596))))</formula>
    </cfRule>
  </conditionalFormatting>
  <conditionalFormatting sqref="I596:I623">
    <cfRule type="containsText" dxfId="0" priority="521" operator="containsText" text="Problem">
      <formula>NOT(ISERROR(SEARCH(("Problem"),(I596))))</formula>
    </cfRule>
  </conditionalFormatting>
  <conditionalFormatting sqref="E301:E328">
    <cfRule type="containsText" dxfId="0" priority="522" operator="containsText" text="Problem">
      <formula>NOT(ISERROR(SEARCH(("Problem"),(E301))))</formula>
    </cfRule>
  </conditionalFormatting>
  <conditionalFormatting sqref="E301:E328">
    <cfRule type="containsText" dxfId="0" priority="523" operator="containsText" text="Problem">
      <formula>NOT(ISERROR(SEARCH(("Problem"),(E301))))</formula>
    </cfRule>
  </conditionalFormatting>
  <conditionalFormatting sqref="E301:E328">
    <cfRule type="containsText" dxfId="0" priority="524" operator="containsText" text="Problem">
      <formula>NOT(ISERROR(SEARCH(("Problem"),(E301))))</formula>
    </cfRule>
  </conditionalFormatting>
  <conditionalFormatting sqref="D683:D707">
    <cfRule type="containsText" dxfId="0" priority="525" operator="containsText" text="Problem">
      <formula>NOT(ISERROR(SEARCH(("Problem"),(D683))))</formula>
    </cfRule>
  </conditionalFormatting>
  <conditionalFormatting sqref="D683:D707">
    <cfRule type="containsText" dxfId="0" priority="526" operator="containsText" text="Problem">
      <formula>NOT(ISERROR(SEARCH(("Problem"),(D683))))</formula>
    </cfRule>
  </conditionalFormatting>
  <conditionalFormatting sqref="E124:E151">
    <cfRule type="containsText" dxfId="0" priority="527" operator="containsText" text="Problem">
      <formula>NOT(ISERROR(SEARCH(("Problem"),(E124))))</formula>
    </cfRule>
  </conditionalFormatting>
  <conditionalFormatting sqref="E124:E151">
    <cfRule type="containsText" dxfId="0" priority="528" operator="containsText" text="Problem">
      <formula>NOT(ISERROR(SEARCH(("Problem"),(E124))))</formula>
    </cfRule>
  </conditionalFormatting>
  <conditionalFormatting sqref="E124:E151">
    <cfRule type="containsText" dxfId="0" priority="529" operator="containsText" text="Problem">
      <formula>NOT(ISERROR(SEARCH(("Problem"),(E124))))</formula>
    </cfRule>
  </conditionalFormatting>
  <conditionalFormatting sqref="E477">
    <cfRule type="containsText" dxfId="0" priority="530" operator="containsText" text="Problem">
      <formula>NOT(ISERROR(SEARCH(("Problem"),(E477))))</formula>
    </cfRule>
  </conditionalFormatting>
  <conditionalFormatting sqref="E477">
    <cfRule type="containsText" dxfId="0" priority="531" operator="containsText" text="Problem">
      <formula>NOT(ISERROR(SEARCH(("Problem"),(E477))))</formula>
    </cfRule>
  </conditionalFormatting>
  <conditionalFormatting sqref="E477">
    <cfRule type="containsText" dxfId="0" priority="532" operator="containsText" text="Problem">
      <formula>NOT(ISERROR(SEARCH(("Problem"),(E477))))</formula>
    </cfRule>
  </conditionalFormatting>
  <conditionalFormatting sqref="A416 J416:P416">
    <cfRule type="containsText" dxfId="0" priority="533" operator="containsText" text="Problem">
      <formula>NOT(ISERROR(SEARCH(("Problem"),(A416))))</formula>
    </cfRule>
  </conditionalFormatting>
  <conditionalFormatting sqref="A416 J416:P416">
    <cfRule type="containsText" dxfId="0" priority="534" operator="containsText" text="Problem">
      <formula>NOT(ISERROR(SEARCH(("Problem"),(A416))))</formula>
    </cfRule>
  </conditionalFormatting>
  <conditionalFormatting sqref="A416 J416:P416">
    <cfRule type="containsText" dxfId="0" priority="535" operator="containsText" text="Problem">
      <formula>NOT(ISERROR(SEARCH(("Problem"),(A416))))</formula>
    </cfRule>
  </conditionalFormatting>
  <conditionalFormatting sqref="I360:I387">
    <cfRule type="containsText" dxfId="0" priority="536" operator="containsText" text="Problem">
      <formula>NOT(ISERROR(SEARCH(("Problem"),(I360))))</formula>
    </cfRule>
  </conditionalFormatting>
  <conditionalFormatting sqref="I360:I387">
    <cfRule type="containsText" dxfId="0" priority="537" operator="containsText" text="Problem">
      <formula>NOT(ISERROR(SEARCH(("Problem"),(I360))))</formula>
    </cfRule>
  </conditionalFormatting>
  <conditionalFormatting sqref="I360:I387">
    <cfRule type="containsText" dxfId="0" priority="538" operator="containsText" text="Problem">
      <formula>NOT(ISERROR(SEARCH(("Problem"),(I360))))</formula>
    </cfRule>
  </conditionalFormatting>
  <conditionalFormatting sqref="I360:I387">
    <cfRule type="containsText" dxfId="0" priority="539" operator="containsText" text="Problem">
      <formula>NOT(ISERROR(SEARCH(("Problem"),(I360))))</formula>
    </cfRule>
  </conditionalFormatting>
  <conditionalFormatting sqref="E655:E682">
    <cfRule type="containsText" dxfId="0" priority="540" operator="containsText" text="Problem">
      <formula>NOT(ISERROR(SEARCH(("Problem"),(E655))))</formula>
    </cfRule>
  </conditionalFormatting>
  <conditionalFormatting sqref="E655:E682">
    <cfRule type="containsText" dxfId="0" priority="541" operator="containsText" text="Problem">
      <formula>NOT(ISERROR(SEARCH(("Problem"),(E655))))</formula>
    </cfRule>
  </conditionalFormatting>
  <conditionalFormatting sqref="E655:E682">
    <cfRule type="containsText" dxfId="0" priority="542" operator="containsText" text="Problem">
      <formula>NOT(ISERROR(SEARCH(("Problem"),(E655))))</formula>
    </cfRule>
  </conditionalFormatting>
  <conditionalFormatting sqref="G654">
    <cfRule type="containsText" dxfId="0" priority="543" operator="containsText" text="Problem">
      <formula>NOT(ISERROR(SEARCH(("Problem"),(G654))))</formula>
    </cfRule>
  </conditionalFormatting>
  <conditionalFormatting sqref="G654">
    <cfRule type="containsText" dxfId="0" priority="544" operator="containsText" text="Problem">
      <formula>NOT(ISERROR(SEARCH(("Problem"),(G654))))</formula>
    </cfRule>
  </conditionalFormatting>
  <conditionalFormatting sqref="G654">
    <cfRule type="containsText" dxfId="0" priority="545" operator="containsText" text="Problem">
      <formula>NOT(ISERROR(SEARCH(("Problem"),(G654))))</formula>
    </cfRule>
  </conditionalFormatting>
  <conditionalFormatting sqref="A123:A178">
    <cfRule type="containsText" dxfId="0" priority="546" operator="containsText" text="Problem">
      <formula>NOT(ISERROR(SEARCH(("Problem"),(A123))))</formula>
    </cfRule>
  </conditionalFormatting>
  <conditionalFormatting sqref="A123:A178">
    <cfRule type="containsText" dxfId="0" priority="547" operator="containsText" text="Problem">
      <formula>NOT(ISERROR(SEARCH(("Problem"),(A123))))</formula>
    </cfRule>
  </conditionalFormatting>
  <conditionalFormatting sqref="A123:A178">
    <cfRule type="containsText" dxfId="0" priority="548" operator="containsText" text="Problem">
      <formula>NOT(ISERROR(SEARCH(("Problem"),(A123))))</formula>
    </cfRule>
  </conditionalFormatting>
  <conditionalFormatting sqref="D860:D884">
    <cfRule type="containsText" dxfId="0" priority="549" operator="containsText" text="Problem">
      <formula>NOT(ISERROR(SEARCH(("Problem"),(D860))))</formula>
    </cfRule>
  </conditionalFormatting>
  <conditionalFormatting sqref="D860:D884">
    <cfRule type="containsText" dxfId="0" priority="550" operator="containsText" text="Problem">
      <formula>NOT(ISERROR(SEARCH(("Problem"),(D860))))</formula>
    </cfRule>
  </conditionalFormatting>
  <conditionalFormatting sqref="F65:F92">
    <cfRule type="containsText" dxfId="0" priority="551" operator="containsText" text="Problem">
      <formula>NOT(ISERROR(SEARCH(("Problem"),(F65))))</formula>
    </cfRule>
  </conditionalFormatting>
  <conditionalFormatting sqref="F65:F92">
    <cfRule type="containsText" dxfId="0" priority="552" operator="containsText" text="Problem">
      <formula>NOT(ISERROR(SEARCH(("Problem"),(F65))))</formula>
    </cfRule>
  </conditionalFormatting>
  <conditionalFormatting sqref="F65:F92">
    <cfRule type="containsText" dxfId="0" priority="553" operator="containsText" text="Problem">
      <formula>NOT(ISERROR(SEARCH(("Problem"),(F65))))</formula>
    </cfRule>
  </conditionalFormatting>
  <conditionalFormatting sqref="A64:A119">
    <cfRule type="containsText" dxfId="0" priority="554" operator="containsText" text="Problem">
      <formula>NOT(ISERROR(SEARCH(("Problem"),(A64))))</formula>
    </cfRule>
  </conditionalFormatting>
  <conditionalFormatting sqref="A64:A119">
    <cfRule type="containsText" dxfId="0" priority="555" operator="containsText" text="Problem">
      <formula>NOT(ISERROR(SEARCH(("Problem"),(A64))))</formula>
    </cfRule>
  </conditionalFormatting>
  <conditionalFormatting sqref="A64:A119">
    <cfRule type="containsText" dxfId="0" priority="556" operator="containsText" text="Problem">
      <formula>NOT(ISERROR(SEARCH(("Problem"),(A64))))</formula>
    </cfRule>
  </conditionalFormatting>
  <conditionalFormatting sqref="B573:C573 B585:B588 B590:C591 C542:C572 C582:C588">
    <cfRule type="containsText" dxfId="0" priority="557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558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559" operator="containsText" text="Problem">
      <formula>NOT(ISERROR(SEARCH(("Problem"),(B573))))</formula>
    </cfRule>
  </conditionalFormatting>
  <conditionalFormatting sqref="I831">
    <cfRule type="containsText" dxfId="0" priority="560" operator="containsText" text="Problem">
      <formula>NOT(ISERROR(SEARCH(("Problem"),(I831))))</formula>
    </cfRule>
  </conditionalFormatting>
  <conditionalFormatting sqref="I831">
    <cfRule type="containsText" dxfId="0" priority="561" operator="containsText" text="Problem">
      <formula>NOT(ISERROR(SEARCH(("Problem"),(I831))))</formula>
    </cfRule>
  </conditionalFormatting>
  <conditionalFormatting sqref="I831">
    <cfRule type="containsText" dxfId="0" priority="562" operator="containsText" text="Problem">
      <formula>NOT(ISERROR(SEARCH(("Problem"),(I831))))</formula>
    </cfRule>
  </conditionalFormatting>
  <conditionalFormatting sqref="B809:C809 B821:B824 B826:C827 C778:C808 C818:C824">
    <cfRule type="containsText" dxfId="0" priority="563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564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565" operator="containsText" text="Problem">
      <formula>NOT(ISERROR(SEARCH(("Problem"),(B809))))</formula>
    </cfRule>
  </conditionalFormatting>
  <conditionalFormatting sqref="B514:C514 B526:B529 B531:C532 C483:C513 C523:C529">
    <cfRule type="containsText" dxfId="0" priority="566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567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568" operator="containsText" text="Problem">
      <formula>NOT(ISERROR(SEARCH(("Problem"),(B514))))</formula>
    </cfRule>
  </conditionalFormatting>
  <conditionalFormatting sqref="D182">
    <cfRule type="containsText" dxfId="0" priority="569" operator="containsText" text="Problem">
      <formula>NOT(ISERROR(SEARCH(("Problem"),(D182))))</formula>
    </cfRule>
  </conditionalFormatting>
  <conditionalFormatting sqref="I477">
    <cfRule type="containsText" dxfId="0" priority="570" operator="containsText" text="Problem">
      <formula>NOT(ISERROR(SEARCH(("Problem"),(I477))))</formula>
    </cfRule>
  </conditionalFormatting>
  <conditionalFormatting sqref="I477">
    <cfRule type="containsText" dxfId="0" priority="571" operator="containsText" text="Problem">
      <formula>NOT(ISERROR(SEARCH(("Problem"),(I477))))</formula>
    </cfRule>
  </conditionalFormatting>
  <conditionalFormatting sqref="I477">
    <cfRule type="containsText" dxfId="0" priority="572" operator="containsText" text="Problem">
      <formula>NOT(ISERROR(SEARCH(("Problem"),(I477))))</formula>
    </cfRule>
  </conditionalFormatting>
  <conditionalFormatting sqref="A653:I653 A710:H710 I683:I710 J653:P710">
    <cfRule type="containsText" dxfId="0" priority="573" operator="containsText" text="Problem">
      <formula>NOT(ISERROR(SEARCH(("Problem"),(A653))))</formula>
    </cfRule>
  </conditionalFormatting>
  <conditionalFormatting sqref="A653:I653 A710:H710 I683:I710 J653:P710">
    <cfRule type="containsText" dxfId="0" priority="574" operator="containsText" text="Problem">
      <formula>NOT(ISERROR(SEARCH(("Problem"),(A653))))</formula>
    </cfRule>
  </conditionalFormatting>
  <conditionalFormatting sqref="A653:I653 A710:H710 I683:I710 J653:P710">
    <cfRule type="containsText" dxfId="0" priority="575" operator="containsText" text="Problem">
      <formula>NOT(ISERROR(SEARCH(("Problem"),(A653))))</formula>
    </cfRule>
  </conditionalFormatting>
  <conditionalFormatting sqref="B750:C750 B762:B765 B767:C768 C719:C749 C759:C765">
    <cfRule type="containsText" dxfId="0" priority="576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577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578" operator="containsText" text="Problem">
      <formula>NOT(ISERROR(SEARCH(("Problem"),(B750))))</formula>
    </cfRule>
  </conditionalFormatting>
  <conditionalFormatting sqref="A359:A414">
    <cfRule type="containsText" dxfId="0" priority="579" operator="containsText" text="Problem">
      <formula>NOT(ISERROR(SEARCH(("Problem"),(A359))))</formula>
    </cfRule>
  </conditionalFormatting>
  <conditionalFormatting sqref="A359:A414">
    <cfRule type="containsText" dxfId="0" priority="580" operator="containsText" text="Problem">
      <formula>NOT(ISERROR(SEARCH(("Problem"),(A359))))</formula>
    </cfRule>
  </conditionalFormatting>
  <conditionalFormatting sqref="A359:A414">
    <cfRule type="containsText" dxfId="0" priority="581" operator="containsText" text="Problem">
      <formula>NOT(ISERROR(SEARCH(("Problem"),(A359))))</formula>
    </cfRule>
  </conditionalFormatting>
  <conditionalFormatting sqref="F478:F505">
    <cfRule type="containsText" dxfId="0" priority="582" operator="containsText" text="Problem">
      <formula>NOT(ISERROR(SEARCH(("Problem"),(F478))))</formula>
    </cfRule>
  </conditionalFormatting>
  <conditionalFormatting sqref="F478:F505">
    <cfRule type="containsText" dxfId="0" priority="583" operator="containsText" text="Problem">
      <formula>NOT(ISERROR(SEARCH(("Problem"),(F478))))</formula>
    </cfRule>
  </conditionalFormatting>
  <conditionalFormatting sqref="F478:F505">
    <cfRule type="containsText" dxfId="0" priority="584" operator="containsText" text="Problem">
      <formula>NOT(ISERROR(SEARCH(("Problem"),(F478))))</formula>
    </cfRule>
  </conditionalFormatting>
  <conditionalFormatting sqref="D654">
    <cfRule type="containsText" dxfId="0" priority="585" operator="containsText" text="Problem">
      <formula>NOT(ISERROR(SEARCH(("Problem"),(D654))))</formula>
    </cfRule>
  </conditionalFormatting>
  <conditionalFormatting sqref="A654:A709">
    <cfRule type="containsText" dxfId="0" priority="586" operator="containsText" text="Problem">
      <formula>NOT(ISERROR(SEARCH(("Problem"),(A654))))</formula>
    </cfRule>
  </conditionalFormatting>
  <conditionalFormatting sqref="A654:A709">
    <cfRule type="containsText" dxfId="0" priority="587" operator="containsText" text="Problem">
      <formula>NOT(ISERROR(SEARCH(("Problem"),(A654))))</formula>
    </cfRule>
  </conditionalFormatting>
  <conditionalFormatting sqref="A654:A709">
    <cfRule type="containsText" dxfId="0" priority="588" operator="containsText" text="Problem">
      <formula>NOT(ISERROR(SEARCH(("Problem"),(A654))))</formula>
    </cfRule>
  </conditionalFormatting>
  <conditionalFormatting sqref="A298 J298:P298">
    <cfRule type="containsText" dxfId="0" priority="589" operator="containsText" text="Problem">
      <formula>NOT(ISERROR(SEARCH(("Problem"),(A298))))</formula>
    </cfRule>
  </conditionalFormatting>
  <conditionalFormatting sqref="A298 J298:P298">
    <cfRule type="containsText" dxfId="0" priority="590" operator="containsText" text="Problem">
      <formula>NOT(ISERROR(SEARCH(("Problem"),(A298))))</formula>
    </cfRule>
  </conditionalFormatting>
  <conditionalFormatting sqref="A298 J298:P298">
    <cfRule type="containsText" dxfId="0" priority="591" operator="containsText" text="Problem">
      <formula>NOT(ISERROR(SEARCH(("Problem"),(A298))))</formula>
    </cfRule>
  </conditionalFormatting>
  <conditionalFormatting sqref="F6:F34">
    <cfRule type="containsText" dxfId="0" priority="592" operator="containsText" text="Problem">
      <formula>NOT(ISERROR(SEARCH(("Problem"),(F6))))</formula>
    </cfRule>
  </conditionalFormatting>
  <conditionalFormatting sqref="F6:F34">
    <cfRule type="containsText" dxfId="0" priority="593" operator="containsText" text="Problem">
      <formula>NOT(ISERROR(SEARCH(("Problem"),(F6))))</formula>
    </cfRule>
  </conditionalFormatting>
  <conditionalFormatting sqref="F6:F34">
    <cfRule type="containsText" dxfId="0" priority="594" operator="containsText" text="Problem">
      <formula>NOT(ISERROR(SEARCH(("Problem"),(F6))))</formula>
    </cfRule>
  </conditionalFormatting>
  <conditionalFormatting sqref="I5">
    <cfRule type="containsText" dxfId="0" priority="595" operator="containsText" text="Problem">
      <formula>NOT(ISERROR(SEARCH(("Problem"),(I5))))</formula>
    </cfRule>
  </conditionalFormatting>
  <conditionalFormatting sqref="I5">
    <cfRule type="containsText" dxfId="0" priority="596" operator="containsText" text="Problem">
      <formula>NOT(ISERROR(SEARCH(("Problem"),(I5))))</formula>
    </cfRule>
  </conditionalFormatting>
  <conditionalFormatting sqref="I5">
    <cfRule type="containsText" dxfId="0" priority="597" operator="containsText" text="Problem">
      <formula>NOT(ISERROR(SEARCH(("Problem"),(I5))))</formula>
    </cfRule>
  </conditionalFormatting>
  <conditionalFormatting sqref="E537:E564">
    <cfRule type="containsText" dxfId="0" priority="598" operator="containsText" text="Problem">
      <formula>NOT(ISERROR(SEARCH(("Problem"),(E537))))</formula>
    </cfRule>
  </conditionalFormatting>
  <conditionalFormatting sqref="E537:E564">
    <cfRule type="containsText" dxfId="0" priority="599" operator="containsText" text="Problem">
      <formula>NOT(ISERROR(SEARCH(("Problem"),(E537))))</formula>
    </cfRule>
  </conditionalFormatting>
  <conditionalFormatting sqref="E537:E564">
    <cfRule type="containsText" dxfId="0" priority="600" operator="containsText" text="Problem">
      <formula>NOT(ISERROR(SEARCH(("Problem"),(E537))))</formula>
    </cfRule>
  </conditionalFormatting>
  <conditionalFormatting sqref="E773:E800">
    <cfRule type="containsText" dxfId="0" priority="601" operator="containsText" text="Problem">
      <formula>NOT(ISERROR(SEARCH(("Problem"),(E773))))</formula>
    </cfRule>
  </conditionalFormatting>
  <conditionalFormatting sqref="E773:E800">
    <cfRule type="containsText" dxfId="0" priority="602" operator="containsText" text="Problem">
      <formula>NOT(ISERROR(SEARCH(("Problem"),(E773))))</formula>
    </cfRule>
  </conditionalFormatting>
  <conditionalFormatting sqref="E773:E800">
    <cfRule type="containsText" dxfId="0" priority="603" operator="containsText" text="Problem">
      <formula>NOT(ISERROR(SEARCH(("Problem"),(E773))))</formula>
    </cfRule>
  </conditionalFormatting>
  <conditionalFormatting sqref="D596:D623">
    <cfRule type="containsText" dxfId="0" priority="604" operator="containsText" text="Problem">
      <formula>NOT(ISERROR(SEARCH(("Problem"),(D596))))</formula>
    </cfRule>
  </conditionalFormatting>
  <conditionalFormatting sqref="D596:D623">
    <cfRule type="containsText" dxfId="0" priority="605" operator="containsText" text="Problem">
      <formula>NOT(ISERROR(SEARCH(("Problem"),(D596))))</formula>
    </cfRule>
  </conditionalFormatting>
  <conditionalFormatting sqref="D596:D623">
    <cfRule type="containsText" dxfId="0" priority="606" operator="containsText" text="Problem">
      <formula>NOT(ISERROR(SEARCH(("Problem"),(D596))))</formula>
    </cfRule>
  </conditionalFormatting>
  <conditionalFormatting sqref="E183:E210">
    <cfRule type="containsText" dxfId="0" priority="607" operator="containsText" text="Problem">
      <formula>NOT(ISERROR(SEARCH(("Problem"),(E183))))</formula>
    </cfRule>
  </conditionalFormatting>
  <conditionalFormatting sqref="E183:E210">
    <cfRule type="containsText" dxfId="0" priority="608" operator="containsText" text="Problem">
      <formula>NOT(ISERROR(SEARCH(("Problem"),(E183))))</formula>
    </cfRule>
  </conditionalFormatting>
  <conditionalFormatting sqref="E183:E210">
    <cfRule type="containsText" dxfId="0" priority="609" operator="containsText" text="Problem">
      <formula>NOT(ISERROR(SEARCH(("Problem"),(E183))))</formula>
    </cfRule>
  </conditionalFormatting>
  <conditionalFormatting sqref="F300">
    <cfRule type="containsText" dxfId="0" priority="610" operator="containsText" text="Problem">
      <formula>NOT(ISERROR(SEARCH(("Problem"),(F300))))</formula>
    </cfRule>
  </conditionalFormatting>
  <conditionalFormatting sqref="F300">
    <cfRule type="containsText" dxfId="0" priority="611" operator="containsText" text="Problem">
      <formula>NOT(ISERROR(SEARCH(("Problem"),(F300))))</formula>
    </cfRule>
  </conditionalFormatting>
  <conditionalFormatting sqref="F300">
    <cfRule type="containsText" dxfId="0" priority="612" operator="containsText" text="Problem">
      <formula>NOT(ISERROR(SEARCH(("Problem"),(F300))))</formula>
    </cfRule>
  </conditionalFormatting>
  <conditionalFormatting sqref="H596:H623">
    <cfRule type="containsText" dxfId="0" priority="613" operator="containsText" text="Problem">
      <formula>NOT(ISERROR(SEARCH(("Problem"),(H596))))</formula>
    </cfRule>
  </conditionalFormatting>
  <conditionalFormatting sqref="H596:H623">
    <cfRule type="containsText" dxfId="0" priority="614" operator="containsText" text="Problem">
      <formula>NOT(ISERROR(SEARCH(("Problem"),(H596))))</formula>
    </cfRule>
  </conditionalFormatting>
  <conditionalFormatting sqref="H596:H623">
    <cfRule type="containsText" dxfId="0" priority="615" operator="containsText" text="Problem">
      <formula>NOT(ISERROR(SEARCH(("Problem"),(H596))))</formula>
    </cfRule>
  </conditionalFormatting>
  <conditionalFormatting sqref="C888">
    <cfRule type="containsText" dxfId="0" priority="616" operator="containsText" text="Problem">
      <formula>NOT(ISERROR(SEARCH(("Problem"),(C888))))</formula>
    </cfRule>
  </conditionalFormatting>
  <conditionalFormatting sqref="C888">
    <cfRule type="containsText" dxfId="0" priority="617" operator="containsText" text="Problem">
      <formula>NOT(ISERROR(SEARCH(("Problem"),(C888))))</formula>
    </cfRule>
  </conditionalFormatting>
  <conditionalFormatting sqref="C888">
    <cfRule type="containsText" dxfId="0" priority="618" operator="containsText" text="Problem">
      <formula>NOT(ISERROR(SEARCH(("Problem"),(C888))))</formula>
    </cfRule>
  </conditionalFormatting>
  <conditionalFormatting sqref="F477">
    <cfRule type="containsText" dxfId="0" priority="619" operator="containsText" text="Problem">
      <formula>NOT(ISERROR(SEARCH(("Problem"),(F477))))</formula>
    </cfRule>
  </conditionalFormatting>
  <conditionalFormatting sqref="F477">
    <cfRule type="containsText" dxfId="0" priority="620" operator="containsText" text="Problem">
      <formula>NOT(ISERROR(SEARCH(("Problem"),(F477))))</formula>
    </cfRule>
  </conditionalFormatting>
  <conditionalFormatting sqref="F477">
    <cfRule type="containsText" dxfId="0" priority="621" operator="containsText" text="Problem">
      <formula>NOT(ISERROR(SEARCH(("Problem"),(F477))))</formula>
    </cfRule>
  </conditionalFormatting>
  <conditionalFormatting sqref="G183:G210">
    <cfRule type="containsText" dxfId="0" priority="622" operator="containsText" text="Problem">
      <formula>NOT(ISERROR(SEARCH(("Problem"),(G183))))</formula>
    </cfRule>
  </conditionalFormatting>
  <conditionalFormatting sqref="G183:G210">
    <cfRule type="containsText" dxfId="0" priority="623" operator="containsText" text="Problem">
      <formula>NOT(ISERROR(SEARCH(("Problem"),(G183))))</formula>
    </cfRule>
  </conditionalFormatting>
  <conditionalFormatting sqref="G183:G210">
    <cfRule type="containsText" dxfId="0" priority="624" operator="containsText" text="Problem">
      <formula>NOT(ISERROR(SEARCH(("Problem"),(G183))))</formula>
    </cfRule>
  </conditionalFormatting>
  <conditionalFormatting sqref="C770 E770:I770">
    <cfRule type="containsText" dxfId="0" priority="625" operator="containsText" text="Problem">
      <formula>NOT(ISERROR(SEARCH(("Problem"),(C770))))</formula>
    </cfRule>
  </conditionalFormatting>
  <conditionalFormatting sqref="C770 E770:I770">
    <cfRule type="containsText" dxfId="0" priority="626" operator="containsText" text="Problem">
      <formula>NOT(ISERROR(SEARCH(("Problem"),(C770))))</formula>
    </cfRule>
  </conditionalFormatting>
  <conditionalFormatting sqref="C770 E770:I770">
    <cfRule type="containsText" dxfId="0" priority="627" operator="containsText" text="Problem">
      <formula>NOT(ISERROR(SEARCH(("Problem"),(C770))))</formula>
    </cfRule>
  </conditionalFormatting>
  <conditionalFormatting sqref="I772">
    <cfRule type="containsText" dxfId="0" priority="628" operator="containsText" text="Problem">
      <formula>NOT(ISERROR(SEARCH(("Problem"),(I772))))</formula>
    </cfRule>
  </conditionalFormatting>
  <conditionalFormatting sqref="I772">
    <cfRule type="containsText" dxfId="0" priority="629" operator="containsText" text="Problem">
      <formula>NOT(ISERROR(SEARCH(("Problem"),(I772))))</formula>
    </cfRule>
  </conditionalFormatting>
  <conditionalFormatting sqref="I772">
    <cfRule type="containsText" dxfId="0" priority="630" operator="containsText" text="Problem">
      <formula>NOT(ISERROR(SEARCH(("Problem"),(I772))))</formula>
    </cfRule>
  </conditionalFormatting>
  <conditionalFormatting sqref="A889:C889 A946:P946 D889:D890 E889:I889 J889:P890 K891:P945">
    <cfRule type="containsText" dxfId="0" priority="631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632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633" operator="containsText" text="Problem">
      <formula>NOT(ISERROR(SEARCH(("Problem"),(A889))))</formula>
    </cfRule>
  </conditionalFormatting>
  <conditionalFormatting sqref="D359">
    <cfRule type="containsText" dxfId="0" priority="634" operator="containsText" text="Problem">
      <formula>NOT(ISERROR(SEARCH(("Problem"),(D359))))</formula>
    </cfRule>
  </conditionalFormatting>
  <conditionalFormatting sqref="B927:C927 B939:B942 B944:C945 C896:C926 C936:C942">
    <cfRule type="containsText" dxfId="0" priority="635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636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637" operator="containsText" text="Problem">
      <formula>NOT(ISERROR(SEARCH(("Problem"),(B927))))</formula>
    </cfRule>
  </conditionalFormatting>
  <conditionalFormatting sqref="H123">
    <cfRule type="containsText" dxfId="0" priority="638" operator="containsText" text="Problem">
      <formula>NOT(ISERROR(SEARCH(("Problem"),(H123))))</formula>
    </cfRule>
  </conditionalFormatting>
  <conditionalFormatting sqref="H123">
    <cfRule type="containsText" dxfId="0" priority="639" operator="containsText" text="Problem">
      <formula>NOT(ISERROR(SEARCH(("Problem"),(H123))))</formula>
    </cfRule>
  </conditionalFormatting>
  <conditionalFormatting sqref="H123">
    <cfRule type="containsText" dxfId="0" priority="640" operator="containsText" text="Problem">
      <formula>NOT(ISERROR(SEARCH(("Problem"),(H123))))</formula>
    </cfRule>
  </conditionalFormatting>
  <conditionalFormatting sqref="H477">
    <cfRule type="containsText" dxfId="0" priority="641" operator="containsText" text="Problem">
      <formula>NOT(ISERROR(SEARCH(("Problem"),(H477))))</formula>
    </cfRule>
  </conditionalFormatting>
  <conditionalFormatting sqref="H477">
    <cfRule type="containsText" dxfId="0" priority="642" operator="containsText" text="Problem">
      <formula>NOT(ISERROR(SEARCH(("Problem"),(H477))))</formula>
    </cfRule>
  </conditionalFormatting>
  <conditionalFormatting sqref="H477">
    <cfRule type="containsText" dxfId="0" priority="643" operator="containsText" text="Problem">
      <formula>NOT(ISERROR(SEARCH(("Problem"),(H477))))</formula>
    </cfRule>
  </conditionalFormatting>
  <conditionalFormatting sqref="A535:I535 A592:H592 I565:I592 J535:P592">
    <cfRule type="containsText" dxfId="0" priority="644" operator="containsText" text="Problem">
      <formula>NOT(ISERROR(SEARCH(("Problem"),(A535))))</formula>
    </cfRule>
  </conditionalFormatting>
  <conditionalFormatting sqref="A535:I535 A592:H592 I565:I592 J535:P592">
    <cfRule type="containsText" dxfId="0" priority="645" operator="containsText" text="Problem">
      <formula>NOT(ISERROR(SEARCH(("Problem"),(A535))))</formula>
    </cfRule>
  </conditionalFormatting>
  <conditionalFormatting sqref="A535:I535 A592:H592 I565:I592 J535:P592">
    <cfRule type="containsText" dxfId="0" priority="646" operator="containsText" text="Problem">
      <formula>NOT(ISERROR(SEARCH(("Problem"),(A535))))</formula>
    </cfRule>
  </conditionalFormatting>
  <conditionalFormatting sqref="I124:I151">
    <cfRule type="containsText" dxfId="0" priority="647" operator="containsText" text="Problem">
      <formula>NOT(ISERROR(SEARCH(("Problem"),(I124))))</formula>
    </cfRule>
  </conditionalFormatting>
  <conditionalFormatting sqref="I124:I151">
    <cfRule type="containsText" dxfId="0" priority="648" operator="containsText" text="Problem">
      <formula>NOT(ISERROR(SEARCH(("Problem"),(I124))))</formula>
    </cfRule>
  </conditionalFormatting>
  <conditionalFormatting sqref="I124:I151">
    <cfRule type="containsText" dxfId="0" priority="649" operator="containsText" text="Problem">
      <formula>NOT(ISERROR(SEARCH(("Problem"),(I124))))</formula>
    </cfRule>
  </conditionalFormatting>
  <conditionalFormatting sqref="I124:I151">
    <cfRule type="containsText" dxfId="0" priority="650" operator="containsText" text="Problem">
      <formula>NOT(ISERROR(SEARCH(("Problem"),(I124))))</formula>
    </cfRule>
  </conditionalFormatting>
  <conditionalFormatting sqref="A711 J711:P711">
    <cfRule type="containsText" dxfId="0" priority="651" operator="containsText" text="Problem">
      <formula>NOT(ISERROR(SEARCH(("Problem"),(A711))))</formula>
    </cfRule>
  </conditionalFormatting>
  <conditionalFormatting sqref="A711 J711:P711">
    <cfRule type="containsText" dxfId="0" priority="652" operator="containsText" text="Problem">
      <formula>NOT(ISERROR(SEARCH(("Problem"),(A711))))</formula>
    </cfRule>
  </conditionalFormatting>
  <conditionalFormatting sqref="A711 J711:P711">
    <cfRule type="containsText" dxfId="0" priority="653" operator="containsText" text="Problem">
      <formula>NOT(ISERROR(SEARCH(("Problem"),(A711))))</formula>
    </cfRule>
  </conditionalFormatting>
  <conditionalFormatting sqref="D649:D650 E624:H650">
    <cfRule type="containsText" dxfId="0" priority="654" operator="containsText" text="Problem">
      <formula>NOT(ISERROR(SEARCH(("Problem"),(D649))))</formula>
    </cfRule>
  </conditionalFormatting>
  <conditionalFormatting sqref="D649:D650 E624:H650">
    <cfRule type="containsText" dxfId="0" priority="655" operator="containsText" text="Problem">
      <formula>NOT(ISERROR(SEARCH(("Problem"),(D649))))</formula>
    </cfRule>
  </conditionalFormatting>
  <conditionalFormatting sqref="D649:D650 E624:H650">
    <cfRule type="containsText" dxfId="0" priority="656" operator="containsText" text="Problem">
      <formula>NOT(ISERROR(SEARCH(("Problem"),(D649))))</formula>
    </cfRule>
  </conditionalFormatting>
  <conditionalFormatting sqref="G831">
    <cfRule type="containsText" dxfId="0" priority="657" operator="containsText" text="Problem">
      <formula>NOT(ISERROR(SEARCH(("Problem"),(G831))))</formula>
    </cfRule>
  </conditionalFormatting>
  <conditionalFormatting sqref="G831">
    <cfRule type="containsText" dxfId="0" priority="658" operator="containsText" text="Problem">
      <formula>NOT(ISERROR(SEARCH(("Problem"),(G831))))</formula>
    </cfRule>
  </conditionalFormatting>
  <conditionalFormatting sqref="G831">
    <cfRule type="containsText" dxfId="0" priority="659" operator="containsText" text="Problem">
      <formula>NOT(ISERROR(SEARCH(("Problem"),(G831))))</formula>
    </cfRule>
  </conditionalFormatting>
  <conditionalFormatting sqref="C475 E475:I475">
    <cfRule type="containsText" dxfId="0" priority="660" operator="containsText" text="Problem">
      <formula>NOT(ISERROR(SEARCH(("Problem"),(C475))))</formula>
    </cfRule>
  </conditionalFormatting>
  <conditionalFormatting sqref="C475 E475:I475">
    <cfRule type="containsText" dxfId="0" priority="661" operator="containsText" text="Problem">
      <formula>NOT(ISERROR(SEARCH(("Problem"),(C475))))</formula>
    </cfRule>
  </conditionalFormatting>
  <conditionalFormatting sqref="C475 E475:I475">
    <cfRule type="containsText" dxfId="0" priority="662" operator="containsText" text="Problem">
      <formula>NOT(ISERROR(SEARCH(("Problem"),(C475))))</formula>
    </cfRule>
  </conditionalFormatting>
  <conditionalFormatting sqref="F596:F623">
    <cfRule type="containsText" dxfId="0" priority="663" operator="containsText" text="Problem">
      <formula>NOT(ISERROR(SEARCH(("Problem"),(F596))))</formula>
    </cfRule>
  </conditionalFormatting>
  <conditionalFormatting sqref="F596:F623">
    <cfRule type="containsText" dxfId="0" priority="664" operator="containsText" text="Problem">
      <formula>NOT(ISERROR(SEARCH(("Problem"),(F596))))</formula>
    </cfRule>
  </conditionalFormatting>
  <conditionalFormatting sqref="F596:F623">
    <cfRule type="containsText" dxfId="0" priority="665" operator="containsText" text="Problem">
      <formula>NOT(ISERROR(SEARCH(("Problem"),(F596))))</formula>
    </cfRule>
  </conditionalFormatting>
  <conditionalFormatting sqref="D655:D682">
    <cfRule type="containsText" dxfId="0" priority="666" operator="containsText" text="Problem">
      <formula>NOT(ISERROR(SEARCH(("Problem"),(D655))))</formula>
    </cfRule>
  </conditionalFormatting>
  <conditionalFormatting sqref="D655:D682">
    <cfRule type="containsText" dxfId="0" priority="667" operator="containsText" text="Problem">
      <formula>NOT(ISERROR(SEARCH(("Problem"),(D655))))</formula>
    </cfRule>
  </conditionalFormatting>
  <conditionalFormatting sqref="D655:D682">
    <cfRule type="containsText" dxfId="0" priority="668" operator="containsText" text="Problem">
      <formula>NOT(ISERROR(SEARCH(("Problem"),(D655))))</formula>
    </cfRule>
  </conditionalFormatting>
  <conditionalFormatting sqref="D35:D59">
    <cfRule type="containsText" dxfId="0" priority="669" operator="containsText" text="Problem">
      <formula>NOT(ISERROR(SEARCH(("Problem"),(D35))))</formula>
    </cfRule>
  </conditionalFormatting>
  <conditionalFormatting sqref="D35:D59">
    <cfRule type="containsText" dxfId="0" priority="670" operator="containsText" text="Problem">
      <formula>NOT(ISERROR(SEARCH(("Problem"),(D35))))</formula>
    </cfRule>
  </conditionalFormatting>
  <conditionalFormatting sqref="D35:D59">
    <cfRule type="containsText" dxfId="0" priority="671" operator="containsText" text="Problem">
      <formula>NOT(ISERROR(SEARCH(("Problem"),(D35))))</formula>
    </cfRule>
  </conditionalFormatting>
  <conditionalFormatting sqref="E6:E34">
    <cfRule type="containsText" dxfId="0" priority="672" operator="containsText" text="Problem">
      <formula>NOT(ISERROR(SEARCH(("Problem"),(E6))))</formula>
    </cfRule>
  </conditionalFormatting>
  <conditionalFormatting sqref="E6:E34">
    <cfRule type="containsText" dxfId="0" priority="673" operator="containsText" text="Problem">
      <formula>NOT(ISERROR(SEARCH(("Problem"),(E6))))</formula>
    </cfRule>
  </conditionalFormatting>
  <conditionalFormatting sqref="E6:E34">
    <cfRule type="containsText" dxfId="0" priority="674" operator="containsText" text="Problem">
      <formula>NOT(ISERROR(SEARCH(("Problem"),(E6))))</formula>
    </cfRule>
  </conditionalFormatting>
  <conditionalFormatting sqref="H536">
    <cfRule type="containsText" dxfId="0" priority="675" operator="containsText" text="Problem">
      <formula>NOT(ISERROR(SEARCH(("Problem"),(H536))))</formula>
    </cfRule>
  </conditionalFormatting>
  <conditionalFormatting sqref="H536">
    <cfRule type="containsText" dxfId="0" priority="676" operator="containsText" text="Problem">
      <formula>NOT(ISERROR(SEARCH(("Problem"),(H536))))</formula>
    </cfRule>
  </conditionalFormatting>
  <conditionalFormatting sqref="H536">
    <cfRule type="containsText" dxfId="0" priority="677" operator="containsText" text="Problem">
      <formula>NOT(ISERROR(SEARCH(("Problem"),(H536))))</formula>
    </cfRule>
  </conditionalFormatting>
  <conditionalFormatting sqref="G713">
    <cfRule type="containsText" dxfId="0" priority="678" operator="containsText" text="Problem">
      <formula>NOT(ISERROR(SEARCH(("Problem"),(G713))))</formula>
    </cfRule>
  </conditionalFormatting>
  <conditionalFormatting sqref="G713">
    <cfRule type="containsText" dxfId="0" priority="679" operator="containsText" text="Problem">
      <formula>NOT(ISERROR(SEARCH(("Problem"),(G713))))</formula>
    </cfRule>
  </conditionalFormatting>
  <conditionalFormatting sqref="G713">
    <cfRule type="containsText" dxfId="0" priority="680" operator="containsText" text="Problem">
      <formula>NOT(ISERROR(SEARCH(("Problem"),(G713))))</formula>
    </cfRule>
  </conditionalFormatting>
  <conditionalFormatting sqref="H478:H505">
    <cfRule type="containsText" dxfId="0" priority="681" operator="containsText" text="Problem">
      <formula>NOT(ISERROR(SEARCH(("Problem"),(H478))))</formula>
    </cfRule>
  </conditionalFormatting>
  <conditionalFormatting sqref="H478:H505">
    <cfRule type="containsText" dxfId="0" priority="682" operator="containsText" text="Problem">
      <formula>NOT(ISERROR(SEARCH(("Problem"),(H478))))</formula>
    </cfRule>
  </conditionalFormatting>
  <conditionalFormatting sqref="H478:H505">
    <cfRule type="containsText" dxfId="0" priority="683" operator="containsText" text="Problem">
      <formula>NOT(ISERROR(SEARCH(("Problem"),(H478))))</formula>
    </cfRule>
  </conditionalFormatting>
  <conditionalFormatting sqref="D477">
    <cfRule type="containsText" dxfId="0" priority="684" operator="containsText" text="Problem">
      <formula>NOT(ISERROR(SEARCH(("Problem"),(D477))))</formula>
    </cfRule>
  </conditionalFormatting>
  <conditionalFormatting sqref="F536">
    <cfRule type="containsText" dxfId="0" priority="685" operator="containsText" text="Problem">
      <formula>NOT(ISERROR(SEARCH(("Problem"),(F536))))</formula>
    </cfRule>
  </conditionalFormatting>
  <conditionalFormatting sqref="F536">
    <cfRule type="containsText" dxfId="0" priority="686" operator="containsText" text="Problem">
      <formula>NOT(ISERROR(SEARCH(("Problem"),(F536))))</formula>
    </cfRule>
  </conditionalFormatting>
  <conditionalFormatting sqref="F536">
    <cfRule type="containsText" dxfId="0" priority="687" operator="containsText" text="Problem">
      <formula>NOT(ISERROR(SEARCH(("Problem"),(F536))))</formula>
    </cfRule>
  </conditionalFormatting>
  <conditionalFormatting sqref="E182">
    <cfRule type="containsText" dxfId="0" priority="688" operator="containsText" text="Problem">
      <formula>NOT(ISERROR(SEARCH(("Problem"),(E182))))</formula>
    </cfRule>
  </conditionalFormatting>
  <conditionalFormatting sqref="E182">
    <cfRule type="containsText" dxfId="0" priority="689" operator="containsText" text="Problem">
      <formula>NOT(ISERROR(SEARCH(("Problem"),(E182))))</formula>
    </cfRule>
  </conditionalFormatting>
  <conditionalFormatting sqref="E182">
    <cfRule type="containsText" dxfId="0" priority="690" operator="containsText" text="Problem">
      <formula>NOT(ISERROR(SEARCH(("Problem"),(E182))))</formula>
    </cfRule>
  </conditionalFormatting>
  <conditionalFormatting sqref="H419:H446">
    <cfRule type="containsText" dxfId="0" priority="691" operator="containsText" text="Problem">
      <formula>NOT(ISERROR(SEARCH(("Problem"),(H419))))</formula>
    </cfRule>
  </conditionalFormatting>
  <conditionalFormatting sqref="H419:H446">
    <cfRule type="containsText" dxfId="0" priority="692" operator="containsText" text="Problem">
      <formula>NOT(ISERROR(SEARCH(("Problem"),(H419))))</formula>
    </cfRule>
  </conditionalFormatting>
  <conditionalFormatting sqref="H419:H446">
    <cfRule type="containsText" dxfId="0" priority="693" operator="containsText" text="Problem">
      <formula>NOT(ISERROR(SEARCH(("Problem"),(H419))))</formula>
    </cfRule>
  </conditionalFormatting>
  <conditionalFormatting sqref="A240:I240 A297:H297 I270:I297 J240:P297">
    <cfRule type="containsText" dxfId="0" priority="694" operator="containsText" text="Problem">
      <formula>NOT(ISERROR(SEARCH(("Problem"),(A240))))</formula>
    </cfRule>
  </conditionalFormatting>
  <conditionalFormatting sqref="A240:I240 A297:H297 I270:I297 J240:P297">
    <cfRule type="containsText" dxfId="0" priority="695" operator="containsText" text="Problem">
      <formula>NOT(ISERROR(SEARCH(("Problem"),(A240))))</formula>
    </cfRule>
  </conditionalFormatting>
  <conditionalFormatting sqref="A240:I240 A297:H297 I270:I297 J240:P297">
    <cfRule type="containsText" dxfId="0" priority="696" operator="containsText" text="Problem">
      <formula>NOT(ISERROR(SEARCH(("Problem"),(A240))))</formula>
    </cfRule>
  </conditionalFormatting>
  <conditionalFormatting sqref="A712:I712 A769:H769 I742:I769 J712:P769">
    <cfRule type="containsText" dxfId="0" priority="697" operator="containsText" text="Problem">
      <formula>NOT(ISERROR(SEARCH(("Problem"),(A712))))</formula>
    </cfRule>
  </conditionalFormatting>
  <conditionalFormatting sqref="A712:I712 A769:H769 I742:I769 J712:P769">
    <cfRule type="containsText" dxfId="0" priority="698" operator="containsText" text="Problem">
      <formula>NOT(ISERROR(SEARCH(("Problem"),(A712))))</formula>
    </cfRule>
  </conditionalFormatting>
  <conditionalFormatting sqref="A712:I712 A769:H769 I742:I769 J712:P769">
    <cfRule type="containsText" dxfId="0" priority="699" operator="containsText" text="Problem">
      <formula>NOT(ISERROR(SEARCH(("Problem"),(A712))))</formula>
    </cfRule>
  </conditionalFormatting>
  <conditionalFormatting sqref="F595">
    <cfRule type="containsText" dxfId="0" priority="700" operator="containsText" text="Problem">
      <formula>NOT(ISERROR(SEARCH(("Problem"),(F595))))</formula>
    </cfRule>
  </conditionalFormatting>
  <conditionalFormatting sqref="F595">
    <cfRule type="containsText" dxfId="0" priority="701" operator="containsText" text="Problem">
      <formula>NOT(ISERROR(SEARCH(("Problem"),(F595))))</formula>
    </cfRule>
  </conditionalFormatting>
  <conditionalFormatting sqref="F595">
    <cfRule type="containsText" dxfId="0" priority="702" operator="containsText" text="Problem">
      <formula>NOT(ISERROR(SEARCH(("Problem"),(F595))))</formula>
    </cfRule>
  </conditionalFormatting>
  <conditionalFormatting sqref="D236:D237 E211:H237">
    <cfRule type="containsText" dxfId="0" priority="703" operator="containsText" text="Problem">
      <formula>NOT(ISERROR(SEARCH(("Problem"),(D236))))</formula>
    </cfRule>
  </conditionalFormatting>
  <conditionalFormatting sqref="D236:D237 E211:H237">
    <cfRule type="containsText" dxfId="0" priority="704" operator="containsText" text="Problem">
      <formula>NOT(ISERROR(SEARCH(("Problem"),(D236))))</formula>
    </cfRule>
  </conditionalFormatting>
  <conditionalFormatting sqref="D236:D237 E211:H237">
    <cfRule type="containsText" dxfId="0" priority="705" operator="containsText" text="Problem">
      <formula>NOT(ISERROR(SEARCH(("Problem"),(D236))))</formula>
    </cfRule>
  </conditionalFormatting>
  <conditionalFormatting sqref="A477:A532">
    <cfRule type="containsText" dxfId="0" priority="706" operator="containsText" text="Problem">
      <formula>NOT(ISERROR(SEARCH(("Problem"),(A477))))</formula>
    </cfRule>
  </conditionalFormatting>
  <conditionalFormatting sqref="A477:A532">
    <cfRule type="containsText" dxfId="0" priority="707" operator="containsText" text="Problem">
      <formula>NOT(ISERROR(SEARCH(("Problem"),(A477))))</formula>
    </cfRule>
  </conditionalFormatting>
  <conditionalFormatting sqref="A477:A532">
    <cfRule type="containsText" dxfId="0" priority="708" operator="containsText" text="Problem">
      <formula>NOT(ISERROR(SEARCH(("Problem"),(A477))))</formula>
    </cfRule>
  </conditionalFormatting>
  <conditionalFormatting sqref="A534 J534:P534">
    <cfRule type="containsText" dxfId="0" priority="709" operator="containsText" text="Problem">
      <formula>NOT(ISERROR(SEARCH(("Problem"),(A534))))</formula>
    </cfRule>
  </conditionalFormatting>
  <conditionalFormatting sqref="A534 J534:P534">
    <cfRule type="containsText" dxfId="0" priority="710" operator="containsText" text="Problem">
      <formula>NOT(ISERROR(SEARCH(("Problem"),(A534))))</formula>
    </cfRule>
  </conditionalFormatting>
  <conditionalFormatting sqref="A534 J534:P534">
    <cfRule type="containsText" dxfId="0" priority="711" operator="containsText" text="Problem">
      <formula>NOT(ISERROR(SEARCH(("Problem"),(A534))))</formula>
    </cfRule>
  </conditionalFormatting>
  <conditionalFormatting sqref="I419:I446">
    <cfRule type="containsText" dxfId="0" priority="712" operator="containsText" text="Problem">
      <formula>NOT(ISERROR(SEARCH(("Problem"),(I419))))</formula>
    </cfRule>
  </conditionalFormatting>
  <conditionalFormatting sqref="I419:I446">
    <cfRule type="containsText" dxfId="0" priority="713" operator="containsText" text="Problem">
      <formula>NOT(ISERROR(SEARCH(("Problem"),(I419))))</formula>
    </cfRule>
  </conditionalFormatting>
  <conditionalFormatting sqref="I419:I446">
    <cfRule type="containsText" dxfId="0" priority="714" operator="containsText" text="Problem">
      <formula>NOT(ISERROR(SEARCH(("Problem"),(I419))))</formula>
    </cfRule>
  </conditionalFormatting>
  <conditionalFormatting sqref="I419:I446">
    <cfRule type="containsText" dxfId="0" priority="715" operator="containsText" text="Problem">
      <formula>NOT(ISERROR(SEARCH(("Problem"),(I419))))</formula>
    </cfRule>
  </conditionalFormatting>
  <conditionalFormatting sqref="C357 E357:I357">
    <cfRule type="containsText" dxfId="0" priority="716" operator="containsText" text="Problem">
      <formula>NOT(ISERROR(SEARCH(("Problem"),(C357))))</formula>
    </cfRule>
  </conditionalFormatting>
  <conditionalFormatting sqref="C357 E357:I357">
    <cfRule type="containsText" dxfId="0" priority="717" operator="containsText" text="Problem">
      <formula>NOT(ISERROR(SEARCH(("Problem"),(C357))))</formula>
    </cfRule>
  </conditionalFormatting>
  <conditionalFormatting sqref="C357 E357:I357">
    <cfRule type="containsText" dxfId="0" priority="718" operator="containsText" text="Problem">
      <formula>NOT(ISERROR(SEARCH(("Problem"),(C357))))</formula>
    </cfRule>
  </conditionalFormatting>
  <conditionalFormatting sqref="A476:I476 A533:H533 I506:I533 J476:P533">
    <cfRule type="containsText" dxfId="0" priority="719" operator="containsText" text="Problem">
      <formula>NOT(ISERROR(SEARCH(("Problem"),(A476))))</formula>
    </cfRule>
  </conditionalFormatting>
  <conditionalFormatting sqref="A476:I476 A533:H533 I506:I533 J476:P533">
    <cfRule type="containsText" dxfId="0" priority="720" operator="containsText" text="Problem">
      <formula>NOT(ISERROR(SEARCH(("Problem"),(A476))))</formula>
    </cfRule>
  </conditionalFormatting>
  <conditionalFormatting sqref="A476:I476 A533:H533 I506:I533 J476:P533">
    <cfRule type="containsText" dxfId="0" priority="721" operator="containsText" text="Problem">
      <formula>NOT(ISERROR(SEARCH(("Problem"),(A476))))</formula>
    </cfRule>
  </conditionalFormatting>
  <conditionalFormatting sqref="F301:F328">
    <cfRule type="containsText" dxfId="0" priority="722" operator="containsText" text="Problem">
      <formula>NOT(ISERROR(SEARCH(("Problem"),(F301))))</formula>
    </cfRule>
  </conditionalFormatting>
  <conditionalFormatting sqref="F301:F328">
    <cfRule type="containsText" dxfId="0" priority="723" operator="containsText" text="Problem">
      <formula>NOT(ISERROR(SEARCH(("Problem"),(F301))))</formula>
    </cfRule>
  </conditionalFormatting>
  <conditionalFormatting sqref="F301:F328">
    <cfRule type="containsText" dxfId="0" priority="724" operator="containsText" text="Problem">
      <formula>NOT(ISERROR(SEARCH(("Problem"),(F301))))</formula>
    </cfRule>
  </conditionalFormatting>
  <conditionalFormatting sqref="G359">
    <cfRule type="containsText" dxfId="0" priority="725" operator="containsText" text="Problem">
      <formula>NOT(ISERROR(SEARCH(("Problem"),(G359))))</formula>
    </cfRule>
  </conditionalFormatting>
  <conditionalFormatting sqref="G359">
    <cfRule type="containsText" dxfId="0" priority="726" operator="containsText" text="Problem">
      <formula>NOT(ISERROR(SEARCH(("Problem"),(G359))))</formula>
    </cfRule>
  </conditionalFormatting>
  <conditionalFormatting sqref="G359">
    <cfRule type="containsText" dxfId="0" priority="727" operator="containsText" text="Problem">
      <formula>NOT(ISERROR(SEARCH(("Problem"),(G359))))</formula>
    </cfRule>
  </conditionalFormatting>
  <conditionalFormatting sqref="D447:D471">
    <cfRule type="containsText" dxfId="0" priority="728" operator="containsText" text="Problem">
      <formula>NOT(ISERROR(SEARCH(("Problem"),(D447))))</formula>
    </cfRule>
  </conditionalFormatting>
  <conditionalFormatting sqref="D447:D471">
    <cfRule type="containsText" dxfId="0" priority="729" operator="containsText" text="Problem">
      <formula>NOT(ISERROR(SEARCH(("Problem"),(D447))))</formula>
    </cfRule>
  </conditionalFormatting>
  <conditionalFormatting sqref="H714:H741">
    <cfRule type="containsText" dxfId="0" priority="730" operator="containsText" text="Problem">
      <formula>NOT(ISERROR(SEARCH(("Problem"),(H714))))</formula>
    </cfRule>
  </conditionalFormatting>
  <conditionalFormatting sqref="H714:H741">
    <cfRule type="containsText" dxfId="0" priority="731" operator="containsText" text="Problem">
      <formula>NOT(ISERROR(SEARCH(("Problem"),(H714))))</formula>
    </cfRule>
  </conditionalFormatting>
  <conditionalFormatting sqref="H714:H741">
    <cfRule type="containsText" dxfId="0" priority="732" operator="containsText" text="Problem">
      <formula>NOT(ISERROR(SEARCH(("Problem"),(H714))))</formula>
    </cfRule>
  </conditionalFormatting>
  <conditionalFormatting sqref="F772">
    <cfRule type="containsText" dxfId="0" priority="733" operator="containsText" text="Problem">
      <formula>NOT(ISERROR(SEARCH(("Problem"),(F772))))</formula>
    </cfRule>
  </conditionalFormatting>
  <conditionalFormatting sqref="F772">
    <cfRule type="containsText" dxfId="0" priority="734" operator="containsText" text="Problem">
      <formula>NOT(ISERROR(SEARCH(("Problem"),(F772))))</formula>
    </cfRule>
  </conditionalFormatting>
  <conditionalFormatting sqref="F772">
    <cfRule type="containsText" dxfId="0" priority="735" operator="containsText" text="Problem">
      <formula>NOT(ISERROR(SEARCH(("Problem"),(F772))))</formula>
    </cfRule>
  </conditionalFormatting>
  <conditionalFormatting sqref="G595">
    <cfRule type="containsText" dxfId="0" priority="736" operator="containsText" text="Problem">
      <formula>NOT(ISERROR(SEARCH(("Problem"),(G595))))</formula>
    </cfRule>
  </conditionalFormatting>
  <conditionalFormatting sqref="G595">
    <cfRule type="containsText" dxfId="0" priority="737" operator="containsText" text="Problem">
      <formula>NOT(ISERROR(SEARCH(("Problem"),(G595))))</formula>
    </cfRule>
  </conditionalFormatting>
  <conditionalFormatting sqref="G595">
    <cfRule type="containsText" dxfId="0" priority="738" operator="containsText" text="Problem">
      <formula>NOT(ISERROR(SEARCH(("Problem"),(G595))))</formula>
    </cfRule>
  </conditionalFormatting>
  <conditionalFormatting sqref="F419:F446">
    <cfRule type="containsText" dxfId="0" priority="739" operator="containsText" text="Problem">
      <formula>NOT(ISERROR(SEARCH(("Problem"),(F419))))</formula>
    </cfRule>
  </conditionalFormatting>
  <conditionalFormatting sqref="F419:F446">
    <cfRule type="containsText" dxfId="0" priority="740" operator="containsText" text="Problem">
      <formula>NOT(ISERROR(SEARCH(("Problem"),(F419))))</formula>
    </cfRule>
  </conditionalFormatting>
  <conditionalFormatting sqref="F419:F446">
    <cfRule type="containsText" dxfId="0" priority="741" operator="containsText" text="Problem">
      <formula>NOT(ISERROR(SEARCH(("Problem"),(F419))))</formula>
    </cfRule>
  </conditionalFormatting>
  <conditionalFormatting sqref="G6:G34">
    <cfRule type="containsText" dxfId="0" priority="742" operator="containsText" text="Problem">
      <formula>NOT(ISERROR(SEARCH(("Problem"),(G6))))</formula>
    </cfRule>
  </conditionalFormatting>
  <conditionalFormatting sqref="G6:G34">
    <cfRule type="containsText" dxfId="0" priority="743" operator="containsText" text="Problem">
      <formula>NOT(ISERROR(SEARCH(("Problem"),(G6))))</formula>
    </cfRule>
  </conditionalFormatting>
  <conditionalFormatting sqref="G6:G34">
    <cfRule type="containsText" dxfId="0" priority="744" operator="containsText" text="Problem">
      <formula>NOT(ISERROR(SEARCH(("Problem"),(G6))))</formula>
    </cfRule>
  </conditionalFormatting>
  <conditionalFormatting sqref="D767:D768 E742:H768">
    <cfRule type="containsText" dxfId="0" priority="745" operator="containsText" text="Problem">
      <formula>NOT(ISERROR(SEARCH(("Problem"),(D767))))</formula>
    </cfRule>
  </conditionalFormatting>
  <conditionalFormatting sqref="D767:D768 E742:H768">
    <cfRule type="containsText" dxfId="0" priority="746" operator="containsText" text="Problem">
      <formula>NOT(ISERROR(SEARCH(("Problem"),(D767))))</formula>
    </cfRule>
  </conditionalFormatting>
  <conditionalFormatting sqref="D767:D768 E742:H768">
    <cfRule type="containsText" dxfId="0" priority="747" operator="containsText" text="Problem">
      <formula>NOT(ISERROR(SEARCH(("Problem"),(D767))))</formula>
    </cfRule>
  </conditionalFormatting>
  <conditionalFormatting sqref="A830:I830 A887:H887 I860:I887 J830:P887">
    <cfRule type="containsText" dxfId="0" priority="748" operator="containsText" text="Problem">
      <formula>NOT(ISERROR(SEARCH(("Problem"),(A830))))</formula>
    </cfRule>
  </conditionalFormatting>
  <conditionalFormatting sqref="A830:I830 A887:H887 I860:I887 J830:P887">
    <cfRule type="containsText" dxfId="0" priority="749" operator="containsText" text="Problem">
      <formula>NOT(ISERROR(SEARCH(("Problem"),(A830))))</formula>
    </cfRule>
  </conditionalFormatting>
  <conditionalFormatting sqref="A830:I830 A887:H887 I860:I887 J830:P887">
    <cfRule type="containsText" dxfId="0" priority="750" operator="containsText" text="Problem">
      <formula>NOT(ISERROR(SEARCH(("Problem"),(A830))))</formula>
    </cfRule>
  </conditionalFormatting>
  <conditionalFormatting sqref="D60 E35:H60">
    <cfRule type="containsText" dxfId="0" priority="751" operator="containsText" text="Problem">
      <formula>NOT(ISERROR(SEARCH(("Problem"),(D60))))</formula>
    </cfRule>
  </conditionalFormatting>
  <conditionalFormatting sqref="D60 E35:H60">
    <cfRule type="containsText" dxfId="0" priority="752" operator="containsText" text="Problem">
      <formula>NOT(ISERROR(SEARCH(("Problem"),(D60))))</formula>
    </cfRule>
  </conditionalFormatting>
  <conditionalFormatting sqref="D60 E35:H60">
    <cfRule type="containsText" dxfId="0" priority="753" operator="containsText" text="Problem">
      <formula>NOT(ISERROR(SEARCH(("Problem"),(D60))))</formula>
    </cfRule>
  </conditionalFormatting>
  <conditionalFormatting sqref="G418">
    <cfRule type="containsText" dxfId="0" priority="754" operator="containsText" text="Problem">
      <formula>NOT(ISERROR(SEARCH(("Problem"),(G418))))</formula>
    </cfRule>
  </conditionalFormatting>
  <conditionalFormatting sqref="G418">
    <cfRule type="containsText" dxfId="0" priority="755" operator="containsText" text="Problem">
      <formula>NOT(ISERROR(SEARCH(("Problem"),(G418))))</formula>
    </cfRule>
  </conditionalFormatting>
  <conditionalFormatting sqref="G418">
    <cfRule type="containsText" dxfId="0" priority="756" operator="containsText" text="Problem">
      <formula>NOT(ISERROR(SEARCH(("Problem"),(G418))))</formula>
    </cfRule>
  </conditionalFormatting>
  <conditionalFormatting sqref="G478:G505">
    <cfRule type="containsText" dxfId="0" priority="757" operator="containsText" text="Problem">
      <formula>NOT(ISERROR(SEARCH(("Problem"),(G478))))</formula>
    </cfRule>
  </conditionalFormatting>
  <conditionalFormatting sqref="G478:G505">
    <cfRule type="containsText" dxfId="0" priority="758" operator="containsText" text="Problem">
      <formula>NOT(ISERROR(SEARCH(("Problem"),(G478))))</formula>
    </cfRule>
  </conditionalFormatting>
  <conditionalFormatting sqref="G478:G505">
    <cfRule type="containsText" dxfId="0" priority="759" operator="containsText" text="Problem">
      <formula>NOT(ISERROR(SEARCH(("Problem"),(G478))))</formula>
    </cfRule>
  </conditionalFormatting>
  <conditionalFormatting sqref="G596:G623">
    <cfRule type="containsText" dxfId="0" priority="760" operator="containsText" text="Problem">
      <formula>NOT(ISERROR(SEARCH(("Problem"),(G596))))</formula>
    </cfRule>
  </conditionalFormatting>
  <conditionalFormatting sqref="G596:G623">
    <cfRule type="containsText" dxfId="0" priority="761" operator="containsText" text="Problem">
      <formula>NOT(ISERROR(SEARCH(("Problem"),(G596))))</formula>
    </cfRule>
  </conditionalFormatting>
  <conditionalFormatting sqref="G596:G623">
    <cfRule type="containsText" dxfId="0" priority="762" operator="containsText" text="Problem">
      <formula>NOT(ISERROR(SEARCH(("Problem"),(G596))))</formula>
    </cfRule>
  </conditionalFormatting>
  <conditionalFormatting sqref="D590:D591 E565:H591">
    <cfRule type="containsText" dxfId="0" priority="763" operator="containsText" text="Problem">
      <formula>NOT(ISERROR(SEARCH(("Problem"),(D590))))</formula>
    </cfRule>
  </conditionalFormatting>
  <conditionalFormatting sqref="D590:D591 E565:H591">
    <cfRule type="containsText" dxfId="0" priority="764" operator="containsText" text="Problem">
      <formula>NOT(ISERROR(SEARCH(("Problem"),(D590))))</formula>
    </cfRule>
  </conditionalFormatting>
  <conditionalFormatting sqref="D590:D591 E565:H591">
    <cfRule type="containsText" dxfId="0" priority="765" operator="containsText" text="Problem">
      <formula>NOT(ISERROR(SEARCH(("Problem"),(D590))))</formula>
    </cfRule>
  </conditionalFormatting>
  <conditionalFormatting sqref="D595">
    <cfRule type="containsText" dxfId="0" priority="766" operator="containsText" text="Problem">
      <formula>NOT(ISERROR(SEARCH(("Problem"),(D595))))</formula>
    </cfRule>
  </conditionalFormatting>
  <conditionalFormatting sqref="D5">
    <cfRule type="containsText" dxfId="0" priority="767" operator="containsText" text="Problem">
      <formula>NOT(ISERROR(SEARCH(("Problem"),(D5))))</formula>
    </cfRule>
  </conditionalFormatting>
  <conditionalFormatting sqref="D5">
    <cfRule type="containsText" dxfId="0" priority="768" operator="containsText" text="Problem">
      <formula>NOT(ISERROR(SEARCH(("Problem"),(D5))))</formula>
    </cfRule>
  </conditionalFormatting>
  <conditionalFormatting sqref="D5">
    <cfRule type="containsText" dxfId="0" priority="769" operator="containsText" text="Problem">
      <formula>NOT(ISERROR(SEARCH(("Problem"),(D5))))</formula>
    </cfRule>
  </conditionalFormatting>
  <conditionalFormatting sqref="E595">
    <cfRule type="containsText" dxfId="0" priority="770" operator="containsText" text="Problem">
      <formula>NOT(ISERROR(SEARCH(("Problem"),(E595))))</formula>
    </cfRule>
  </conditionalFormatting>
  <conditionalFormatting sqref="E595">
    <cfRule type="containsText" dxfId="0" priority="771" operator="containsText" text="Problem">
      <formula>NOT(ISERROR(SEARCH(("Problem"),(E595))))</formula>
    </cfRule>
  </conditionalFormatting>
  <conditionalFormatting sqref="E595">
    <cfRule type="containsText" dxfId="0" priority="772" operator="containsText" text="Problem">
      <formula>NOT(ISERROR(SEARCH(("Problem"),(E595))))</formula>
    </cfRule>
  </conditionalFormatting>
  <conditionalFormatting sqref="G360:G387">
    <cfRule type="containsText" dxfId="0" priority="773" operator="containsText" text="Problem">
      <formula>NOT(ISERROR(SEARCH(("Problem"),(G360))))</formula>
    </cfRule>
  </conditionalFormatting>
  <conditionalFormatting sqref="G360:G387">
    <cfRule type="containsText" dxfId="0" priority="774" operator="containsText" text="Problem">
      <formula>NOT(ISERROR(SEARCH(("Problem"),(G360))))</formula>
    </cfRule>
  </conditionalFormatting>
  <conditionalFormatting sqref="G360:G387">
    <cfRule type="containsText" dxfId="0" priority="775" operator="containsText" text="Problem">
      <formula>NOT(ISERROR(SEARCH(("Problem"),(G360))))</formula>
    </cfRule>
  </conditionalFormatting>
  <conditionalFormatting sqref="H772">
    <cfRule type="containsText" dxfId="0" priority="776" operator="containsText" text="Problem">
      <formula>NOT(ISERROR(SEARCH(("Problem"),(H772))))</formula>
    </cfRule>
  </conditionalFormatting>
  <conditionalFormatting sqref="H772">
    <cfRule type="containsText" dxfId="0" priority="777" operator="containsText" text="Problem">
      <formula>NOT(ISERROR(SEARCH(("Problem"),(H772))))</formula>
    </cfRule>
  </conditionalFormatting>
  <conditionalFormatting sqref="H772">
    <cfRule type="containsText" dxfId="0" priority="778" operator="containsText" text="Problem">
      <formula>NOT(ISERROR(SEARCH(("Problem"),(H772))))</formula>
    </cfRule>
  </conditionalFormatting>
  <conditionalFormatting sqref="H360:H387">
    <cfRule type="containsText" dxfId="0" priority="779" operator="containsText" text="Problem">
      <formula>NOT(ISERROR(SEARCH(("Problem"),(H360))))</formula>
    </cfRule>
  </conditionalFormatting>
  <conditionalFormatting sqref="H360:H387">
    <cfRule type="containsText" dxfId="0" priority="780" operator="containsText" text="Problem">
      <formula>NOT(ISERROR(SEARCH(("Problem"),(H360))))</formula>
    </cfRule>
  </conditionalFormatting>
  <conditionalFormatting sqref="H360:H387">
    <cfRule type="containsText" dxfId="0" priority="781" operator="containsText" text="Problem">
      <formula>NOT(ISERROR(SEARCH(("Problem"),(H360))))</formula>
    </cfRule>
  </conditionalFormatting>
  <conditionalFormatting sqref="D418">
    <cfRule type="containsText" dxfId="0" priority="782" operator="containsText" text="Problem">
      <formula>NOT(ISERROR(SEARCH(("Problem"),(D418))))</formula>
    </cfRule>
  </conditionalFormatting>
  <conditionalFormatting sqref="I537:I564">
    <cfRule type="containsText" dxfId="0" priority="783" operator="containsText" text="Problem">
      <formula>NOT(ISERROR(SEARCH(("Problem"),(I537))))</formula>
    </cfRule>
  </conditionalFormatting>
  <conditionalFormatting sqref="I537:I564">
    <cfRule type="containsText" dxfId="0" priority="784" operator="containsText" text="Problem">
      <formula>NOT(ISERROR(SEARCH(("Problem"),(I537))))</formula>
    </cfRule>
  </conditionalFormatting>
  <conditionalFormatting sqref="I537:I564">
    <cfRule type="containsText" dxfId="0" priority="785" operator="containsText" text="Problem">
      <formula>NOT(ISERROR(SEARCH(("Problem"),(I537))))</formula>
    </cfRule>
  </conditionalFormatting>
  <conditionalFormatting sqref="I537:I564">
    <cfRule type="containsText" dxfId="0" priority="786" operator="containsText" text="Problem">
      <formula>NOT(ISERROR(SEARCH(("Problem"),(I537))))</formula>
    </cfRule>
  </conditionalFormatting>
  <conditionalFormatting sqref="H654">
    <cfRule type="containsText" dxfId="0" priority="787" operator="containsText" text="Problem">
      <formula>NOT(ISERROR(SEARCH(("Problem"),(H654))))</formula>
    </cfRule>
  </conditionalFormatting>
  <conditionalFormatting sqref="H654">
    <cfRule type="containsText" dxfId="0" priority="788" operator="containsText" text="Problem">
      <formula>NOT(ISERROR(SEARCH(("Problem"),(H654))))</formula>
    </cfRule>
  </conditionalFormatting>
  <conditionalFormatting sqref="H654">
    <cfRule type="containsText" dxfId="0" priority="789" operator="containsText" text="Problem">
      <formula>NOT(ISERROR(SEARCH(("Problem"),(H654))))</formula>
    </cfRule>
  </conditionalFormatting>
  <conditionalFormatting sqref="F418">
    <cfRule type="containsText" dxfId="0" priority="790" operator="containsText" text="Problem">
      <formula>NOT(ISERROR(SEARCH(("Problem"),(F418))))</formula>
    </cfRule>
  </conditionalFormatting>
  <conditionalFormatting sqref="F418">
    <cfRule type="containsText" dxfId="0" priority="791" operator="containsText" text="Problem">
      <formula>NOT(ISERROR(SEARCH(("Problem"),(F418))))</formula>
    </cfRule>
  </conditionalFormatting>
  <conditionalFormatting sqref="F418">
    <cfRule type="containsText" dxfId="0" priority="792" operator="containsText" text="Problem">
      <formula>NOT(ISERROR(SEARCH(("Problem"),(F418))))</formula>
    </cfRule>
  </conditionalFormatting>
  <conditionalFormatting sqref="A593 J593:P593">
    <cfRule type="containsText" dxfId="0" priority="793" operator="containsText" text="Problem">
      <formula>NOT(ISERROR(SEARCH(("Problem"),(A593))))</formula>
    </cfRule>
  </conditionalFormatting>
  <conditionalFormatting sqref="A593 J593:P593">
    <cfRule type="containsText" dxfId="0" priority="794" operator="containsText" text="Problem">
      <formula>NOT(ISERROR(SEARCH(("Problem"),(A593))))</formula>
    </cfRule>
  </conditionalFormatting>
  <conditionalFormatting sqref="A593 J593:P593">
    <cfRule type="containsText" dxfId="0" priority="795" operator="containsText" text="Problem">
      <formula>NOT(ISERROR(SEARCH(("Problem"),(A593))))</formula>
    </cfRule>
  </conditionalFormatting>
  <conditionalFormatting sqref="D64">
    <cfRule type="containsText" dxfId="0" priority="796" operator="containsText" text="Problem">
      <formula>NOT(ISERROR(SEARCH(("Problem"),(D64))))</formula>
    </cfRule>
  </conditionalFormatting>
  <conditionalFormatting sqref="D123">
    <cfRule type="containsText" dxfId="0" priority="797" operator="containsText" text="Problem">
      <formula>NOT(ISERROR(SEARCH(("Problem"),(D123))))</formula>
    </cfRule>
  </conditionalFormatting>
  <conditionalFormatting sqref="H301:H328">
    <cfRule type="containsText" dxfId="0" priority="798" operator="containsText" text="Problem">
      <formula>NOT(ISERROR(SEARCH(("Problem"),(H301))))</formula>
    </cfRule>
  </conditionalFormatting>
  <conditionalFormatting sqref="H301:H328">
    <cfRule type="containsText" dxfId="0" priority="799" operator="containsText" text="Problem">
      <formula>NOT(ISERROR(SEARCH(("Problem"),(H301))))</formula>
    </cfRule>
  </conditionalFormatting>
  <conditionalFormatting sqref="H301:H328">
    <cfRule type="containsText" dxfId="0" priority="800" operator="containsText" text="Problem">
      <formula>NOT(ISERROR(SEARCH(("Problem"),(H301))))</formula>
    </cfRule>
  </conditionalFormatting>
  <conditionalFormatting sqref="C62 E62:I62">
    <cfRule type="containsText" dxfId="0" priority="801" operator="containsText" text="Problem">
      <formula>NOT(ISERROR(SEARCH(("Problem"),(C62))))</formula>
    </cfRule>
  </conditionalFormatting>
  <conditionalFormatting sqref="C62 E62:I62">
    <cfRule type="containsText" dxfId="0" priority="802" operator="containsText" text="Problem">
      <formula>NOT(ISERROR(SEARCH(("Problem"),(C62))))</formula>
    </cfRule>
  </conditionalFormatting>
  <conditionalFormatting sqref="C62 E62:I62">
    <cfRule type="containsText" dxfId="0" priority="803" operator="containsText" text="Problem">
      <formula>NOT(ISERROR(SEARCH(("Problem"),(C62))))</formula>
    </cfRule>
  </conditionalFormatting>
  <conditionalFormatting sqref="G124:G151">
    <cfRule type="containsText" dxfId="0" priority="804" operator="containsText" text="Problem">
      <formula>NOT(ISERROR(SEARCH(("Problem"),(G124))))</formula>
    </cfRule>
  </conditionalFormatting>
  <conditionalFormatting sqref="G124:G151">
    <cfRule type="containsText" dxfId="0" priority="805" operator="containsText" text="Problem">
      <formula>NOT(ISERROR(SEARCH(("Problem"),(G124))))</formula>
    </cfRule>
  </conditionalFormatting>
  <conditionalFormatting sqref="G124:G151">
    <cfRule type="containsText" dxfId="0" priority="806" operator="containsText" text="Problem">
      <formula>NOT(ISERROR(SEARCH(("Problem"),(G124))))</formula>
    </cfRule>
  </conditionalFormatting>
  <conditionalFormatting sqref="A890:A945">
    <cfRule type="containsText" dxfId="0" priority="807" operator="containsText" text="Problem">
      <formula>NOT(ISERROR(SEARCH(("Problem"),(A890))))</formula>
    </cfRule>
  </conditionalFormatting>
  <conditionalFormatting sqref="A890:A945">
    <cfRule type="containsText" dxfId="0" priority="808" operator="containsText" text="Problem">
      <formula>NOT(ISERROR(SEARCH(("Problem"),(A890))))</formula>
    </cfRule>
  </conditionalFormatting>
  <conditionalFormatting sqref="A890:A945">
    <cfRule type="containsText" dxfId="0" priority="809" operator="containsText" text="Problem">
      <formula>NOT(ISERROR(SEARCH(("Problem"),(A890))))</formula>
    </cfRule>
  </conditionalFormatting>
  <conditionalFormatting sqref="E242:E269">
    <cfRule type="containsText" dxfId="0" priority="810" operator="containsText" text="Problem">
      <formula>NOT(ISERROR(SEARCH(("Problem"),(E242))))</formula>
    </cfRule>
  </conditionalFormatting>
  <conditionalFormatting sqref="E242:E269">
    <cfRule type="containsText" dxfId="0" priority="811" operator="containsText" text="Problem">
      <formula>NOT(ISERROR(SEARCH(("Problem"),(E242))))</formula>
    </cfRule>
  </conditionalFormatting>
  <conditionalFormatting sqref="E242:E269">
    <cfRule type="containsText" dxfId="0" priority="812" operator="containsText" text="Problem">
      <formula>NOT(ISERROR(SEARCH(("Problem"),(E242))))</formula>
    </cfRule>
  </conditionalFormatting>
  <conditionalFormatting sqref="E360:E387">
    <cfRule type="containsText" dxfId="0" priority="813" operator="containsText" text="Problem">
      <formula>NOT(ISERROR(SEARCH(("Problem"),(E360))))</formula>
    </cfRule>
  </conditionalFormatting>
  <conditionalFormatting sqref="E360:E387">
    <cfRule type="containsText" dxfId="0" priority="814" operator="containsText" text="Problem">
      <formula>NOT(ISERROR(SEARCH(("Problem"),(E360))))</formula>
    </cfRule>
  </conditionalFormatting>
  <conditionalFormatting sqref="E360:E387">
    <cfRule type="containsText" dxfId="0" priority="815" operator="containsText" text="Problem">
      <formula>NOT(ISERROR(SEARCH(("Problem"),(E360))))</formula>
    </cfRule>
  </conditionalFormatting>
  <conditionalFormatting sqref="H5">
    <cfRule type="containsText" dxfId="0" priority="816" operator="containsText" text="Problem">
      <formula>NOT(ISERROR(SEARCH(("Problem"),(H5))))</formula>
    </cfRule>
  </conditionalFormatting>
  <conditionalFormatting sqref="H5">
    <cfRule type="containsText" dxfId="0" priority="817" operator="containsText" text="Problem">
      <formula>NOT(ISERROR(SEARCH(("Problem"),(H5))))</formula>
    </cfRule>
  </conditionalFormatting>
  <conditionalFormatting sqref="H5">
    <cfRule type="containsText" dxfId="0" priority="818" operator="containsText" text="Problem">
      <formula>NOT(ISERROR(SEARCH(("Problem"),(H5))))</formula>
    </cfRule>
  </conditionalFormatting>
  <conditionalFormatting sqref="E536">
    <cfRule type="containsText" dxfId="0" priority="819" operator="containsText" text="Problem">
      <formula>NOT(ISERROR(SEARCH(("Problem"),(E536))))</formula>
    </cfRule>
  </conditionalFormatting>
  <conditionalFormatting sqref="E536">
    <cfRule type="containsText" dxfId="0" priority="820" operator="containsText" text="Problem">
      <formula>NOT(ISERROR(SEARCH(("Problem"),(E536))))</formula>
    </cfRule>
  </conditionalFormatting>
  <conditionalFormatting sqref="E536">
    <cfRule type="containsText" dxfId="0" priority="821" operator="containsText" text="Problem">
      <formula>NOT(ISERROR(SEARCH(("Problem"),(E536))))</formula>
    </cfRule>
  </conditionalFormatting>
  <conditionalFormatting sqref="G537:G564">
    <cfRule type="containsText" dxfId="0" priority="822" operator="containsText" text="Problem">
      <formula>NOT(ISERROR(SEARCH(("Problem"),(G537))))</formula>
    </cfRule>
  </conditionalFormatting>
  <conditionalFormatting sqref="G537:G564">
    <cfRule type="containsText" dxfId="0" priority="823" operator="containsText" text="Problem">
      <formula>NOT(ISERROR(SEARCH(("Problem"),(G537))))</formula>
    </cfRule>
  </conditionalFormatting>
  <conditionalFormatting sqref="G537:G564">
    <cfRule type="containsText" dxfId="0" priority="824" operator="containsText" text="Problem">
      <formula>NOT(ISERROR(SEARCH(("Problem"),(G537))))</formula>
    </cfRule>
  </conditionalFormatting>
  <conditionalFormatting sqref="D270:D294">
    <cfRule type="containsText" dxfId="0" priority="825" operator="containsText" text="Problem">
      <formula>NOT(ISERROR(SEARCH(("Problem"),(D270))))</formula>
    </cfRule>
  </conditionalFormatting>
  <conditionalFormatting sqref="D270:D294">
    <cfRule type="containsText" dxfId="0" priority="826" operator="containsText" text="Problem">
      <formula>NOT(ISERROR(SEARCH(("Problem"),(D270))))</formula>
    </cfRule>
  </conditionalFormatting>
  <conditionalFormatting sqref="D152:D176">
    <cfRule type="containsText" dxfId="0" priority="827" operator="containsText" text="Problem">
      <formula>NOT(ISERROR(SEARCH(("Problem"),(D152))))</formula>
    </cfRule>
  </conditionalFormatting>
  <conditionalFormatting sqref="D152:D176">
    <cfRule type="containsText" dxfId="0" priority="828" operator="containsText" text="Problem">
      <formula>NOT(ISERROR(SEARCH(("Problem"),(D152))))</formula>
    </cfRule>
  </conditionalFormatting>
  <conditionalFormatting sqref="E123">
    <cfRule type="containsText" dxfId="0" priority="829" operator="containsText" text="Problem">
      <formula>NOT(ISERROR(SEARCH(("Problem"),(E123))))</formula>
    </cfRule>
  </conditionalFormatting>
  <conditionalFormatting sqref="E123">
    <cfRule type="containsText" dxfId="0" priority="830" operator="containsText" text="Problem">
      <formula>NOT(ISERROR(SEARCH(("Problem"),(E123))))</formula>
    </cfRule>
  </conditionalFormatting>
  <conditionalFormatting sqref="E123">
    <cfRule type="containsText" dxfId="0" priority="831" operator="containsText" text="Problem">
      <formula>NOT(ISERROR(SEARCH(("Problem"),(E123))))</formula>
    </cfRule>
  </conditionalFormatting>
  <conditionalFormatting sqref="D831">
    <cfRule type="containsText" dxfId="0" priority="832" operator="containsText" text="Problem">
      <formula>NOT(ISERROR(SEARCH(("Problem"),(D831))))</formula>
    </cfRule>
  </conditionalFormatting>
  <conditionalFormatting sqref="D832:D859">
    <cfRule type="containsText" dxfId="0" priority="833" operator="containsText" text="Problem">
      <formula>NOT(ISERROR(SEARCH(("Problem"),(D832))))</formula>
    </cfRule>
  </conditionalFormatting>
  <conditionalFormatting sqref="D832:D859">
    <cfRule type="containsText" dxfId="0" priority="834" operator="containsText" text="Problem">
      <formula>NOT(ISERROR(SEARCH(("Problem"),(D832))))</formula>
    </cfRule>
  </conditionalFormatting>
  <conditionalFormatting sqref="D832:D859">
    <cfRule type="containsText" dxfId="0" priority="835" operator="containsText" text="Problem">
      <formula>NOT(ISERROR(SEARCH(("Problem"),(D832))))</formula>
    </cfRule>
  </conditionalFormatting>
  <conditionalFormatting sqref="D329:D353">
    <cfRule type="containsText" dxfId="0" priority="836" operator="containsText" text="Problem">
      <formula>NOT(ISERROR(SEARCH(("Problem"),(D329))))</formula>
    </cfRule>
  </conditionalFormatting>
  <conditionalFormatting sqref="D329:D353">
    <cfRule type="containsText" dxfId="0" priority="837" operator="containsText" text="Problem">
      <formula>NOT(ISERROR(SEARCH(("Problem"),(D329))))</formula>
    </cfRule>
  </conditionalFormatting>
  <conditionalFormatting sqref="G242:G269">
    <cfRule type="containsText" dxfId="0" priority="838" operator="containsText" text="Problem">
      <formula>NOT(ISERROR(SEARCH(("Problem"),(G242))))</formula>
    </cfRule>
  </conditionalFormatting>
  <conditionalFormatting sqref="G242:G269">
    <cfRule type="containsText" dxfId="0" priority="839" operator="containsText" text="Problem">
      <formula>NOT(ISERROR(SEARCH(("Problem"),(G242))))</formula>
    </cfRule>
  </conditionalFormatting>
  <conditionalFormatting sqref="G242:G269">
    <cfRule type="containsText" dxfId="0" priority="840" operator="containsText" text="Problem">
      <formula>NOT(ISERROR(SEARCH(("Problem"),(G242))))</formula>
    </cfRule>
  </conditionalFormatting>
  <conditionalFormatting sqref="B101:C101 B113:B116 B118:C119 C70:C100 C110:C116">
    <cfRule type="containsText" dxfId="0" priority="841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842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843" operator="containsText" text="Problem">
      <formula>NOT(ISERROR(SEARCH(("Problem"),(B101))))</formula>
    </cfRule>
  </conditionalFormatting>
  <conditionalFormatting sqref="A299:I299 A356:H356 I329:I356 J299:P356">
    <cfRule type="containsText" dxfId="0" priority="844" operator="containsText" text="Problem">
      <formula>NOT(ISERROR(SEARCH(("Problem"),(A299))))</formula>
    </cfRule>
  </conditionalFormatting>
  <conditionalFormatting sqref="A299:I299 A356:H356 I329:I356 J299:P356">
    <cfRule type="containsText" dxfId="0" priority="845" operator="containsText" text="Problem">
      <formula>NOT(ISERROR(SEARCH(("Problem"),(A299))))</formula>
    </cfRule>
  </conditionalFormatting>
  <conditionalFormatting sqref="A299:I299 A356:H356 I329:I356 J299:P356">
    <cfRule type="containsText" dxfId="0" priority="846" operator="containsText" text="Problem">
      <formula>NOT(ISERROR(SEARCH(("Problem"),(A299))))</formula>
    </cfRule>
  </conditionalFormatting>
  <conditionalFormatting sqref="D300">
    <cfRule type="containsText" dxfId="0" priority="847" operator="containsText" text="Problem">
      <formula>NOT(ISERROR(SEARCH(("Problem"),(D300))))</formula>
    </cfRule>
  </conditionalFormatting>
  <conditionalFormatting sqref="D241">
    <cfRule type="containsText" dxfId="0" priority="848" operator="containsText" text="Problem">
      <formula>NOT(ISERROR(SEARCH(("Problem"),(D241))))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8.57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86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>
      <c r="A3" s="10"/>
      <c r="B3" s="11" t="s">
        <v>3</v>
      </c>
      <c r="C3" s="39"/>
      <c r="D3" s="13"/>
      <c r="E3" s="11"/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>
      <c r="A5" s="28">
        <v>1.0</v>
      </c>
      <c r="B5" s="29" t="s">
        <v>22</v>
      </c>
      <c r="C5" s="30">
        <v>192.17</v>
      </c>
      <c r="D5" s="3"/>
      <c r="E5" s="31"/>
      <c r="F5" s="3"/>
      <c r="G5" s="3"/>
      <c r="H5" s="3"/>
      <c r="I5" s="3"/>
      <c r="J5" s="3" t="str">
        <f t="shared" ref="J5:J61" si="1">D5+E5-F5-G5+H5</f>
        <v>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>
      <c r="A6" s="28">
        <v>2.0</v>
      </c>
      <c r="B6" s="29" t="s">
        <v>23</v>
      </c>
      <c r="C6" s="30">
        <v>9.26</v>
      </c>
      <c r="D6" s="3"/>
      <c r="E6" s="31"/>
      <c r="F6" s="3"/>
      <c r="G6" s="3"/>
      <c r="H6" s="3"/>
      <c r="I6" s="3"/>
      <c r="J6" s="3" t="str">
        <f t="shared" si="1"/>
        <v>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>
      <c r="A7" s="28">
        <v>3.0</v>
      </c>
      <c r="B7" s="29" t="s">
        <v>24</v>
      </c>
      <c r="C7" s="30">
        <v>87.79</v>
      </c>
      <c r="D7" s="3"/>
      <c r="E7" s="31"/>
      <c r="F7" s="3"/>
      <c r="G7" s="3"/>
      <c r="H7" s="3"/>
      <c r="I7" s="3"/>
      <c r="J7" s="3" t="str">
        <f t="shared" si="1"/>
        <v>0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>
      <c r="A8" s="28">
        <v>4.0</v>
      </c>
      <c r="B8" s="29" t="s">
        <v>25</v>
      </c>
      <c r="C8" s="30">
        <v>55.55</v>
      </c>
      <c r="D8" s="3"/>
      <c r="E8" s="31"/>
      <c r="F8" s="3"/>
      <c r="G8" s="3"/>
      <c r="H8" s="3"/>
      <c r="I8" s="3"/>
      <c r="J8" s="3" t="str">
        <f t="shared" si="1"/>
        <v>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>
      <c r="A9" s="28">
        <v>5.0</v>
      </c>
      <c r="B9" s="29" t="s">
        <v>26</v>
      </c>
      <c r="C9" s="30">
        <v>70.01</v>
      </c>
      <c r="D9" s="3"/>
      <c r="E9" s="31"/>
      <c r="F9" s="3"/>
      <c r="G9" s="3"/>
      <c r="H9" s="3"/>
      <c r="I9" s="3"/>
      <c r="J9" s="3" t="str">
        <f t="shared" si="1"/>
        <v>0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>
      <c r="A10" s="28">
        <v>6.0</v>
      </c>
      <c r="B10" s="29" t="s">
        <v>27</v>
      </c>
      <c r="C10" s="30">
        <v>73.92999999999999</v>
      </c>
      <c r="D10" s="3"/>
      <c r="E10" s="31"/>
      <c r="F10" s="3"/>
      <c r="G10" s="3"/>
      <c r="H10" s="3"/>
      <c r="I10" s="3"/>
      <c r="J10" s="3" t="str">
        <f t="shared" si="1"/>
        <v>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>
      <c r="A11" s="28">
        <v>7.0</v>
      </c>
      <c r="B11" s="29" t="s">
        <v>28</v>
      </c>
      <c r="C11" s="30">
        <v>13.91</v>
      </c>
      <c r="D11" s="3"/>
      <c r="E11" s="31"/>
      <c r="F11" s="3"/>
      <c r="G11" s="3"/>
      <c r="H11" s="3"/>
      <c r="I11" s="3"/>
      <c r="J11" s="3" t="str">
        <f t="shared" si="1"/>
        <v>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/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"/>
      <c r="E14" s="31"/>
      <c r="F14" s="3"/>
      <c r="G14" s="3"/>
      <c r="H14" s="3"/>
      <c r="I14" s="3"/>
      <c r="J14" s="3" t="str">
        <f t="shared" si="1"/>
        <v>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>
      <c r="A15" s="28">
        <v>11.0</v>
      </c>
      <c r="B15" s="29" t="s">
        <v>32</v>
      </c>
      <c r="C15" s="30">
        <v>102.17</v>
      </c>
      <c r="D15" s="3"/>
      <c r="E15" s="31"/>
      <c r="F15" s="3"/>
      <c r="G15" s="3"/>
      <c r="H15" s="3"/>
      <c r="I15" s="3"/>
      <c r="J15" s="3" t="str">
        <f t="shared" si="1"/>
        <v>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>
      <c r="A16" s="28">
        <v>12.0</v>
      </c>
      <c r="B16" s="29" t="s">
        <v>33</v>
      </c>
      <c r="C16" s="30">
        <v>59.93</v>
      </c>
      <c r="D16" s="3"/>
      <c r="E16" s="31"/>
      <c r="F16" s="3"/>
      <c r="G16" s="3"/>
      <c r="H16" s="3"/>
      <c r="I16" s="3"/>
      <c r="J16" s="3" t="str">
        <f t="shared" si="1"/>
        <v>0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>
      <c r="A17" s="28">
        <v>13.0</v>
      </c>
      <c r="B17" s="29" t="s">
        <v>34</v>
      </c>
      <c r="C17" s="30">
        <v>118.0</v>
      </c>
      <c r="D17" s="3"/>
      <c r="E17" s="31"/>
      <c r="F17" s="3"/>
      <c r="G17" s="3"/>
      <c r="H17" s="3"/>
      <c r="I17" s="3"/>
      <c r="J17" s="3" t="str">
        <f t="shared" si="1"/>
        <v>0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>
      <c r="A18" s="28">
        <v>14.0</v>
      </c>
      <c r="B18" s="29" t="s">
        <v>35</v>
      </c>
      <c r="C18" s="30">
        <v>52.83</v>
      </c>
      <c r="D18" s="3"/>
      <c r="E18" s="31"/>
      <c r="F18" s="3"/>
      <c r="G18" s="3"/>
      <c r="H18" s="3"/>
      <c r="I18" s="3"/>
      <c r="J18" s="3" t="str">
        <f t="shared" si="1"/>
        <v>0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>
      <c r="A19" s="28">
        <v>15.0</v>
      </c>
      <c r="B19" s="29" t="s">
        <v>36</v>
      </c>
      <c r="C19" s="30">
        <v>93.2</v>
      </c>
      <c r="D19" s="3"/>
      <c r="E19" s="31"/>
      <c r="F19" s="3"/>
      <c r="G19" s="3"/>
      <c r="H19" s="3"/>
      <c r="I19" s="3"/>
      <c r="J19" s="3" t="str">
        <f t="shared" si="1"/>
        <v>0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>
      <c r="A20" s="28">
        <v>16.0</v>
      </c>
      <c r="B20" s="29" t="s">
        <v>37</v>
      </c>
      <c r="C20" s="30">
        <v>61.02</v>
      </c>
      <c r="D20" s="3"/>
      <c r="E20" s="31"/>
      <c r="F20" s="3"/>
      <c r="G20" s="3"/>
      <c r="H20" s="3"/>
      <c r="I20" s="3"/>
      <c r="J20" s="3" t="str">
        <f t="shared" si="1"/>
        <v>0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15.75" customHeight="1">
      <c r="A21" s="28">
        <v>17.0</v>
      </c>
      <c r="B21" s="29" t="s">
        <v>38</v>
      </c>
      <c r="C21" s="30">
        <v>36.62</v>
      </c>
      <c r="D21" s="3"/>
      <c r="E21" s="31"/>
      <c r="F21" s="3"/>
      <c r="G21" s="3"/>
      <c r="H21" s="3"/>
      <c r="I21" s="3"/>
      <c r="J21" s="3" t="str">
        <f t="shared" si="1"/>
        <v>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15.75" customHeight="1">
      <c r="A22" s="28">
        <v>18.0</v>
      </c>
      <c r="B22" s="29" t="s">
        <v>39</v>
      </c>
      <c r="C22" s="30">
        <v>80.36</v>
      </c>
      <c r="D22" s="3"/>
      <c r="E22" s="31"/>
      <c r="F22" s="3"/>
      <c r="G22" s="3"/>
      <c r="H22" s="3"/>
      <c r="I22" s="3"/>
      <c r="J22" s="3" t="str">
        <f t="shared" si="1"/>
        <v>0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15.75" customHeight="1">
      <c r="A23" s="28">
        <v>19.0</v>
      </c>
      <c r="B23" s="29" t="s">
        <v>40</v>
      </c>
      <c r="C23" s="30">
        <v>160.56</v>
      </c>
      <c r="D23" s="3"/>
      <c r="E23" s="31"/>
      <c r="F23" s="3"/>
      <c r="G23" s="3"/>
      <c r="H23" s="3"/>
      <c r="I23" s="3"/>
      <c r="J23" s="3" t="str">
        <f t="shared" si="1"/>
        <v>0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15.75" customHeight="1">
      <c r="A24" s="28">
        <v>20.0</v>
      </c>
      <c r="B24" s="29" t="s">
        <v>41</v>
      </c>
      <c r="C24" s="30">
        <v>186.44</v>
      </c>
      <c r="D24" s="3"/>
      <c r="E24" s="31"/>
      <c r="F24" s="3"/>
      <c r="G24" s="3"/>
      <c r="H24" s="3"/>
      <c r="I24" s="3"/>
      <c r="J24" s="3" t="str">
        <f t="shared" si="1"/>
        <v>0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15.75" customHeight="1">
      <c r="A25" s="28">
        <v>21.0</v>
      </c>
      <c r="B25" s="29" t="s">
        <v>42</v>
      </c>
      <c r="C25" s="30">
        <v>92.59</v>
      </c>
      <c r="D25" s="3"/>
      <c r="E25" s="31"/>
      <c r="F25" s="3"/>
      <c r="G25" s="3"/>
      <c r="H25" s="3"/>
      <c r="I25" s="3"/>
      <c r="J25" s="3" t="str">
        <f t="shared" si="1"/>
        <v>0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15.75" customHeight="1">
      <c r="A26" s="28">
        <v>22.0</v>
      </c>
      <c r="B26" s="29" t="s">
        <v>43</v>
      </c>
      <c r="C26" s="30">
        <v>95.17</v>
      </c>
      <c r="D26" s="3"/>
      <c r="E26" s="31"/>
      <c r="F26" s="3"/>
      <c r="G26" s="3"/>
      <c r="H26" s="3"/>
      <c r="I26" s="3"/>
      <c r="J26" s="3" t="str">
        <f t="shared" si="1"/>
        <v>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15.75" customHeight="1">
      <c r="A27" s="28">
        <v>23.0</v>
      </c>
      <c r="B27" s="29" t="s">
        <v>44</v>
      </c>
      <c r="C27" s="30">
        <v>92.94</v>
      </c>
      <c r="D27" s="3"/>
      <c r="E27" s="31"/>
      <c r="F27" s="3"/>
      <c r="G27" s="3"/>
      <c r="H27" s="3"/>
      <c r="I27" s="3"/>
      <c r="J27" s="3" t="str">
        <f t="shared" si="1"/>
        <v>0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15.75" customHeight="1">
      <c r="A28" s="28">
        <v>24.0</v>
      </c>
      <c r="B28" s="29" t="s">
        <v>45</v>
      </c>
      <c r="C28" s="30">
        <v>101.82</v>
      </c>
      <c r="D28" s="3"/>
      <c r="E28" s="31"/>
      <c r="F28" s="3"/>
      <c r="G28" s="3"/>
      <c r="H28" s="3"/>
      <c r="I28" s="3"/>
      <c r="J28" s="3" t="str">
        <f t="shared" si="1"/>
        <v>0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15.75" customHeight="1">
      <c r="A29" s="28">
        <v>25.0</v>
      </c>
      <c r="B29" s="29" t="s">
        <v>46</v>
      </c>
      <c r="C29" s="30">
        <v>53.49</v>
      </c>
      <c r="D29" s="3"/>
      <c r="E29" s="31"/>
      <c r="F29" s="3"/>
      <c r="G29" s="3"/>
      <c r="H29" s="3"/>
      <c r="I29" s="3"/>
      <c r="J29" s="3" t="str">
        <f t="shared" si="1"/>
        <v>0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15.75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15.75" customHeight="1">
      <c r="A31" s="28">
        <v>27.0</v>
      </c>
      <c r="B31" s="29" t="s">
        <v>48</v>
      </c>
      <c r="C31" s="30">
        <v>116.68</v>
      </c>
      <c r="D31" s="3"/>
      <c r="E31" s="31"/>
      <c r="F31" s="3"/>
      <c r="G31" s="3"/>
      <c r="H31" s="3"/>
      <c r="I31" s="3"/>
      <c r="J31" s="3" t="str">
        <f t="shared" si="1"/>
        <v>0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15.75" customHeight="1">
      <c r="A32" s="28">
        <v>28.0</v>
      </c>
      <c r="B32" s="29" t="s">
        <v>49</v>
      </c>
      <c r="C32" s="30">
        <v>107.96</v>
      </c>
      <c r="D32" s="3"/>
      <c r="E32" s="31"/>
      <c r="F32" s="3"/>
      <c r="G32" s="3"/>
      <c r="H32" s="3"/>
      <c r="I32" s="3"/>
      <c r="J32" s="3" t="str">
        <f t="shared" si="1"/>
        <v>0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15.75" customHeight="1">
      <c r="A33" s="28">
        <v>29.0</v>
      </c>
      <c r="B33" s="29" t="s">
        <v>50</v>
      </c>
      <c r="C33" s="30">
        <v>248.89</v>
      </c>
      <c r="D33" s="3"/>
      <c r="E33" s="31"/>
      <c r="F33" s="3"/>
      <c r="G33" s="3"/>
      <c r="H33" s="3"/>
      <c r="I33" s="3"/>
      <c r="J33" s="3" t="str">
        <f t="shared" si="1"/>
        <v>0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15.75" customHeight="1">
      <c r="A34" s="28">
        <v>30.0</v>
      </c>
      <c r="B34" s="29" t="s">
        <v>51</v>
      </c>
      <c r="C34" s="30">
        <v>80.36</v>
      </c>
      <c r="D34" s="3"/>
      <c r="E34" s="31"/>
      <c r="F34" s="3"/>
      <c r="G34" s="3"/>
      <c r="H34" s="3"/>
      <c r="I34" s="3"/>
      <c r="J34" s="3" t="str">
        <f t="shared" si="1"/>
        <v>0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15.75" customHeight="1">
      <c r="A35" s="28">
        <v>31.0</v>
      </c>
      <c r="B35" s="29" t="s">
        <v>52</v>
      </c>
      <c r="C35" s="30">
        <v>52.46</v>
      </c>
      <c r="D35" s="3"/>
      <c r="E35" s="31"/>
      <c r="F35" s="27"/>
      <c r="G35" s="27"/>
      <c r="H35" s="27"/>
      <c r="I35" s="3"/>
      <c r="J35" s="3" t="str">
        <f t="shared" si="1"/>
        <v>0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15.75" customHeight="1">
      <c r="A36" s="28">
        <v>32.0</v>
      </c>
      <c r="B36" s="29" t="s">
        <v>53</v>
      </c>
      <c r="C36" s="30">
        <v>71.21</v>
      </c>
      <c r="D36" s="3"/>
      <c r="E36" s="31"/>
      <c r="F36" s="27"/>
      <c r="G36" s="27"/>
      <c r="H36" s="27"/>
      <c r="I36" s="3"/>
      <c r="J36" s="3" t="str">
        <f t="shared" si="1"/>
        <v>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15.75" customHeight="1">
      <c r="A37" s="28">
        <v>33.0</v>
      </c>
      <c r="B37" s="29" t="s">
        <v>54</v>
      </c>
      <c r="C37" s="30">
        <v>80.35</v>
      </c>
      <c r="D37" s="3"/>
      <c r="E37" s="31"/>
      <c r="F37" s="27"/>
      <c r="G37" s="27"/>
      <c r="H37" s="27"/>
      <c r="I37" s="3"/>
      <c r="J37" s="3" t="str">
        <f t="shared" si="1"/>
        <v>0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15.75" customHeight="1">
      <c r="A38" s="28">
        <v>34.0</v>
      </c>
      <c r="B38" s="29" t="s">
        <v>55</v>
      </c>
      <c r="C38" s="30">
        <v>64.18</v>
      </c>
      <c r="D38" s="3"/>
      <c r="E38" s="31"/>
      <c r="F38" s="27"/>
      <c r="G38" s="27"/>
      <c r="H38" s="27"/>
      <c r="I38" s="3"/>
      <c r="J38" s="3" t="str">
        <f t="shared" si="1"/>
        <v>0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15.75" customHeight="1">
      <c r="A39" s="28">
        <v>35.0</v>
      </c>
      <c r="B39" s="29" t="s">
        <v>56</v>
      </c>
      <c r="C39" s="30">
        <v>36.9</v>
      </c>
      <c r="D39" s="3"/>
      <c r="E39" s="31"/>
      <c r="F39" s="27"/>
      <c r="G39" s="27"/>
      <c r="H39" s="27"/>
      <c r="I39" s="3"/>
      <c r="J39" s="3" t="str">
        <f t="shared" si="1"/>
        <v>0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15.75" customHeight="1">
      <c r="A40" s="28">
        <v>36.0</v>
      </c>
      <c r="B40" s="29" t="s">
        <v>57</v>
      </c>
      <c r="C40" s="30">
        <v>101.54</v>
      </c>
      <c r="D40" s="3"/>
      <c r="E40" s="31"/>
      <c r="F40" s="27"/>
      <c r="G40" s="27"/>
      <c r="H40" s="27"/>
      <c r="I40" s="3"/>
      <c r="J40" s="3" t="str">
        <f t="shared" si="1"/>
        <v>0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/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15.75" customHeight="1">
      <c r="A42" s="28">
        <v>38.0</v>
      </c>
      <c r="B42" s="29" t="s">
        <v>59</v>
      </c>
      <c r="C42" s="30">
        <v>66.69</v>
      </c>
      <c r="D42" s="3"/>
      <c r="E42" s="31"/>
      <c r="F42" s="27"/>
      <c r="G42" s="27"/>
      <c r="H42" s="27"/>
      <c r="I42" s="3"/>
      <c r="J42" s="3" t="str">
        <f t="shared" si="1"/>
        <v>0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15.75" customHeight="1">
      <c r="A43" s="28">
        <v>39.0</v>
      </c>
      <c r="B43" s="29" t="s">
        <v>60</v>
      </c>
      <c r="C43" s="29">
        <v>150.85999999999999</v>
      </c>
      <c r="D43" s="3"/>
      <c r="E43" s="31"/>
      <c r="F43" s="27"/>
      <c r="G43" s="27"/>
      <c r="H43" s="27"/>
      <c r="I43" s="3"/>
      <c r="J43" s="3" t="str">
        <f t="shared" si="1"/>
        <v>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15.75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15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15.75" customHeight="1">
      <c r="A46" s="28">
        <v>42.0</v>
      </c>
      <c r="B46" s="29"/>
      <c r="C46" s="29"/>
      <c r="D46" s="3"/>
      <c r="E46" s="31"/>
      <c r="F46" s="27"/>
      <c r="G46" s="27"/>
      <c r="H46" s="27"/>
      <c r="I46" s="3"/>
      <c r="J46" s="3" t="str">
        <f t="shared" si="1"/>
        <v>0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15.75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15.7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15.7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0</v>
      </c>
      <c r="E61" s="3" t="str">
        <f t="shared" si="8"/>
        <v>0</v>
      </c>
      <c r="F61" s="3" t="str">
        <f t="shared" si="8"/>
        <v>0</v>
      </c>
      <c r="G61" s="3" t="str">
        <f t="shared" si="8"/>
        <v>0</v>
      </c>
      <c r="H61" s="3" t="str">
        <f t="shared" si="8"/>
        <v>0</v>
      </c>
      <c r="I61" s="3" t="str">
        <f t="shared" si="8"/>
        <v>0</v>
      </c>
      <c r="J61" s="3" t="str">
        <f t="shared" si="1"/>
        <v>0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No Issue</v>
      </c>
      <c r="P61" s="3" t="str">
        <f t="shared" si="7"/>
        <v>NoIssue</v>
      </c>
    </row>
    <row r="62" ht="15.75" customHeight="1">
      <c r="A62" s="10"/>
      <c r="B62" s="11" t="s">
        <v>3</v>
      </c>
      <c r="C62" s="39"/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/>
      <c r="E75" s="3"/>
      <c r="F75" s="3"/>
      <c r="G75" s="3"/>
      <c r="H75" s="3"/>
      <c r="I75" s="3"/>
      <c r="J75" s="3" t="str">
        <f t="shared" si="9"/>
        <v>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/>
      <c r="E76" s="3"/>
      <c r="F76" s="3"/>
      <c r="G76" s="3"/>
      <c r="H76" s="3"/>
      <c r="I76" s="3"/>
      <c r="J76" s="3" t="str">
        <f t="shared" si="9"/>
        <v>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/>
      <c r="E78" s="3"/>
      <c r="F78" s="3"/>
      <c r="G78" s="3"/>
      <c r="H78" s="3"/>
      <c r="I78" s="3"/>
      <c r="J78" s="3" t="str">
        <f t="shared" si="9"/>
        <v>0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/>
      <c r="E83" s="3"/>
      <c r="F83" s="3"/>
      <c r="G83" s="3"/>
      <c r="H83" s="3"/>
      <c r="I83" s="3"/>
      <c r="J83" s="3" t="str">
        <f t="shared" si="9"/>
        <v>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/>
      <c r="E99" s="3"/>
      <c r="F99" s="27"/>
      <c r="G99" s="27"/>
      <c r="H99" s="27"/>
      <c r="I99" s="3"/>
      <c r="J99" s="3" t="str">
        <f t="shared" si="9"/>
        <v>0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0</v>
      </c>
      <c r="E120" s="3" t="str">
        <f t="shared" si="16"/>
        <v>0</v>
      </c>
      <c r="F120" s="3" t="str">
        <f t="shared" si="16"/>
        <v>0</v>
      </c>
      <c r="G120" s="3" t="str">
        <f t="shared" si="16"/>
        <v>0</v>
      </c>
      <c r="H120" s="3" t="str">
        <f t="shared" si="16"/>
        <v>0</v>
      </c>
      <c r="I120" s="3" t="str">
        <f t="shared" si="16"/>
        <v>0</v>
      </c>
      <c r="J120" s="3" t="str">
        <f t="shared" si="9"/>
        <v>0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No Issue</v>
      </c>
      <c r="P120" s="3" t="str">
        <f t="shared" si="15"/>
        <v>NoIssue</v>
      </c>
    </row>
    <row r="121" ht="15.75" customHeight="1">
      <c r="A121" s="10"/>
      <c r="B121" s="11" t="s">
        <v>3</v>
      </c>
      <c r="C121" s="39"/>
      <c r="D121" s="13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/>
      <c r="E125" s="3"/>
      <c r="F125" s="3"/>
      <c r="G125" s="3"/>
      <c r="H125" s="3"/>
      <c r="I125" s="3"/>
      <c r="J125" s="3" t="str">
        <f t="shared" si="17"/>
        <v>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/>
      <c r="E144" s="3"/>
      <c r="F144" s="3"/>
      <c r="G144" s="3"/>
      <c r="H144" s="3"/>
      <c r="I144" s="3"/>
      <c r="J144" s="3" t="str">
        <f t="shared" si="17"/>
        <v>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/>
      <c r="E145" s="3"/>
      <c r="F145" s="3"/>
      <c r="G145" s="3"/>
      <c r="H145" s="3"/>
      <c r="I145" s="3"/>
      <c r="J145" s="3" t="str">
        <f t="shared" si="17"/>
        <v>0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/>
      <c r="E146" s="3"/>
      <c r="F146" s="3"/>
      <c r="G146" s="3"/>
      <c r="H146" s="3"/>
      <c r="I146" s="3"/>
      <c r="J146" s="3" t="str">
        <f t="shared" si="17"/>
        <v>0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/>
      <c r="E149" s="3"/>
      <c r="F149" s="3"/>
      <c r="G149" s="3"/>
      <c r="H149" s="3"/>
      <c r="I149" s="3"/>
      <c r="J149" s="3" t="str">
        <f t="shared" si="17"/>
        <v>0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/>
      <c r="E152" s="3"/>
      <c r="F152" s="27"/>
      <c r="G152" s="27"/>
      <c r="H152" s="27"/>
      <c r="I152" s="3"/>
      <c r="J152" s="3" t="str">
        <f t="shared" si="17"/>
        <v>0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/>
      <c r="E153" s="3"/>
      <c r="F153" s="27"/>
      <c r="G153" s="27"/>
      <c r="H153" s="27"/>
      <c r="I153" s="3"/>
      <c r="J153" s="3" t="str">
        <f t="shared" si="17"/>
        <v>0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/>
      <c r="E160" s="3"/>
      <c r="F160" s="27"/>
      <c r="G160" s="27"/>
      <c r="H160" s="27"/>
      <c r="I160" s="3"/>
      <c r="J160" s="3" t="str">
        <f t="shared" si="17"/>
        <v>0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0</v>
      </c>
      <c r="E179" s="3" t="str">
        <f t="shared" si="24"/>
        <v>0</v>
      </c>
      <c r="F179" s="3" t="str">
        <f t="shared" si="24"/>
        <v>0</v>
      </c>
      <c r="G179" s="3" t="str">
        <f t="shared" si="24"/>
        <v>0</v>
      </c>
      <c r="H179" s="3" t="str">
        <f t="shared" si="24"/>
        <v>0</v>
      </c>
      <c r="I179" s="3" t="str">
        <f t="shared" si="24"/>
        <v>0</v>
      </c>
      <c r="J179" s="3" t="str">
        <f t="shared" si="17"/>
        <v>0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NoIssue</v>
      </c>
    </row>
    <row r="180" ht="15.75" customHeight="1">
      <c r="A180" s="10"/>
      <c r="B180" s="11" t="s">
        <v>3</v>
      </c>
      <c r="C180" s="39"/>
      <c r="D180" s="13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/>
      <c r="E197" s="3"/>
      <c r="F197" s="3"/>
      <c r="G197" s="3"/>
      <c r="H197" s="3"/>
      <c r="I197" s="3"/>
      <c r="J197" s="3" t="str">
        <f t="shared" si="25"/>
        <v>0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/>
      <c r="E200" s="3"/>
      <c r="F200" s="3"/>
      <c r="G200" s="3"/>
      <c r="H200" s="3"/>
      <c r="I200" s="3"/>
      <c r="J200" s="3" t="str">
        <f t="shared" si="25"/>
        <v>0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/>
      <c r="E215" s="3"/>
      <c r="F215" s="27"/>
      <c r="G215" s="27"/>
      <c r="H215" s="27"/>
      <c r="I215" s="3"/>
      <c r="J215" s="3" t="str">
        <f t="shared" si="25"/>
        <v>0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/>
      <c r="E216" s="3"/>
      <c r="F216" s="27"/>
      <c r="G216" s="27"/>
      <c r="H216" s="27"/>
      <c r="I216" s="3"/>
      <c r="J216" s="3" t="str">
        <f t="shared" si="25"/>
        <v>0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/>
      <c r="E217" s="3"/>
      <c r="F217" s="27"/>
      <c r="G217" s="27"/>
      <c r="H217" s="27"/>
      <c r="I217" s="3"/>
      <c r="J217" s="3" t="str">
        <f t="shared" si="25"/>
        <v>0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/>
      <c r="E219" s="3"/>
      <c r="F219" s="27"/>
      <c r="G219" s="27"/>
      <c r="H219" s="27"/>
      <c r="I219" s="3"/>
      <c r="J219" s="3" t="str">
        <f t="shared" si="25"/>
        <v>0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0</v>
      </c>
      <c r="E238" s="3" t="str">
        <f t="shared" si="32"/>
        <v>0</v>
      </c>
      <c r="F238" s="3" t="str">
        <f t="shared" si="32"/>
        <v>0</v>
      </c>
      <c r="G238" s="3" t="str">
        <f t="shared" si="32"/>
        <v>0</v>
      </c>
      <c r="H238" s="3" t="str">
        <f t="shared" si="32"/>
        <v>0</v>
      </c>
      <c r="I238" s="3" t="str">
        <f t="shared" si="32"/>
        <v>0</v>
      </c>
      <c r="J238" s="3" t="str">
        <f t="shared" si="25"/>
        <v>0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No Issue</v>
      </c>
      <c r="P238" s="3" t="str">
        <f t="shared" si="31"/>
        <v>NoIssue</v>
      </c>
    </row>
    <row r="239" ht="15.75" customHeight="1">
      <c r="A239" s="10"/>
      <c r="B239" s="11" t="s">
        <v>3</v>
      </c>
      <c r="C239" s="39"/>
      <c r="D239" s="13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/>
      <c r="E244" s="3"/>
      <c r="F244" s="3"/>
      <c r="G244" s="3"/>
      <c r="H244" s="3"/>
      <c r="I244" s="3"/>
      <c r="J244" s="3" t="str">
        <f t="shared" si="33"/>
        <v>0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/>
      <c r="E245" s="3"/>
      <c r="F245" s="3"/>
      <c r="G245" s="3"/>
      <c r="H245" s="3"/>
      <c r="I245" s="3"/>
      <c r="J245" s="3" t="str">
        <f t="shared" si="33"/>
        <v>0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/>
      <c r="E254" s="3"/>
      <c r="F254" s="3"/>
      <c r="G254" s="3"/>
      <c r="H254" s="3"/>
      <c r="I254" s="3"/>
      <c r="J254" s="3" t="str">
        <f t="shared" si="33"/>
        <v>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/>
      <c r="E255" s="3"/>
      <c r="F255" s="3"/>
      <c r="G255" s="3"/>
      <c r="H255" s="3"/>
      <c r="I255" s="3"/>
      <c r="J255" s="3" t="str">
        <f t="shared" si="33"/>
        <v>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/>
      <c r="E261" s="3"/>
      <c r="F261" s="3"/>
      <c r="G261" s="3"/>
      <c r="H261" s="3"/>
      <c r="I261" s="3"/>
      <c r="J261" s="3" t="str">
        <f t="shared" si="33"/>
        <v>0</v>
      </c>
      <c r="K261" s="27" t="str">
        <f t="shared" si="34"/>
        <v> No Issue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/>
      <c r="E269" s="3"/>
      <c r="F269" s="3"/>
      <c r="G269" s="3"/>
      <c r="H269" s="3"/>
      <c r="I269" s="3"/>
      <c r="J269" s="3" t="str">
        <f t="shared" si="33"/>
        <v>0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/>
      <c r="E272" s="3"/>
      <c r="F272" s="27"/>
      <c r="G272" s="27"/>
      <c r="H272" s="27"/>
      <c r="I272" s="3"/>
      <c r="J272" s="3" t="str">
        <f t="shared" si="33"/>
        <v>0</v>
      </c>
      <c r="K272" s="27" t="str">
        <f t="shared" si="34"/>
        <v> No Issue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/>
      <c r="E274" s="3"/>
      <c r="F274" s="27"/>
      <c r="G274" s="27"/>
      <c r="H274" s="27"/>
      <c r="I274" s="3"/>
      <c r="J274" s="3" t="str">
        <f t="shared" si="33"/>
        <v>0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/>
      <c r="E275" s="3"/>
      <c r="F275" s="27"/>
      <c r="G275" s="27"/>
      <c r="H275" s="27"/>
      <c r="I275" s="3"/>
      <c r="J275" s="3" t="str">
        <f t="shared" si="33"/>
        <v>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/>
      <c r="E276" s="3"/>
      <c r="F276" s="27"/>
      <c r="G276" s="27"/>
      <c r="H276" s="27"/>
      <c r="I276" s="3"/>
      <c r="J276" s="3" t="str">
        <f t="shared" si="33"/>
        <v>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/>
      <c r="E278" s="3"/>
      <c r="F278" s="27"/>
      <c r="G278" s="27"/>
      <c r="H278" s="27"/>
      <c r="I278" s="3"/>
      <c r="J278" s="3" t="str">
        <f t="shared" si="33"/>
        <v>0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0</v>
      </c>
      <c r="E297" s="3" t="str">
        <f t="shared" si="40"/>
        <v>0</v>
      </c>
      <c r="F297" s="3" t="str">
        <f t="shared" si="40"/>
        <v>0</v>
      </c>
      <c r="G297" s="3" t="str">
        <f t="shared" si="40"/>
        <v>0</v>
      </c>
      <c r="H297" s="3" t="str">
        <f t="shared" si="40"/>
        <v>0</v>
      </c>
      <c r="I297" s="3" t="str">
        <f t="shared" si="40"/>
        <v>0</v>
      </c>
      <c r="J297" s="3" t="str">
        <f t="shared" si="33"/>
        <v>0</v>
      </c>
      <c r="K297" s="27" t="str">
        <f t="shared" si="34"/>
        <v> No Issue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No Issue</v>
      </c>
      <c r="P297" s="3" t="str">
        <f t="shared" si="39"/>
        <v>NoIssue</v>
      </c>
    </row>
    <row r="298" ht="15.75" customHeight="1">
      <c r="A298" s="10"/>
      <c r="B298" s="11" t="s">
        <v>3</v>
      </c>
      <c r="C298" s="39"/>
      <c r="D298" s="13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/>
      <c r="E312" s="3"/>
      <c r="F312" s="3"/>
      <c r="G312" s="3"/>
      <c r="H312" s="3"/>
      <c r="I312" s="3"/>
      <c r="J312" s="3" t="str">
        <f t="shared" si="41"/>
        <v>0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/>
      <c r="E315" s="3"/>
      <c r="F315" s="3"/>
      <c r="G315" s="3"/>
      <c r="H315" s="3"/>
      <c r="I315" s="3"/>
      <c r="J315" s="3" t="str">
        <f t="shared" si="41"/>
        <v>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/>
      <c r="E316" s="3"/>
      <c r="F316" s="3"/>
      <c r="G316" s="3"/>
      <c r="H316" s="3"/>
      <c r="I316" s="3"/>
      <c r="J316" s="3" t="str">
        <f t="shared" si="41"/>
        <v>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/>
      <c r="E318" s="3"/>
      <c r="F318" s="3"/>
      <c r="G318" s="3"/>
      <c r="H318" s="3"/>
      <c r="I318" s="3"/>
      <c r="J318" s="3" t="str">
        <f t="shared" si="41"/>
        <v>0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/>
      <c r="E319" s="3"/>
      <c r="F319" s="3"/>
      <c r="G319" s="3"/>
      <c r="H319" s="3"/>
      <c r="I319" s="3"/>
      <c r="J319" s="3" t="str">
        <f t="shared" si="41"/>
        <v>0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/>
      <c r="E320" s="3"/>
      <c r="F320" s="3"/>
      <c r="G320" s="3"/>
      <c r="H320" s="3"/>
      <c r="I320" s="3"/>
      <c r="J320" s="3" t="str">
        <f t="shared" si="41"/>
        <v>0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/>
      <c r="E326" s="3"/>
      <c r="F326" s="3"/>
      <c r="G326" s="3"/>
      <c r="H326" s="3"/>
      <c r="I326" s="3"/>
      <c r="J326" s="3" t="str">
        <f t="shared" si="41"/>
        <v>0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/>
      <c r="E333" s="3"/>
      <c r="F333" s="27"/>
      <c r="G333" s="27"/>
      <c r="H333" s="27"/>
      <c r="I333" s="3"/>
      <c r="J333" s="3" t="str">
        <f t="shared" si="41"/>
        <v>0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/>
      <c r="E334" s="3"/>
      <c r="F334" s="27"/>
      <c r="G334" s="27"/>
      <c r="H334" s="27"/>
      <c r="I334" s="3"/>
      <c r="J334" s="3" t="str">
        <f t="shared" si="41"/>
        <v>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/>
      <c r="E335" s="3"/>
      <c r="F335" s="27"/>
      <c r="G335" s="27"/>
      <c r="H335" s="27"/>
      <c r="I335" s="3"/>
      <c r="J335" s="3" t="str">
        <f t="shared" si="41"/>
        <v>0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/>
      <c r="E337" s="3"/>
      <c r="F337" s="27"/>
      <c r="G337" s="27"/>
      <c r="H337" s="27"/>
      <c r="I337" s="3"/>
      <c r="J337" s="3" t="str">
        <f t="shared" si="41"/>
        <v>0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0</v>
      </c>
      <c r="E356" s="3" t="str">
        <f t="shared" si="48"/>
        <v>0</v>
      </c>
      <c r="F356" s="3" t="str">
        <f t="shared" si="48"/>
        <v>0</v>
      </c>
      <c r="G356" s="3" t="str">
        <f t="shared" si="48"/>
        <v>0</v>
      </c>
      <c r="H356" s="3" t="str">
        <f t="shared" si="48"/>
        <v>0</v>
      </c>
      <c r="I356" s="3" t="str">
        <f t="shared" si="48"/>
        <v>0</v>
      </c>
      <c r="J356" s="3" t="str">
        <f t="shared" si="41"/>
        <v>0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No Issue</v>
      </c>
      <c r="P356" s="3" t="str">
        <f t="shared" si="47"/>
        <v>NoIssue</v>
      </c>
    </row>
    <row r="357" ht="15.75" customHeight="1">
      <c r="A357" s="10"/>
      <c r="B357" s="11" t="s">
        <v>3</v>
      </c>
      <c r="C357" s="39"/>
      <c r="D357" s="13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/>
      <c r="E363" s="3"/>
      <c r="F363" s="3"/>
      <c r="G363" s="3"/>
      <c r="H363" s="3"/>
      <c r="I363" s="3"/>
      <c r="J363" s="3" t="str">
        <f t="shared" si="49"/>
        <v>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/>
      <c r="E372" s="3"/>
      <c r="F372" s="3"/>
      <c r="G372" s="3"/>
      <c r="H372" s="3"/>
      <c r="I372" s="3"/>
      <c r="J372" s="3" t="str">
        <f t="shared" si="49"/>
        <v>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/>
      <c r="E392" s="3"/>
      <c r="F392" s="27"/>
      <c r="G392" s="27"/>
      <c r="H392" s="27"/>
      <c r="I392" s="3"/>
      <c r="J392" s="3" t="str">
        <f t="shared" si="49"/>
        <v>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/>
      <c r="F394" s="27"/>
      <c r="G394" s="27"/>
      <c r="H394" s="27"/>
      <c r="I394" s="3"/>
      <c r="J394" s="3" t="str">
        <f t="shared" si="49"/>
        <v>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0</v>
      </c>
      <c r="E415" s="3" t="str">
        <f t="shared" si="56"/>
        <v>0</v>
      </c>
      <c r="F415" s="3" t="str">
        <f t="shared" si="56"/>
        <v>0</v>
      </c>
      <c r="G415" s="3" t="str">
        <f t="shared" si="56"/>
        <v>0</v>
      </c>
      <c r="H415" s="3" t="str">
        <f t="shared" si="56"/>
        <v>0</v>
      </c>
      <c r="I415" s="3" t="str">
        <f t="shared" si="56"/>
        <v>0</v>
      </c>
      <c r="J415" s="3" t="str">
        <f t="shared" si="49"/>
        <v>0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No Issue</v>
      </c>
      <c r="P415" s="3" t="str">
        <f t="shared" si="55"/>
        <v>NoIssue</v>
      </c>
    </row>
    <row r="416" ht="15.75" customHeight="1">
      <c r="A416" s="10"/>
      <c r="B416" s="11" t="s">
        <v>3</v>
      </c>
      <c r="C416" s="39"/>
      <c r="D416" s="13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/>
      <c r="E418" s="3"/>
      <c r="F418" s="3"/>
      <c r="G418" s="3"/>
      <c r="H418" s="3"/>
      <c r="I418" s="3"/>
      <c r="J418" s="3" t="str">
        <f t="shared" ref="J418:J474" si="57">D418+E418-F418-G418+H418</f>
        <v>0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/>
      <c r="E419" s="3"/>
      <c r="F419" s="3"/>
      <c r="G419" s="3"/>
      <c r="H419" s="3"/>
      <c r="I419" s="3"/>
      <c r="J419" s="3" t="str">
        <f t="shared" si="57"/>
        <v>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/>
      <c r="E420" s="3"/>
      <c r="F420" s="3"/>
      <c r="G420" s="3"/>
      <c r="H420" s="3"/>
      <c r="I420" s="3"/>
      <c r="J420" s="3" t="str">
        <f t="shared" si="57"/>
        <v>0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/>
      <c r="E424" s="3"/>
      <c r="F424" s="3"/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/>
      <c r="E427" s="3"/>
      <c r="F427" s="3"/>
      <c r="G427" s="3"/>
      <c r="H427" s="3"/>
      <c r="I427" s="3"/>
      <c r="J427" s="3" t="str">
        <f t="shared" si="57"/>
        <v>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/>
      <c r="E431" s="3"/>
      <c r="F431" s="3"/>
      <c r="G431" s="3"/>
      <c r="H431" s="3"/>
      <c r="I431" s="3"/>
      <c r="J431" s="3" t="str">
        <f t="shared" si="57"/>
        <v>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/>
      <c r="E432" s="3"/>
      <c r="F432" s="3"/>
      <c r="G432" s="3"/>
      <c r="H432" s="3"/>
      <c r="I432" s="3"/>
      <c r="J432" s="3" t="str">
        <f t="shared" si="57"/>
        <v>0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/>
      <c r="E433" s="3"/>
      <c r="F433" s="3"/>
      <c r="G433" s="3"/>
      <c r="H433" s="3"/>
      <c r="I433" s="3"/>
      <c r="J433" s="3" t="str">
        <f t="shared" si="57"/>
        <v>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/>
      <c r="E434" s="3"/>
      <c r="F434" s="3"/>
      <c r="G434" s="3"/>
      <c r="H434" s="3"/>
      <c r="I434" s="3"/>
      <c r="J434" s="3" t="str">
        <f t="shared" si="57"/>
        <v>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/>
      <c r="E438" s="3"/>
      <c r="F438" s="3"/>
      <c r="G438" s="3"/>
      <c r="H438" s="3"/>
      <c r="I438" s="3"/>
      <c r="J438" s="3" t="str">
        <f t="shared" si="57"/>
        <v>0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/>
      <c r="E441" s="3"/>
      <c r="F441" s="3"/>
      <c r="G441" s="3"/>
      <c r="H441" s="3"/>
      <c r="I441" s="3"/>
      <c r="J441" s="3" t="str">
        <f t="shared" si="57"/>
        <v>0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/>
      <c r="E444" s="3"/>
      <c r="F444" s="3"/>
      <c r="G444" s="3"/>
      <c r="H444" s="3"/>
      <c r="I444" s="3"/>
      <c r="J444" s="3" t="str">
        <f t="shared" si="57"/>
        <v>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/>
      <c r="E447" s="3"/>
      <c r="F447" s="27"/>
      <c r="G447" s="27"/>
      <c r="H447" s="27"/>
      <c r="I447" s="3"/>
      <c r="J447" s="3" t="str">
        <f t="shared" si="57"/>
        <v>0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/>
      <c r="E449" s="3"/>
      <c r="F449" s="27"/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/>
      <c r="E451" s="3"/>
      <c r="F451" s="27"/>
      <c r="G451" s="27"/>
      <c r="H451" s="27"/>
      <c r="I451" s="3"/>
      <c r="J451" s="3" t="str">
        <f t="shared" si="57"/>
        <v>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/>
      <c r="E452" s="3"/>
      <c r="F452" s="27"/>
      <c r="G452" s="27"/>
      <c r="H452" s="27"/>
      <c r="I452" s="3"/>
      <c r="J452" s="3" t="str">
        <f t="shared" si="57"/>
        <v>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/>
      <c r="E453" s="3"/>
      <c r="F453" s="27"/>
      <c r="G453" s="27"/>
      <c r="H453" s="27"/>
      <c r="I453" s="3"/>
      <c r="J453" s="3" t="str">
        <f t="shared" si="57"/>
        <v>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/>
      <c r="E455" s="3"/>
      <c r="F455" s="27"/>
      <c r="G455" s="27"/>
      <c r="H455" s="27"/>
      <c r="I455" s="3"/>
      <c r="J455" s="3" t="str">
        <f t="shared" si="57"/>
        <v>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0</v>
      </c>
      <c r="E474" s="3" t="str">
        <f t="shared" si="64"/>
        <v>0</v>
      </c>
      <c r="F474" s="3" t="str">
        <f t="shared" si="64"/>
        <v>0</v>
      </c>
      <c r="G474" s="3" t="str">
        <f t="shared" si="64"/>
        <v>0</v>
      </c>
      <c r="H474" s="3" t="str">
        <f t="shared" si="64"/>
        <v>0</v>
      </c>
      <c r="I474" s="3" t="str">
        <f t="shared" si="64"/>
        <v>0</v>
      </c>
      <c r="J474" s="3" t="str">
        <f t="shared" si="57"/>
        <v>0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No Issue</v>
      </c>
      <c r="P474" s="3" t="str">
        <f t="shared" si="63"/>
        <v>NoIssue</v>
      </c>
    </row>
    <row r="475" ht="15.75" customHeight="1">
      <c r="A475" s="10"/>
      <c r="B475" s="11" t="s">
        <v>3</v>
      </c>
      <c r="C475" s="39"/>
      <c r="D475" s="13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/>
      <c r="E478" s="3"/>
      <c r="F478" s="3"/>
      <c r="G478" s="3"/>
      <c r="H478" s="3"/>
      <c r="I478" s="3"/>
      <c r="J478" s="3" t="str">
        <f t="shared" si="65"/>
        <v>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/>
      <c r="E499" s="3"/>
      <c r="F499" s="3"/>
      <c r="G499" s="3"/>
      <c r="H499" s="3"/>
      <c r="I499" s="3"/>
      <c r="J499" s="3" t="str">
        <f t="shared" si="65"/>
        <v>0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/>
      <c r="E500" s="3"/>
      <c r="F500" s="3"/>
      <c r="G500" s="3"/>
      <c r="H500" s="3"/>
      <c r="I500" s="3"/>
      <c r="J500" s="3" t="str">
        <f t="shared" si="65"/>
        <v>0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/>
      <c r="E501" s="3"/>
      <c r="F501" s="3"/>
      <c r="G501" s="3"/>
      <c r="H501" s="3"/>
      <c r="I501" s="3"/>
      <c r="J501" s="3" t="str">
        <f t="shared" si="65"/>
        <v>0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/>
      <c r="E503" s="3"/>
      <c r="F503" s="3"/>
      <c r="G503" s="3"/>
      <c r="H503" s="3"/>
      <c r="I503" s="3"/>
      <c r="J503" s="3" t="str">
        <f t="shared" si="65"/>
        <v>0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/>
      <c r="E505" s="3"/>
      <c r="F505" s="3"/>
      <c r="G505" s="3"/>
      <c r="H505" s="3"/>
      <c r="I505" s="3"/>
      <c r="J505" s="3" t="str">
        <f t="shared" si="65"/>
        <v>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/>
      <c r="E506" s="3"/>
      <c r="F506" s="27"/>
      <c r="G506" s="27"/>
      <c r="H506" s="27"/>
      <c r="I506" s="3"/>
      <c r="J506" s="3" t="str">
        <f t="shared" si="65"/>
        <v>0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/>
      <c r="E510" s="3"/>
      <c r="F510" s="27"/>
      <c r="G510" s="27"/>
      <c r="H510" s="27"/>
      <c r="I510" s="3"/>
      <c r="J510" s="3" t="str">
        <f t="shared" si="65"/>
        <v>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/>
      <c r="E511" s="3"/>
      <c r="F511" s="27"/>
      <c r="G511" s="27"/>
      <c r="H511" s="27"/>
      <c r="I511" s="3"/>
      <c r="J511" s="3" t="str">
        <f t="shared" si="65"/>
        <v>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/>
      <c r="E512" s="3"/>
      <c r="F512" s="27"/>
      <c r="G512" s="27"/>
      <c r="H512" s="27"/>
      <c r="I512" s="3"/>
      <c r="J512" s="3" t="str">
        <f t="shared" si="65"/>
        <v>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/>
      <c r="E514" s="3"/>
      <c r="F514" s="27"/>
      <c r="G514" s="27"/>
      <c r="H514" s="27"/>
      <c r="I514" s="3"/>
      <c r="J514" s="3" t="str">
        <f t="shared" si="65"/>
        <v>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0</v>
      </c>
      <c r="E533" s="3" t="str">
        <f t="shared" si="72"/>
        <v>0</v>
      </c>
      <c r="F533" s="3" t="str">
        <f t="shared" si="72"/>
        <v>0</v>
      </c>
      <c r="G533" s="3" t="str">
        <f t="shared" si="72"/>
        <v>0</v>
      </c>
      <c r="H533" s="3" t="str">
        <f t="shared" si="72"/>
        <v>0</v>
      </c>
      <c r="I533" s="3" t="str">
        <f t="shared" si="72"/>
        <v>0</v>
      </c>
      <c r="J533" s="3" t="str">
        <f t="shared" si="65"/>
        <v>0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No Issue</v>
      </c>
      <c r="P533" s="3" t="str">
        <f t="shared" si="71"/>
        <v>NoIssue</v>
      </c>
    </row>
    <row r="534" ht="15.75" customHeight="1">
      <c r="A534" s="10"/>
      <c r="B534" s="11" t="s">
        <v>3</v>
      </c>
      <c r="C534" s="39"/>
      <c r="D534" s="13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/>
      <c r="E540" s="3"/>
      <c r="F540" s="3"/>
      <c r="G540" s="3"/>
      <c r="H540" s="3"/>
      <c r="I540" s="3"/>
      <c r="J540" s="3" t="str">
        <f t="shared" si="73"/>
        <v>0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/>
      <c r="E547" s="3"/>
      <c r="F547" s="3"/>
      <c r="G547" s="3"/>
      <c r="H547" s="3"/>
      <c r="I547" s="3"/>
      <c r="J547" s="3" t="str">
        <f t="shared" si="73"/>
        <v>0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/>
      <c r="E548" s="3"/>
      <c r="F548" s="3"/>
      <c r="G548" s="3"/>
      <c r="H548" s="3"/>
      <c r="I548" s="3"/>
      <c r="J548" s="3" t="str">
        <f t="shared" si="73"/>
        <v>0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/>
      <c r="E549" s="3"/>
      <c r="F549" s="3"/>
      <c r="G549" s="3"/>
      <c r="H549" s="3"/>
      <c r="I549" s="3"/>
      <c r="J549" s="3" t="str">
        <f t="shared" si="73"/>
        <v>0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/>
      <c r="E550" s="3"/>
      <c r="F550" s="3"/>
      <c r="G550" s="3"/>
      <c r="H550" s="3"/>
      <c r="I550" s="3"/>
      <c r="J550" s="3" t="str">
        <f t="shared" si="73"/>
        <v>0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/>
      <c r="E551" s="3"/>
      <c r="F551" s="3"/>
      <c r="G551" s="3"/>
      <c r="H551" s="3"/>
      <c r="I551" s="3"/>
      <c r="J551" s="3" t="str">
        <f t="shared" si="73"/>
        <v>0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/>
      <c r="E552" s="3"/>
      <c r="F552" s="3"/>
      <c r="G552" s="3"/>
      <c r="H552" s="3"/>
      <c r="I552" s="3"/>
      <c r="J552" s="3" t="str">
        <f t="shared" si="73"/>
        <v>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/>
      <c r="E554" s="3"/>
      <c r="F554" s="3"/>
      <c r="G554" s="3"/>
      <c r="H554" s="3"/>
      <c r="I554" s="3"/>
      <c r="J554" s="3" t="str">
        <f t="shared" si="73"/>
        <v>0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/>
      <c r="E555" s="3"/>
      <c r="F555" s="3"/>
      <c r="G555" s="3"/>
      <c r="H555" s="3"/>
      <c r="I555" s="3"/>
      <c r="J555" s="3" t="str">
        <f t="shared" si="73"/>
        <v>0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/>
      <c r="E558" s="3"/>
      <c r="F558" s="3"/>
      <c r="G558" s="3"/>
      <c r="H558" s="3"/>
      <c r="I558" s="3"/>
      <c r="J558" s="3" t="str">
        <f t="shared" si="73"/>
        <v>0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/>
      <c r="E560" s="3"/>
      <c r="F560" s="3"/>
      <c r="G560" s="3"/>
      <c r="H560" s="3"/>
      <c r="I560" s="3"/>
      <c r="J560" s="3" t="str">
        <f t="shared" si="73"/>
        <v>0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/>
      <c r="E562" s="3"/>
      <c r="F562" s="3"/>
      <c r="G562" s="3"/>
      <c r="H562" s="3"/>
      <c r="I562" s="3"/>
      <c r="J562" s="3" t="str">
        <f t="shared" si="73"/>
        <v>0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/>
      <c r="E564" s="3"/>
      <c r="F564" s="3"/>
      <c r="G564" s="3"/>
      <c r="H564" s="3"/>
      <c r="I564" s="3"/>
      <c r="J564" s="3" t="str">
        <f t="shared" si="73"/>
        <v>0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/>
      <c r="E565" s="3"/>
      <c r="F565" s="27"/>
      <c r="G565" s="27"/>
      <c r="H565" s="27"/>
      <c r="I565" s="3"/>
      <c r="J565" s="3" t="str">
        <f t="shared" si="73"/>
        <v>0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/>
      <c r="E566" s="3"/>
      <c r="F566" s="27"/>
      <c r="G566" s="27"/>
      <c r="H566" s="27"/>
      <c r="I566" s="3"/>
      <c r="J566" s="3" t="str">
        <f t="shared" si="73"/>
        <v>0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/>
      <c r="E567" s="3"/>
      <c r="F567" s="27"/>
      <c r="G567" s="27"/>
      <c r="H567" s="27"/>
      <c r="I567" s="3"/>
      <c r="J567" s="3" t="str">
        <f t="shared" si="73"/>
        <v>0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/>
      <c r="E569" s="3"/>
      <c r="F569" s="27"/>
      <c r="G569" s="27"/>
      <c r="H569" s="27"/>
      <c r="I569" s="3"/>
      <c r="J569" s="3" t="str">
        <f t="shared" si="73"/>
        <v>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/>
      <c r="E570" s="3"/>
      <c r="F570" s="27"/>
      <c r="G570" s="27"/>
      <c r="H570" s="27"/>
      <c r="I570" s="3"/>
      <c r="J570" s="3" t="str">
        <f t="shared" si="73"/>
        <v>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/>
      <c r="E571" s="3"/>
      <c r="F571" s="27"/>
      <c r="G571" s="27"/>
      <c r="H571" s="27"/>
      <c r="I571" s="3"/>
      <c r="J571" s="3" t="str">
        <f t="shared" si="73"/>
        <v>0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/>
      <c r="E573" s="3"/>
      <c r="F573" s="27"/>
      <c r="G573" s="27"/>
      <c r="H573" s="27"/>
      <c r="I573" s="3"/>
      <c r="J573" s="3" t="str">
        <f t="shared" si="73"/>
        <v>0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0</v>
      </c>
      <c r="E592" s="3" t="str">
        <f t="shared" si="80"/>
        <v>0</v>
      </c>
      <c r="F592" s="3" t="str">
        <f t="shared" si="80"/>
        <v>0</v>
      </c>
      <c r="G592" s="3" t="str">
        <f t="shared" si="80"/>
        <v>0</v>
      </c>
      <c r="H592" s="3" t="str">
        <f t="shared" si="80"/>
        <v>0</v>
      </c>
      <c r="I592" s="3" t="str">
        <f t="shared" si="80"/>
        <v>0</v>
      </c>
      <c r="J592" s="3" t="str">
        <f t="shared" si="73"/>
        <v>0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No Issue</v>
      </c>
      <c r="P592" s="3" t="str">
        <f t="shared" si="79"/>
        <v>NoIssue</v>
      </c>
    </row>
    <row r="593" ht="15.75" customHeight="1">
      <c r="A593" s="10"/>
      <c r="B593" s="11" t="s">
        <v>3</v>
      </c>
      <c r="C593" s="39"/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/>
      <c r="F599" s="3"/>
      <c r="G599" s="3"/>
      <c r="H599" s="3"/>
      <c r="I599" s="3"/>
      <c r="J599" s="3" t="str">
        <f t="shared" si="81"/>
        <v>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/>
      <c r="F626" s="27"/>
      <c r="G626" s="27"/>
      <c r="H626" s="27"/>
      <c r="I626" s="3"/>
      <c r="J626" s="3" t="str">
        <f t="shared" si="81"/>
        <v>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/>
      <c r="F632" s="27"/>
      <c r="G632" s="27"/>
      <c r="H632" s="27"/>
      <c r="I632" s="3"/>
      <c r="J632" s="3" t="str">
        <f t="shared" si="81"/>
        <v>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0</v>
      </c>
      <c r="F651" s="3" t="str">
        <f t="shared" si="88"/>
        <v>0</v>
      </c>
      <c r="G651" s="3" t="str">
        <f t="shared" si="88"/>
        <v>0</v>
      </c>
      <c r="H651" s="3" t="str">
        <f t="shared" si="88"/>
        <v>0</v>
      </c>
      <c r="I651" s="3" t="str">
        <f t="shared" si="88"/>
        <v>0</v>
      </c>
      <c r="J651" s="3" t="str">
        <f t="shared" si="81"/>
        <v>0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No Issue</v>
      </c>
      <c r="P651" s="3" t="str">
        <f t="shared" si="87"/>
        <v>NoIssue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5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0</v>
      </c>
      <c r="E890" s="3" t="str">
        <f t="shared" si="121"/>
        <v>0</v>
      </c>
      <c r="F890" s="3" t="str">
        <f t="shared" si="121"/>
        <v>0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0</v>
      </c>
      <c r="J890" s="3" t="str">
        <f t="shared" ref="J890:J946" si="123">D890+E890-F890-G890+H890</f>
        <v>0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0</v>
      </c>
      <c r="E891" s="3" t="str">
        <f t="shared" si="122"/>
        <v>0</v>
      </c>
      <c r="F891" s="3" t="str">
        <f t="shared" si="122"/>
        <v>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0</v>
      </c>
      <c r="J891" s="3" t="str">
        <f t="shared" si="123"/>
        <v>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0</v>
      </c>
      <c r="E892" s="3" t="str">
        <f t="shared" si="130"/>
        <v>0</v>
      </c>
      <c r="F892" s="3" t="str">
        <f t="shared" si="130"/>
        <v>0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0</v>
      </c>
      <c r="J892" s="3" t="str">
        <f t="shared" si="123"/>
        <v>0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0</v>
      </c>
      <c r="E893" s="3" t="str">
        <f t="shared" si="131"/>
        <v>0</v>
      </c>
      <c r="F893" s="3" t="str">
        <f t="shared" si="131"/>
        <v>0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0</v>
      </c>
      <c r="J893" s="3" t="str">
        <f t="shared" si="123"/>
        <v>0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0</v>
      </c>
      <c r="E894" s="3" t="str">
        <f t="shared" si="132"/>
        <v>0</v>
      </c>
      <c r="F894" s="3" t="str">
        <f t="shared" si="132"/>
        <v>0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0</v>
      </c>
      <c r="J894" s="3" t="str">
        <f t="shared" si="123"/>
        <v>0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0</v>
      </c>
      <c r="E895" s="3" t="str">
        <f t="shared" si="133"/>
        <v>0</v>
      </c>
      <c r="F895" s="3" t="str">
        <f t="shared" si="133"/>
        <v>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0</v>
      </c>
      <c r="J895" s="3" t="str">
        <f t="shared" si="123"/>
        <v>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0</v>
      </c>
      <c r="E896" s="3" t="str">
        <f t="shared" si="134"/>
        <v>0</v>
      </c>
      <c r="F896" s="3" t="str">
        <f t="shared" si="134"/>
        <v>0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0</v>
      </c>
      <c r="J896" s="3" t="str">
        <f t="shared" si="123"/>
        <v>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0</v>
      </c>
      <c r="E899" s="3" t="str">
        <f t="shared" si="137"/>
        <v>0</v>
      </c>
      <c r="F899" s="3" t="str">
        <f t="shared" si="137"/>
        <v>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0</v>
      </c>
      <c r="J899" s="3" t="str">
        <f t="shared" si="123"/>
        <v>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0</v>
      </c>
      <c r="E900" s="3" t="str">
        <f t="shared" si="138"/>
        <v>0</v>
      </c>
      <c r="F900" s="3" t="str">
        <f t="shared" si="138"/>
        <v>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0</v>
      </c>
      <c r="J900" s="3" t="str">
        <f t="shared" si="123"/>
        <v>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0</v>
      </c>
      <c r="E901" s="3" t="str">
        <f t="shared" si="139"/>
        <v>0</v>
      </c>
      <c r="F901" s="3" t="str">
        <f t="shared" si="139"/>
        <v>0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0</v>
      </c>
      <c r="J901" s="3" t="str">
        <f t="shared" si="123"/>
        <v>0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0</v>
      </c>
      <c r="E902" s="3" t="str">
        <f t="shared" si="140"/>
        <v>0</v>
      </c>
      <c r="F902" s="3" t="str">
        <f t="shared" si="140"/>
        <v>0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0</v>
      </c>
      <c r="J902" s="3" t="str">
        <f t="shared" si="123"/>
        <v>0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0</v>
      </c>
      <c r="E903" s="3" t="str">
        <f t="shared" si="141"/>
        <v>0</v>
      </c>
      <c r="F903" s="3" t="str">
        <f t="shared" si="141"/>
        <v>0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0</v>
      </c>
      <c r="J903" s="3" t="str">
        <f t="shared" si="123"/>
        <v>0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0</v>
      </c>
      <c r="E904" s="3" t="str">
        <f t="shared" si="142"/>
        <v>0</v>
      </c>
      <c r="F904" s="3" t="str">
        <f t="shared" si="142"/>
        <v>0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0</v>
      </c>
      <c r="J904" s="3" t="str">
        <f t="shared" si="123"/>
        <v>0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0</v>
      </c>
      <c r="E905" s="3" t="str">
        <f t="shared" si="143"/>
        <v>0</v>
      </c>
      <c r="F905" s="3" t="str">
        <f t="shared" si="143"/>
        <v>0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0</v>
      </c>
      <c r="J905" s="3" t="str">
        <f t="shared" si="123"/>
        <v>0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0</v>
      </c>
      <c r="E906" s="3" t="str">
        <f t="shared" si="144"/>
        <v>0</v>
      </c>
      <c r="F906" s="3" t="str">
        <f t="shared" si="144"/>
        <v>0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0</v>
      </c>
      <c r="J906" s="3" t="str">
        <f t="shared" si="123"/>
        <v>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0</v>
      </c>
      <c r="E907" s="3" t="str">
        <f t="shared" si="145"/>
        <v>0</v>
      </c>
      <c r="F907" s="3" t="str">
        <f t="shared" si="145"/>
        <v>0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0</v>
      </c>
      <c r="J907" s="3" t="str">
        <f t="shared" si="123"/>
        <v>0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0</v>
      </c>
      <c r="E908" s="3" t="str">
        <f t="shared" si="146"/>
        <v>0</v>
      </c>
      <c r="F908" s="3" t="str">
        <f t="shared" si="146"/>
        <v>0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0</v>
      </c>
      <c r="J908" s="3" t="str">
        <f t="shared" si="123"/>
        <v>0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0</v>
      </c>
      <c r="E909" s="3" t="str">
        <f t="shared" si="147"/>
        <v>0</v>
      </c>
      <c r="F909" s="3" t="str">
        <f t="shared" si="147"/>
        <v>0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0</v>
      </c>
      <c r="J909" s="3" t="str">
        <f t="shared" si="123"/>
        <v>0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0</v>
      </c>
      <c r="E910" s="3" t="str">
        <f t="shared" si="148"/>
        <v>0</v>
      </c>
      <c r="F910" s="3" t="str">
        <f t="shared" si="148"/>
        <v>0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0</v>
      </c>
      <c r="J910" s="3" t="str">
        <f t="shared" si="123"/>
        <v>0</v>
      </c>
      <c r="K910" s="27" t="str">
        <f t="shared" si="124"/>
        <v> No Issue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0</v>
      </c>
      <c r="E911" s="3" t="str">
        <f t="shared" si="149"/>
        <v>0</v>
      </c>
      <c r="F911" s="3" t="str">
        <f t="shared" si="149"/>
        <v>0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0</v>
      </c>
      <c r="J911" s="3" t="str">
        <f t="shared" si="123"/>
        <v>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0</v>
      </c>
      <c r="E912" s="3" t="str">
        <f t="shared" si="150"/>
        <v>0</v>
      </c>
      <c r="F912" s="3" t="str">
        <f t="shared" si="150"/>
        <v>0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0</v>
      </c>
      <c r="J912" s="3" t="str">
        <f t="shared" si="123"/>
        <v>0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0</v>
      </c>
      <c r="E913" s="3" t="str">
        <f t="shared" si="151"/>
        <v>0</v>
      </c>
      <c r="F913" s="3" t="str">
        <f t="shared" si="151"/>
        <v>0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0</v>
      </c>
      <c r="J913" s="3" t="str">
        <f t="shared" si="123"/>
        <v>0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0</v>
      </c>
      <c r="E914" s="3" t="str">
        <f t="shared" si="152"/>
        <v>0</v>
      </c>
      <c r="F914" s="3" t="str">
        <f t="shared" si="152"/>
        <v>0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0</v>
      </c>
      <c r="J914" s="3" t="str">
        <f t="shared" si="123"/>
        <v>0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0</v>
      </c>
      <c r="E916" s="3" t="str">
        <f t="shared" si="154"/>
        <v>0</v>
      </c>
      <c r="F916" s="3" t="str">
        <f t="shared" si="154"/>
        <v>0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0</v>
      </c>
      <c r="J916" s="3" t="str">
        <f t="shared" si="123"/>
        <v>0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0</v>
      </c>
      <c r="E917" s="3" t="str">
        <f t="shared" si="155"/>
        <v>0</v>
      </c>
      <c r="F917" s="3" t="str">
        <f t="shared" si="155"/>
        <v>0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0</v>
      </c>
      <c r="J917" s="3" t="str">
        <f t="shared" si="123"/>
        <v>0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0</v>
      </c>
      <c r="E918" s="3" t="str">
        <f t="shared" si="156"/>
        <v>0</v>
      </c>
      <c r="F918" s="3" t="str">
        <f t="shared" si="156"/>
        <v>0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0</v>
      </c>
      <c r="J918" s="3" t="str">
        <f t="shared" si="123"/>
        <v>0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0</v>
      </c>
      <c r="E919" s="3" t="str">
        <f t="shared" si="157"/>
        <v>0</v>
      </c>
      <c r="F919" s="3" t="str">
        <f t="shared" si="157"/>
        <v>0</v>
      </c>
      <c r="G919" s="3" t="str">
        <f t="shared" si="157"/>
        <v>0</v>
      </c>
      <c r="H919" s="3" t="str">
        <f t="shared" si="157"/>
        <v>0</v>
      </c>
      <c r="I919" s="3" t="str">
        <f t="shared" si="157"/>
        <v>0</v>
      </c>
      <c r="J919" s="3" t="str">
        <f t="shared" si="123"/>
        <v>0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0</v>
      </c>
      <c r="E920" s="3" t="str">
        <f t="shared" si="158"/>
        <v>0</v>
      </c>
      <c r="F920" s="3" t="str">
        <f t="shared" si="158"/>
        <v>0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0</v>
      </c>
      <c r="J920" s="3" t="str">
        <f t="shared" si="123"/>
        <v>0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0</v>
      </c>
      <c r="E921" s="3" t="str">
        <f t="shared" si="159"/>
        <v>0</v>
      </c>
      <c r="F921" s="3" t="str">
        <f t="shared" si="159"/>
        <v>0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0</v>
      </c>
      <c r="J921" s="3" t="str">
        <f t="shared" si="123"/>
        <v>0</v>
      </c>
      <c r="K921" s="27" t="str">
        <f t="shared" si="124"/>
        <v> No Issue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0</v>
      </c>
      <c r="E922" s="3" t="str">
        <f t="shared" si="160"/>
        <v>0</v>
      </c>
      <c r="F922" s="3" t="str">
        <f t="shared" si="160"/>
        <v>0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0</v>
      </c>
      <c r="J922" s="3" t="str">
        <f t="shared" si="123"/>
        <v>0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0</v>
      </c>
      <c r="E923" s="3" t="str">
        <f t="shared" si="161"/>
        <v>0</v>
      </c>
      <c r="F923" s="3" t="str">
        <f t="shared" si="161"/>
        <v>0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0</v>
      </c>
      <c r="J923" s="3" t="str">
        <f t="shared" si="123"/>
        <v>0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0</v>
      </c>
      <c r="E924" s="3" t="str">
        <f t="shared" si="162"/>
        <v>0</v>
      </c>
      <c r="F924" s="3" t="str">
        <f t="shared" si="162"/>
        <v>0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0</v>
      </c>
      <c r="J924" s="3" t="str">
        <f t="shared" si="123"/>
        <v>0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0</v>
      </c>
      <c r="E925" s="3" t="str">
        <f t="shared" si="163"/>
        <v>0</v>
      </c>
      <c r="F925" s="3" t="str">
        <f t="shared" si="163"/>
        <v>0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0</v>
      </c>
      <c r="J925" s="3" t="str">
        <f t="shared" si="123"/>
        <v>0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0</v>
      </c>
      <c r="E927" s="3" t="str">
        <f t="shared" si="165"/>
        <v>0</v>
      </c>
      <c r="F927" s="3" t="str">
        <f t="shared" si="165"/>
        <v>0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0</v>
      </c>
      <c r="J927" s="3" t="str">
        <f t="shared" si="123"/>
        <v>0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0</v>
      </c>
      <c r="E928" s="3" t="str">
        <f t="shared" si="166"/>
        <v>0</v>
      </c>
      <c r="F928" s="3" t="str">
        <f t="shared" si="166"/>
        <v>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0</v>
      </c>
      <c r="J928" s="3" t="str">
        <f t="shared" si="123"/>
        <v>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0</v>
      </c>
      <c r="E931" s="3" t="str">
        <f t="shared" si="169"/>
        <v>0</v>
      </c>
      <c r="F931" s="3" t="str">
        <f t="shared" si="169"/>
        <v>0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0</v>
      </c>
      <c r="J931" s="3" t="str">
        <f t="shared" si="123"/>
        <v>0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0</v>
      </c>
      <c r="E946" s="3" t="str">
        <f t="shared" si="184"/>
        <v>0</v>
      </c>
      <c r="F946" s="3" t="str">
        <f t="shared" si="184"/>
        <v>0</v>
      </c>
      <c r="G946" s="3" t="str">
        <f t="shared" si="184"/>
        <v>0</v>
      </c>
      <c r="H946" s="3" t="str">
        <f t="shared" si="184"/>
        <v>0</v>
      </c>
      <c r="I946" s="3" t="str">
        <f t="shared" si="184"/>
        <v>0</v>
      </c>
      <c r="J946" s="3" t="str">
        <f t="shared" si="123"/>
        <v>0</v>
      </c>
      <c r="K946" s="27" t="str">
        <f t="shared" si="124"/>
        <v> No Issue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No Issue</v>
      </c>
      <c r="P946" s="3" t="str">
        <f t="shared" si="129"/>
        <v>NoIssue</v>
      </c>
    </row>
  </sheetData>
  <mergeCells count="32">
    <mergeCell ref="K770:P770"/>
    <mergeCell ref="K711:P711"/>
    <mergeCell ref="K534:P534"/>
    <mergeCell ref="G593:H593"/>
    <mergeCell ref="G534:H534"/>
    <mergeCell ref="K652:P652"/>
    <mergeCell ref="K593:P593"/>
    <mergeCell ref="G770:H770"/>
    <mergeCell ref="G298:H298"/>
    <mergeCell ref="K298:P298"/>
    <mergeCell ref="K829:P829"/>
    <mergeCell ref="G829:H829"/>
    <mergeCell ref="G652:H652"/>
    <mergeCell ref="G711:H711"/>
    <mergeCell ref="G475:H475"/>
    <mergeCell ref="K475:P475"/>
    <mergeCell ref="G888:H888"/>
    <mergeCell ref="K888:P888"/>
    <mergeCell ref="K416:P416"/>
    <mergeCell ref="G416:H416"/>
    <mergeCell ref="G357:H357"/>
    <mergeCell ref="K357:P357"/>
    <mergeCell ref="K180:P180"/>
    <mergeCell ref="G180:H180"/>
    <mergeCell ref="K62:P62"/>
    <mergeCell ref="G3:H3"/>
    <mergeCell ref="K3:P3"/>
    <mergeCell ref="G121:H121"/>
    <mergeCell ref="K121:P121"/>
    <mergeCell ref="K239:P239"/>
    <mergeCell ref="G239:H239"/>
    <mergeCell ref="G62:H62"/>
  </mergeCells>
  <conditionalFormatting sqref="A240:I240 A297:H297 I270:I297 J240:P297">
    <cfRule type="containsText" dxfId="0" priority="1" operator="containsText" text="Problem">
      <formula>NOT(ISERROR(SEARCH(("Problem"),(A240))))</formula>
    </cfRule>
  </conditionalFormatting>
  <conditionalFormatting sqref="A240:I240 A297:H297 I270:I297 J240:P297">
    <cfRule type="containsText" dxfId="0" priority="2" operator="containsText" text="Problem">
      <formula>NOT(ISERROR(SEARCH(("Problem"),(A240))))</formula>
    </cfRule>
  </conditionalFormatting>
  <conditionalFormatting sqref="A240:I240 A297:H297 I270:I297 J240:P297">
    <cfRule type="containsText" dxfId="0" priority="3" operator="containsText" text="Problem">
      <formula>NOT(ISERROR(SEARCH(("Problem"),(A240))))</formula>
    </cfRule>
  </conditionalFormatting>
  <conditionalFormatting sqref="I536">
    <cfRule type="containsText" dxfId="0" priority="4" operator="containsText" text="Problem">
      <formula>NOT(ISERROR(SEARCH(("Problem"),(I536))))</formula>
    </cfRule>
  </conditionalFormatting>
  <conditionalFormatting sqref="I536">
    <cfRule type="containsText" dxfId="0" priority="5" operator="containsText" text="Problem">
      <formula>NOT(ISERROR(SEARCH(("Problem"),(I536))))</formula>
    </cfRule>
  </conditionalFormatting>
  <conditionalFormatting sqref="I536">
    <cfRule type="containsText" dxfId="0" priority="6" operator="containsText" text="Problem">
      <formula>NOT(ISERROR(SEARCH(("Problem"),(I536))))</formula>
    </cfRule>
  </conditionalFormatting>
  <conditionalFormatting sqref="C239 E239:I239">
    <cfRule type="containsText" dxfId="0" priority="7" operator="containsText" text="Problem">
      <formula>NOT(ISERROR(SEARCH(("Problem"),(C239))))</formula>
    </cfRule>
  </conditionalFormatting>
  <conditionalFormatting sqref="C239 E239:I239">
    <cfRule type="containsText" dxfId="0" priority="8" operator="containsText" text="Problem">
      <formula>NOT(ISERROR(SEARCH(("Problem"),(C239))))</formula>
    </cfRule>
  </conditionalFormatting>
  <conditionalFormatting sqref="C239 E239:I239">
    <cfRule type="containsText" dxfId="0" priority="9" operator="containsText" text="Problem">
      <formula>NOT(ISERROR(SEARCH(("Problem"),(C239))))</formula>
    </cfRule>
  </conditionalFormatting>
  <conditionalFormatting sqref="B396:C396 B408:B411 B413:C414 C365:C395 C405:C411">
    <cfRule type="containsText" dxfId="0" priority="10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11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12" operator="containsText" text="Problem">
      <formula>NOT(ISERROR(SEARCH(("Problem"),(B396))))</formula>
    </cfRule>
  </conditionalFormatting>
  <conditionalFormatting sqref="A418:A473">
    <cfRule type="containsText" dxfId="0" priority="13" operator="containsText" text="Problem">
      <formula>NOT(ISERROR(SEARCH(("Problem"),(A418))))</formula>
    </cfRule>
  </conditionalFormatting>
  <conditionalFormatting sqref="A418:A473">
    <cfRule type="containsText" dxfId="0" priority="14" operator="containsText" text="Problem">
      <formula>NOT(ISERROR(SEARCH(("Problem"),(A418))))</formula>
    </cfRule>
  </conditionalFormatting>
  <conditionalFormatting sqref="A418:A473">
    <cfRule type="containsText" dxfId="0" priority="15" operator="containsText" text="Problem">
      <formula>NOT(ISERROR(SEARCH(("Problem"),(A418))))</formula>
    </cfRule>
  </conditionalFormatting>
  <conditionalFormatting sqref="I654">
    <cfRule type="containsText" dxfId="0" priority="16" operator="containsText" text="Problem">
      <formula>NOT(ISERROR(SEARCH(("Problem"),(I654))))</formula>
    </cfRule>
  </conditionalFormatting>
  <conditionalFormatting sqref="I654">
    <cfRule type="containsText" dxfId="0" priority="17" operator="containsText" text="Problem">
      <formula>NOT(ISERROR(SEARCH(("Problem"),(I654))))</formula>
    </cfRule>
  </conditionalFormatting>
  <conditionalFormatting sqref="I654">
    <cfRule type="containsText" dxfId="0" priority="18" operator="containsText" text="Problem">
      <formula>NOT(ISERROR(SEARCH(("Problem"),(I654))))</formula>
    </cfRule>
  </conditionalFormatting>
  <conditionalFormatting sqref="G537:G564">
    <cfRule type="containsText" dxfId="0" priority="19" operator="containsText" text="Problem">
      <formula>NOT(ISERROR(SEARCH(("Problem"),(G537))))</formula>
    </cfRule>
  </conditionalFormatting>
  <conditionalFormatting sqref="G537:G564">
    <cfRule type="containsText" dxfId="0" priority="20" operator="containsText" text="Problem">
      <formula>NOT(ISERROR(SEARCH(("Problem"),(G537))))</formula>
    </cfRule>
  </conditionalFormatting>
  <conditionalFormatting sqref="G537:G564">
    <cfRule type="containsText" dxfId="0" priority="21" operator="containsText" text="Problem">
      <formula>NOT(ISERROR(SEARCH(("Problem"),(G537))))</formula>
    </cfRule>
  </conditionalFormatting>
  <conditionalFormatting sqref="A711 J711:P711">
    <cfRule type="containsText" dxfId="0" priority="22" operator="containsText" text="Problem">
      <formula>NOT(ISERROR(SEARCH(("Problem"),(A711))))</formula>
    </cfRule>
  </conditionalFormatting>
  <conditionalFormatting sqref="A711 J711:P711">
    <cfRule type="containsText" dxfId="0" priority="23" operator="containsText" text="Problem">
      <formula>NOT(ISERROR(SEARCH(("Problem"),(A711))))</formula>
    </cfRule>
  </conditionalFormatting>
  <conditionalFormatting sqref="A711 J711:P711">
    <cfRule type="containsText" dxfId="0" priority="24" operator="containsText" text="Problem">
      <formula>NOT(ISERROR(SEARCH(("Problem"),(A711))))</formula>
    </cfRule>
  </conditionalFormatting>
  <conditionalFormatting sqref="D5">
    <cfRule type="containsText" dxfId="0" priority="25" operator="containsText" text="Problem">
      <formula>NOT(ISERROR(SEARCH(("Problem"),(D5))))</formula>
    </cfRule>
  </conditionalFormatting>
  <conditionalFormatting sqref="D5">
    <cfRule type="containsText" dxfId="0" priority="26" operator="containsText" text="Problem">
      <formula>NOT(ISERROR(SEARCH(("Problem"),(D5))))</formula>
    </cfRule>
  </conditionalFormatting>
  <conditionalFormatting sqref="D5">
    <cfRule type="containsText" dxfId="0" priority="27" operator="containsText" text="Problem">
      <formula>NOT(ISERROR(SEARCH(("Problem"),(D5))))</formula>
    </cfRule>
  </conditionalFormatting>
  <conditionalFormatting sqref="F242:F269">
    <cfRule type="containsText" dxfId="0" priority="28" operator="containsText" text="Problem">
      <formula>NOT(ISERROR(SEARCH(("Problem"),(F242))))</formula>
    </cfRule>
  </conditionalFormatting>
  <conditionalFormatting sqref="F242:F269">
    <cfRule type="containsText" dxfId="0" priority="29" operator="containsText" text="Problem">
      <formula>NOT(ISERROR(SEARCH(("Problem"),(F242))))</formula>
    </cfRule>
  </conditionalFormatting>
  <conditionalFormatting sqref="F242:F269">
    <cfRule type="containsText" dxfId="0" priority="30" operator="containsText" text="Problem">
      <formula>NOT(ISERROR(SEARCH(("Problem"),(F242))))</formula>
    </cfRule>
  </conditionalFormatting>
  <conditionalFormatting sqref="D35:D59">
    <cfRule type="containsText" dxfId="0" priority="31" operator="containsText" text="Problem">
      <formula>NOT(ISERROR(SEARCH(("Problem"),(D35))))</formula>
    </cfRule>
  </conditionalFormatting>
  <conditionalFormatting sqref="D35:D59">
    <cfRule type="containsText" dxfId="0" priority="32" operator="containsText" text="Problem">
      <formula>NOT(ISERROR(SEARCH(("Problem"),(D35))))</formula>
    </cfRule>
  </conditionalFormatting>
  <conditionalFormatting sqref="D35:D59">
    <cfRule type="containsText" dxfId="0" priority="33" operator="containsText" text="Problem">
      <formula>NOT(ISERROR(SEARCH(("Problem"),(D35))))</formula>
    </cfRule>
  </conditionalFormatting>
  <conditionalFormatting sqref="E477">
    <cfRule type="containsText" dxfId="0" priority="34" operator="containsText" text="Problem">
      <formula>NOT(ISERROR(SEARCH(("Problem"),(E477))))</formula>
    </cfRule>
  </conditionalFormatting>
  <conditionalFormatting sqref="E477">
    <cfRule type="containsText" dxfId="0" priority="35" operator="containsText" text="Problem">
      <formula>NOT(ISERROR(SEARCH(("Problem"),(E477))))</formula>
    </cfRule>
  </conditionalFormatting>
  <conditionalFormatting sqref="E477">
    <cfRule type="containsText" dxfId="0" priority="36" operator="containsText" text="Problem">
      <formula>NOT(ISERROR(SEARCH(("Problem"),(E477))))</formula>
    </cfRule>
  </conditionalFormatting>
  <conditionalFormatting sqref="B927:C927 B939:B942 B944:C945 C896:C926 C936:C942">
    <cfRule type="containsText" dxfId="0" priority="37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38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39" operator="containsText" text="Problem">
      <formula>NOT(ISERROR(SEARCH(("Problem"),(B927))))</formula>
    </cfRule>
  </conditionalFormatting>
  <conditionalFormatting sqref="D860:D884">
    <cfRule type="containsText" dxfId="0" priority="40" operator="containsText" text="Problem">
      <formula>NOT(ISERROR(SEARCH(("Problem"),(D860))))</formula>
    </cfRule>
  </conditionalFormatting>
  <conditionalFormatting sqref="D860:D884">
    <cfRule type="containsText" dxfId="0" priority="41" operator="containsText" text="Problem">
      <formula>NOT(ISERROR(SEARCH(("Problem"),(D860))))</formula>
    </cfRule>
  </conditionalFormatting>
  <conditionalFormatting sqref="D714:D741">
    <cfRule type="containsText" dxfId="0" priority="42" operator="containsText" text="Problem">
      <formula>NOT(ISERROR(SEARCH(("Problem"),(D714))))</formula>
    </cfRule>
  </conditionalFormatting>
  <conditionalFormatting sqref="D714:D741">
    <cfRule type="containsText" dxfId="0" priority="43" operator="containsText" text="Problem">
      <formula>NOT(ISERROR(SEARCH(("Problem"),(D714))))</formula>
    </cfRule>
  </conditionalFormatting>
  <conditionalFormatting sqref="D714:D741">
    <cfRule type="containsText" dxfId="0" priority="44" operator="containsText" text="Problem">
      <formula>NOT(ISERROR(SEARCH(("Problem"),(D714))))</formula>
    </cfRule>
  </conditionalFormatting>
  <conditionalFormatting sqref="H536">
    <cfRule type="containsText" dxfId="0" priority="45" operator="containsText" text="Problem">
      <formula>NOT(ISERROR(SEARCH(("Problem"),(H536))))</formula>
    </cfRule>
  </conditionalFormatting>
  <conditionalFormatting sqref="H536">
    <cfRule type="containsText" dxfId="0" priority="46" operator="containsText" text="Problem">
      <formula>NOT(ISERROR(SEARCH(("Problem"),(H536))))</formula>
    </cfRule>
  </conditionalFormatting>
  <conditionalFormatting sqref="H536">
    <cfRule type="containsText" dxfId="0" priority="47" operator="containsText" text="Problem">
      <formula>NOT(ISERROR(SEARCH(("Problem"),(H536))))</formula>
    </cfRule>
  </conditionalFormatting>
  <conditionalFormatting sqref="D885:D886 E860:H886">
    <cfRule type="containsText" dxfId="0" priority="48" operator="containsText" text="Problem">
      <formula>NOT(ISERROR(SEARCH(("Problem"),(D885))))</formula>
    </cfRule>
  </conditionalFormatting>
  <conditionalFormatting sqref="D885:D886 E860:H886">
    <cfRule type="containsText" dxfId="0" priority="49" operator="containsText" text="Problem">
      <formula>NOT(ISERROR(SEARCH(("Problem"),(D885))))</formula>
    </cfRule>
  </conditionalFormatting>
  <conditionalFormatting sqref="D885:D886 E860:H886">
    <cfRule type="containsText" dxfId="0" priority="50" operator="containsText" text="Problem">
      <formula>NOT(ISERROR(SEARCH(("Problem"),(D885))))</formula>
    </cfRule>
  </conditionalFormatting>
  <conditionalFormatting sqref="E359">
    <cfRule type="containsText" dxfId="0" priority="51" operator="containsText" text="Problem">
      <formula>NOT(ISERROR(SEARCH(("Problem"),(E359))))</formula>
    </cfRule>
  </conditionalFormatting>
  <conditionalFormatting sqref="E359">
    <cfRule type="containsText" dxfId="0" priority="52" operator="containsText" text="Problem">
      <formula>NOT(ISERROR(SEARCH(("Problem"),(E359))))</formula>
    </cfRule>
  </conditionalFormatting>
  <conditionalFormatting sqref="E359">
    <cfRule type="containsText" dxfId="0" priority="53" operator="containsText" text="Problem">
      <formula>NOT(ISERROR(SEARCH(("Problem"),(E359))))</formula>
    </cfRule>
  </conditionalFormatting>
  <conditionalFormatting sqref="F831">
    <cfRule type="containsText" dxfId="0" priority="54" operator="containsText" text="Problem">
      <formula>NOT(ISERROR(SEARCH(("Problem"),(F831))))</formula>
    </cfRule>
  </conditionalFormatting>
  <conditionalFormatting sqref="F831">
    <cfRule type="containsText" dxfId="0" priority="55" operator="containsText" text="Problem">
      <formula>NOT(ISERROR(SEARCH(("Problem"),(F831))))</formula>
    </cfRule>
  </conditionalFormatting>
  <conditionalFormatting sqref="F831">
    <cfRule type="containsText" dxfId="0" priority="56" operator="containsText" text="Problem">
      <formula>NOT(ISERROR(SEARCH(("Problem"),(F831))))</formula>
    </cfRule>
  </conditionalFormatting>
  <conditionalFormatting sqref="H418">
    <cfRule type="containsText" dxfId="0" priority="57" operator="containsText" text="Problem">
      <formula>NOT(ISERROR(SEARCH(("Problem"),(H418))))</formula>
    </cfRule>
  </conditionalFormatting>
  <conditionalFormatting sqref="H418">
    <cfRule type="containsText" dxfId="0" priority="58" operator="containsText" text="Problem">
      <formula>NOT(ISERROR(SEARCH(("Problem"),(H418))))</formula>
    </cfRule>
  </conditionalFormatting>
  <conditionalFormatting sqref="H418">
    <cfRule type="containsText" dxfId="0" priority="59" operator="containsText" text="Problem">
      <formula>NOT(ISERROR(SEARCH(("Problem"),(H418))))</formula>
    </cfRule>
  </conditionalFormatting>
  <conditionalFormatting sqref="G478:G505">
    <cfRule type="containsText" dxfId="0" priority="60" operator="containsText" text="Problem">
      <formula>NOT(ISERROR(SEARCH(("Problem"),(G478))))</formula>
    </cfRule>
  </conditionalFormatting>
  <conditionalFormatting sqref="G478:G505">
    <cfRule type="containsText" dxfId="0" priority="61" operator="containsText" text="Problem">
      <formula>NOT(ISERROR(SEARCH(("Problem"),(G478))))</formula>
    </cfRule>
  </conditionalFormatting>
  <conditionalFormatting sqref="G478:G505">
    <cfRule type="containsText" dxfId="0" priority="62" operator="containsText" text="Problem">
      <formula>NOT(ISERROR(SEARCH(("Problem"),(G478))))</formula>
    </cfRule>
  </conditionalFormatting>
  <conditionalFormatting sqref="H65:H92">
    <cfRule type="containsText" dxfId="0" priority="63" operator="containsText" text="Problem">
      <formula>NOT(ISERROR(SEARCH(("Problem"),(H65))))</formula>
    </cfRule>
  </conditionalFormatting>
  <conditionalFormatting sqref="H65:H92">
    <cfRule type="containsText" dxfId="0" priority="64" operator="containsText" text="Problem">
      <formula>NOT(ISERROR(SEARCH(("Problem"),(H65))))</formula>
    </cfRule>
  </conditionalFormatting>
  <conditionalFormatting sqref="H65:H92">
    <cfRule type="containsText" dxfId="0" priority="65" operator="containsText" text="Problem">
      <formula>NOT(ISERROR(SEARCH(("Problem"),(H65))))</formula>
    </cfRule>
  </conditionalFormatting>
  <conditionalFormatting sqref="F595">
    <cfRule type="containsText" dxfId="0" priority="66" operator="containsText" text="Problem">
      <formula>NOT(ISERROR(SEARCH(("Problem"),(F595))))</formula>
    </cfRule>
  </conditionalFormatting>
  <conditionalFormatting sqref="F595">
    <cfRule type="containsText" dxfId="0" priority="67" operator="containsText" text="Problem">
      <formula>NOT(ISERROR(SEARCH(("Problem"),(F595))))</formula>
    </cfRule>
  </conditionalFormatting>
  <conditionalFormatting sqref="F595">
    <cfRule type="containsText" dxfId="0" priority="68" operator="containsText" text="Problem">
      <formula>NOT(ISERROR(SEARCH(("Problem"),(F595))))</formula>
    </cfRule>
  </conditionalFormatting>
  <conditionalFormatting sqref="H360:H387">
    <cfRule type="containsText" dxfId="0" priority="69" operator="containsText" text="Problem">
      <formula>NOT(ISERROR(SEARCH(("Problem"),(H360))))</formula>
    </cfRule>
  </conditionalFormatting>
  <conditionalFormatting sqref="H360:H387">
    <cfRule type="containsText" dxfId="0" priority="70" operator="containsText" text="Problem">
      <formula>NOT(ISERROR(SEARCH(("Problem"),(H360))))</formula>
    </cfRule>
  </conditionalFormatting>
  <conditionalFormatting sqref="H360:H387">
    <cfRule type="containsText" dxfId="0" priority="71" operator="containsText" text="Problem">
      <formula>NOT(ISERROR(SEARCH(("Problem"),(H360))))</formula>
    </cfRule>
  </conditionalFormatting>
  <conditionalFormatting sqref="F772">
    <cfRule type="containsText" dxfId="0" priority="72" operator="containsText" text="Problem">
      <formula>NOT(ISERROR(SEARCH(("Problem"),(F772))))</formula>
    </cfRule>
  </conditionalFormatting>
  <conditionalFormatting sqref="F772">
    <cfRule type="containsText" dxfId="0" priority="73" operator="containsText" text="Problem">
      <formula>NOT(ISERROR(SEARCH(("Problem"),(F772))))</formula>
    </cfRule>
  </conditionalFormatting>
  <conditionalFormatting sqref="F772">
    <cfRule type="containsText" dxfId="0" priority="74" operator="containsText" text="Problem">
      <formula>NOT(ISERROR(SEARCH(("Problem"),(F772))))</formula>
    </cfRule>
  </conditionalFormatting>
  <conditionalFormatting sqref="E65:E92">
    <cfRule type="containsText" dxfId="0" priority="75" operator="containsText" text="Problem">
      <formula>NOT(ISERROR(SEARCH(("Problem"),(E65))))</formula>
    </cfRule>
  </conditionalFormatting>
  <conditionalFormatting sqref="E65:E92">
    <cfRule type="containsText" dxfId="0" priority="76" operator="containsText" text="Problem">
      <formula>NOT(ISERROR(SEARCH(("Problem"),(E65))))</formula>
    </cfRule>
  </conditionalFormatting>
  <conditionalFormatting sqref="E65:E92">
    <cfRule type="containsText" dxfId="0" priority="77" operator="containsText" text="Problem">
      <formula>NOT(ISERROR(SEARCH(("Problem"),(E65))))</formula>
    </cfRule>
  </conditionalFormatting>
  <conditionalFormatting sqref="H242:H269">
    <cfRule type="containsText" dxfId="0" priority="78" operator="containsText" text="Problem">
      <formula>NOT(ISERROR(SEARCH(("Problem"),(H242))))</formula>
    </cfRule>
  </conditionalFormatting>
  <conditionalFormatting sqref="H242:H269">
    <cfRule type="containsText" dxfId="0" priority="79" operator="containsText" text="Problem">
      <formula>NOT(ISERROR(SEARCH(("Problem"),(H242))))</formula>
    </cfRule>
  </conditionalFormatting>
  <conditionalFormatting sqref="H242:H269">
    <cfRule type="containsText" dxfId="0" priority="80" operator="containsText" text="Problem">
      <formula>NOT(ISERROR(SEARCH(("Problem"),(H242))))</formula>
    </cfRule>
  </conditionalFormatting>
  <conditionalFormatting sqref="I713">
    <cfRule type="containsText" dxfId="0" priority="81" operator="containsText" text="Problem">
      <formula>NOT(ISERROR(SEARCH(("Problem"),(I713))))</formula>
    </cfRule>
  </conditionalFormatting>
  <conditionalFormatting sqref="I713">
    <cfRule type="containsText" dxfId="0" priority="82" operator="containsText" text="Problem">
      <formula>NOT(ISERROR(SEARCH(("Problem"),(I713))))</formula>
    </cfRule>
  </conditionalFormatting>
  <conditionalFormatting sqref="I713">
    <cfRule type="containsText" dxfId="0" priority="83" operator="containsText" text="Problem">
      <formula>NOT(ISERROR(SEARCH(("Problem"),(I713))))</formula>
    </cfRule>
  </conditionalFormatting>
  <conditionalFormatting sqref="I65:I92">
    <cfRule type="containsText" dxfId="0" priority="84" operator="containsText" text="Problem">
      <formula>NOT(ISERROR(SEARCH(("Problem"),(I65))))</formula>
    </cfRule>
  </conditionalFormatting>
  <conditionalFormatting sqref="I65:I92">
    <cfRule type="containsText" dxfId="0" priority="85" operator="containsText" text="Problem">
      <formula>NOT(ISERROR(SEARCH(("Problem"),(I65))))</formula>
    </cfRule>
  </conditionalFormatting>
  <conditionalFormatting sqref="I65:I92">
    <cfRule type="containsText" dxfId="0" priority="86" operator="containsText" text="Problem">
      <formula>NOT(ISERROR(SEARCH(("Problem"),(I65))))</formula>
    </cfRule>
  </conditionalFormatting>
  <conditionalFormatting sqref="I65:I92">
    <cfRule type="containsText" dxfId="0" priority="87" operator="containsText" text="Problem">
      <formula>NOT(ISERROR(SEARCH(("Problem"),(I65))))</formula>
    </cfRule>
  </conditionalFormatting>
  <conditionalFormatting sqref="A829 J829:P829">
    <cfRule type="containsText" dxfId="0" priority="88" operator="containsText" text="Problem">
      <formula>NOT(ISERROR(SEARCH(("Problem"),(A829))))</formula>
    </cfRule>
  </conditionalFormatting>
  <conditionalFormatting sqref="A829 J829:P829">
    <cfRule type="containsText" dxfId="0" priority="89" operator="containsText" text="Problem">
      <formula>NOT(ISERROR(SEARCH(("Problem"),(A829))))</formula>
    </cfRule>
  </conditionalFormatting>
  <conditionalFormatting sqref="A829 J829:P829">
    <cfRule type="containsText" dxfId="0" priority="90" operator="containsText" text="Problem">
      <formula>NOT(ISERROR(SEARCH(("Problem"),(A829))))</formula>
    </cfRule>
  </conditionalFormatting>
  <conditionalFormatting sqref="I773:I800">
    <cfRule type="containsText" dxfId="0" priority="91" operator="containsText" text="Problem">
      <formula>NOT(ISERROR(SEARCH(("Problem"),(I773))))</formula>
    </cfRule>
  </conditionalFormatting>
  <conditionalFormatting sqref="I773:I800">
    <cfRule type="containsText" dxfId="0" priority="92" operator="containsText" text="Problem">
      <formula>NOT(ISERROR(SEARCH(("Problem"),(I773))))</formula>
    </cfRule>
  </conditionalFormatting>
  <conditionalFormatting sqref="I773:I800">
    <cfRule type="containsText" dxfId="0" priority="93" operator="containsText" text="Problem">
      <formula>NOT(ISERROR(SEARCH(("Problem"),(I773))))</formula>
    </cfRule>
  </conditionalFormatting>
  <conditionalFormatting sqref="I773:I800">
    <cfRule type="containsText" dxfId="0" priority="94" operator="containsText" text="Problem">
      <formula>NOT(ISERROR(SEARCH(("Problem"),(I773))))</formula>
    </cfRule>
  </conditionalFormatting>
  <conditionalFormatting sqref="I714:I741">
    <cfRule type="containsText" dxfId="0" priority="95" operator="containsText" text="Problem">
      <formula>NOT(ISERROR(SEARCH(("Problem"),(I714))))</formula>
    </cfRule>
  </conditionalFormatting>
  <conditionalFormatting sqref="I714:I741">
    <cfRule type="containsText" dxfId="0" priority="96" operator="containsText" text="Problem">
      <formula>NOT(ISERROR(SEARCH(("Problem"),(I714))))</formula>
    </cfRule>
  </conditionalFormatting>
  <conditionalFormatting sqref="I714:I741">
    <cfRule type="containsText" dxfId="0" priority="97" operator="containsText" text="Problem">
      <formula>NOT(ISERROR(SEARCH(("Problem"),(I714))))</formula>
    </cfRule>
  </conditionalFormatting>
  <conditionalFormatting sqref="I714:I741">
    <cfRule type="containsText" dxfId="0" priority="98" operator="containsText" text="Problem">
      <formula>NOT(ISERROR(SEARCH(("Problem"),(I714))))</formula>
    </cfRule>
  </conditionalFormatting>
  <conditionalFormatting sqref="D773:D800">
    <cfRule type="containsText" dxfId="0" priority="99" operator="containsText" text="Problem">
      <formula>NOT(ISERROR(SEARCH(("Problem"),(D773))))</formula>
    </cfRule>
  </conditionalFormatting>
  <conditionalFormatting sqref="D773:D800">
    <cfRule type="containsText" dxfId="0" priority="100" operator="containsText" text="Problem">
      <formula>NOT(ISERROR(SEARCH(("Problem"),(D773))))</formula>
    </cfRule>
  </conditionalFormatting>
  <conditionalFormatting sqref="D773:D800">
    <cfRule type="containsText" dxfId="0" priority="101" operator="containsText" text="Problem">
      <formula>NOT(ISERROR(SEARCH(("Problem"),(D773))))</formula>
    </cfRule>
  </conditionalFormatting>
  <conditionalFormatting sqref="D537:D564">
    <cfRule type="containsText" dxfId="0" priority="102" operator="containsText" text="Problem">
      <formula>NOT(ISERROR(SEARCH(("Problem"),(D537))))</formula>
    </cfRule>
  </conditionalFormatting>
  <conditionalFormatting sqref="D537:D564">
    <cfRule type="containsText" dxfId="0" priority="103" operator="containsText" text="Problem">
      <formula>NOT(ISERROR(SEARCH(("Problem"),(D537))))</formula>
    </cfRule>
  </conditionalFormatting>
  <conditionalFormatting sqref="D537:D564">
    <cfRule type="containsText" dxfId="0" priority="104" operator="containsText" text="Problem">
      <formula>NOT(ISERROR(SEARCH(("Problem"),(D537))))</formula>
    </cfRule>
  </conditionalFormatting>
  <conditionalFormatting sqref="D182">
    <cfRule type="containsText" dxfId="0" priority="105" operator="containsText" text="Problem">
      <formula>NOT(ISERROR(SEARCH(("Problem"),(D182))))</formula>
    </cfRule>
  </conditionalFormatting>
  <conditionalFormatting sqref="A476:I476 A533:H533 I506:I533 J476:P533">
    <cfRule type="containsText" dxfId="0" priority="106" operator="containsText" text="Problem">
      <formula>NOT(ISERROR(SEARCH(("Problem"),(A476))))</formula>
    </cfRule>
  </conditionalFormatting>
  <conditionalFormatting sqref="A476:I476 A533:H533 I506:I533 J476:P533">
    <cfRule type="containsText" dxfId="0" priority="107" operator="containsText" text="Problem">
      <formula>NOT(ISERROR(SEARCH(("Problem"),(A476))))</formula>
    </cfRule>
  </conditionalFormatting>
  <conditionalFormatting sqref="A476:I476 A533:H533 I506:I533 J476:P533">
    <cfRule type="containsText" dxfId="0" priority="108" operator="containsText" text="Problem">
      <formula>NOT(ISERROR(SEARCH(("Problem"),(A476))))</formula>
    </cfRule>
  </conditionalFormatting>
  <conditionalFormatting sqref="I301:I328">
    <cfRule type="containsText" dxfId="0" priority="109" operator="containsText" text="Problem">
      <formula>NOT(ISERROR(SEARCH(("Problem"),(I301))))</formula>
    </cfRule>
  </conditionalFormatting>
  <conditionalFormatting sqref="I301:I328">
    <cfRule type="containsText" dxfId="0" priority="110" operator="containsText" text="Problem">
      <formula>NOT(ISERROR(SEARCH(("Problem"),(I301))))</formula>
    </cfRule>
  </conditionalFormatting>
  <conditionalFormatting sqref="I301:I328">
    <cfRule type="containsText" dxfId="0" priority="111" operator="containsText" text="Problem">
      <formula>NOT(ISERROR(SEARCH(("Problem"),(I301))))</formula>
    </cfRule>
  </conditionalFormatting>
  <conditionalFormatting sqref="I301:I328">
    <cfRule type="containsText" dxfId="0" priority="112" operator="containsText" text="Problem">
      <formula>NOT(ISERROR(SEARCH(("Problem"),(I301))))</formula>
    </cfRule>
  </conditionalFormatting>
  <conditionalFormatting sqref="D177:D178 E152:H178">
    <cfRule type="containsText" dxfId="0" priority="113" operator="containsText" text="Problem">
      <formula>NOT(ISERROR(SEARCH(("Problem"),(D177))))</formula>
    </cfRule>
  </conditionalFormatting>
  <conditionalFormatting sqref="D177:D178 E152:H178">
    <cfRule type="containsText" dxfId="0" priority="114" operator="containsText" text="Problem">
      <formula>NOT(ISERROR(SEARCH(("Problem"),(D177))))</formula>
    </cfRule>
  </conditionalFormatting>
  <conditionalFormatting sqref="D177:D178 E152:H178">
    <cfRule type="containsText" dxfId="0" priority="115" operator="containsText" text="Problem">
      <formula>NOT(ISERROR(SEARCH(("Problem"),(D177))))</formula>
    </cfRule>
  </conditionalFormatting>
  <conditionalFormatting sqref="C298 E298:I298">
    <cfRule type="containsText" dxfId="0" priority="116" operator="containsText" text="Problem">
      <formula>NOT(ISERROR(SEARCH(("Problem"),(C298))))</formula>
    </cfRule>
  </conditionalFormatting>
  <conditionalFormatting sqref="C298 E298:I298">
    <cfRule type="containsText" dxfId="0" priority="117" operator="containsText" text="Problem">
      <formula>NOT(ISERROR(SEARCH(("Problem"),(C298))))</formula>
    </cfRule>
  </conditionalFormatting>
  <conditionalFormatting sqref="C298 E298:I298">
    <cfRule type="containsText" dxfId="0" priority="118" operator="containsText" text="Problem">
      <formula>NOT(ISERROR(SEARCH(("Problem"),(C298))))</formula>
    </cfRule>
  </conditionalFormatting>
  <conditionalFormatting sqref="D832:D859">
    <cfRule type="containsText" dxfId="0" priority="119" operator="containsText" text="Problem">
      <formula>NOT(ISERROR(SEARCH(("Problem"),(D832))))</formula>
    </cfRule>
  </conditionalFormatting>
  <conditionalFormatting sqref="D832:D859">
    <cfRule type="containsText" dxfId="0" priority="120" operator="containsText" text="Problem">
      <formula>NOT(ISERROR(SEARCH(("Problem"),(D832))))</formula>
    </cfRule>
  </conditionalFormatting>
  <conditionalFormatting sqref="D832:D859">
    <cfRule type="containsText" dxfId="0" priority="121" operator="containsText" text="Problem">
      <formula>NOT(ISERROR(SEARCH(("Problem"),(D832))))</formula>
    </cfRule>
  </conditionalFormatting>
  <conditionalFormatting sqref="D236:D237 E211:H237">
    <cfRule type="containsText" dxfId="0" priority="122" operator="containsText" text="Problem">
      <formula>NOT(ISERROR(SEARCH(("Problem"),(D236))))</formula>
    </cfRule>
  </conditionalFormatting>
  <conditionalFormatting sqref="D236:D237 E211:H237">
    <cfRule type="containsText" dxfId="0" priority="123" operator="containsText" text="Problem">
      <formula>NOT(ISERROR(SEARCH(("Problem"),(D236))))</formula>
    </cfRule>
  </conditionalFormatting>
  <conditionalFormatting sqref="D236:D237 E211:H237">
    <cfRule type="containsText" dxfId="0" priority="124" operator="containsText" text="Problem">
      <formula>NOT(ISERROR(SEARCH(("Problem"),(D236))))</formula>
    </cfRule>
  </conditionalFormatting>
  <conditionalFormatting sqref="D742:D766">
    <cfRule type="containsText" dxfId="0" priority="125" operator="containsText" text="Problem">
      <formula>NOT(ISERROR(SEARCH(("Problem"),(D742))))</formula>
    </cfRule>
  </conditionalFormatting>
  <conditionalFormatting sqref="D742:D766">
    <cfRule type="containsText" dxfId="0" priority="126" operator="containsText" text="Problem">
      <formula>NOT(ISERROR(SEARCH(("Problem"),(D742))))</formula>
    </cfRule>
  </conditionalFormatting>
  <conditionalFormatting sqref="G655:G682">
    <cfRule type="containsText" dxfId="0" priority="127" operator="containsText" text="Problem">
      <formula>NOT(ISERROR(SEARCH(("Problem"),(G655))))</formula>
    </cfRule>
  </conditionalFormatting>
  <conditionalFormatting sqref="G655:G682">
    <cfRule type="containsText" dxfId="0" priority="128" operator="containsText" text="Problem">
      <formula>NOT(ISERROR(SEARCH(("Problem"),(G655))))</formula>
    </cfRule>
  </conditionalFormatting>
  <conditionalFormatting sqref="G655:G682">
    <cfRule type="containsText" dxfId="0" priority="129" operator="containsText" text="Problem">
      <formula>NOT(ISERROR(SEARCH(("Problem"),(G655))))</formula>
    </cfRule>
  </conditionalFormatting>
  <conditionalFormatting sqref="D649:D650 E624:H650">
    <cfRule type="containsText" dxfId="0" priority="130" operator="containsText" text="Problem">
      <formula>NOT(ISERROR(SEARCH(("Problem"),(D649))))</formula>
    </cfRule>
  </conditionalFormatting>
  <conditionalFormatting sqref="D649:D650 E624:H650">
    <cfRule type="containsText" dxfId="0" priority="131" operator="containsText" text="Problem">
      <formula>NOT(ISERROR(SEARCH(("Problem"),(D649))))</formula>
    </cfRule>
  </conditionalFormatting>
  <conditionalFormatting sqref="D649:D650 E624:H650">
    <cfRule type="containsText" dxfId="0" priority="132" operator="containsText" text="Problem">
      <formula>NOT(ISERROR(SEARCH(("Problem"),(D649))))</formula>
    </cfRule>
  </conditionalFormatting>
  <conditionalFormatting sqref="A299:I299 A356:H356 I329:I356 J299:P356">
    <cfRule type="containsText" dxfId="0" priority="133" operator="containsText" text="Problem">
      <formula>NOT(ISERROR(SEARCH(("Problem"),(A299))))</formula>
    </cfRule>
  </conditionalFormatting>
  <conditionalFormatting sqref="A299:I299 A356:H356 I329:I356 J299:P356">
    <cfRule type="containsText" dxfId="0" priority="134" operator="containsText" text="Problem">
      <formula>NOT(ISERROR(SEARCH(("Problem"),(A299))))</formula>
    </cfRule>
  </conditionalFormatting>
  <conditionalFormatting sqref="A299:I299 A356:H356 I329:I356 J299:P356">
    <cfRule type="containsText" dxfId="0" priority="135" operator="containsText" text="Problem">
      <formula>NOT(ISERROR(SEARCH(("Problem"),(A299))))</formula>
    </cfRule>
  </conditionalFormatting>
  <conditionalFormatting sqref="D477">
    <cfRule type="containsText" dxfId="0" priority="136" operator="containsText" text="Problem">
      <formula>NOT(ISERROR(SEARCH(("Problem"),(D477))))</formula>
    </cfRule>
  </conditionalFormatting>
  <conditionalFormatting sqref="A652 J652:P652">
    <cfRule type="containsText" dxfId="0" priority="137" operator="containsText" text="Problem">
      <formula>NOT(ISERROR(SEARCH(("Problem"),(A652))))</formula>
    </cfRule>
  </conditionalFormatting>
  <conditionalFormatting sqref="A652 J652:P652">
    <cfRule type="containsText" dxfId="0" priority="138" operator="containsText" text="Problem">
      <formula>NOT(ISERROR(SEARCH(("Problem"),(A652))))</formula>
    </cfRule>
  </conditionalFormatting>
  <conditionalFormatting sqref="A652 J652:P652">
    <cfRule type="containsText" dxfId="0" priority="139" operator="containsText" text="Problem">
      <formula>NOT(ISERROR(SEARCH(("Problem"),(A652))))</formula>
    </cfRule>
  </conditionalFormatting>
  <conditionalFormatting sqref="A830:I830 A887:H887 I860:I887 J830:P887">
    <cfRule type="containsText" dxfId="0" priority="140" operator="containsText" text="Problem">
      <formula>NOT(ISERROR(SEARCH(("Problem"),(A830))))</formula>
    </cfRule>
  </conditionalFormatting>
  <conditionalFormatting sqref="A830:I830 A887:H887 I860:I887 J830:P887">
    <cfRule type="containsText" dxfId="0" priority="141" operator="containsText" text="Problem">
      <formula>NOT(ISERROR(SEARCH(("Problem"),(A830))))</formula>
    </cfRule>
  </conditionalFormatting>
  <conditionalFormatting sqref="A830:I830 A887:H887 I860:I887 J830:P887">
    <cfRule type="containsText" dxfId="0" priority="142" operator="containsText" text="Problem">
      <formula>NOT(ISERROR(SEARCH(("Problem"),(A830))))</formula>
    </cfRule>
  </conditionalFormatting>
  <conditionalFormatting sqref="E713">
    <cfRule type="containsText" dxfId="0" priority="143" operator="containsText" text="Problem">
      <formula>NOT(ISERROR(SEARCH(("Problem"),(E713))))</formula>
    </cfRule>
  </conditionalFormatting>
  <conditionalFormatting sqref="E713">
    <cfRule type="containsText" dxfId="0" priority="144" operator="containsText" text="Problem">
      <formula>NOT(ISERROR(SEARCH(("Problem"),(E713))))</formula>
    </cfRule>
  </conditionalFormatting>
  <conditionalFormatting sqref="E713">
    <cfRule type="containsText" dxfId="0" priority="145" operator="containsText" text="Problem">
      <formula>NOT(ISERROR(SEARCH(("Problem"),(E713))))</formula>
    </cfRule>
  </conditionalFormatting>
  <conditionalFormatting sqref="D708:D709 E683:H709">
    <cfRule type="containsText" dxfId="0" priority="146" operator="containsText" text="Problem">
      <formula>NOT(ISERROR(SEARCH(("Problem"),(D708))))</formula>
    </cfRule>
  </conditionalFormatting>
  <conditionalFormatting sqref="D708:D709 E683:H709">
    <cfRule type="containsText" dxfId="0" priority="147" operator="containsText" text="Problem">
      <formula>NOT(ISERROR(SEARCH(("Problem"),(D708))))</formula>
    </cfRule>
  </conditionalFormatting>
  <conditionalFormatting sqref="D708:D709 E683:H709">
    <cfRule type="containsText" dxfId="0" priority="148" operator="containsText" text="Problem">
      <formula>NOT(ISERROR(SEARCH(("Problem"),(D708))))</formula>
    </cfRule>
  </conditionalFormatting>
  <conditionalFormatting sqref="G301:G328">
    <cfRule type="containsText" dxfId="0" priority="149" operator="containsText" text="Problem">
      <formula>NOT(ISERROR(SEARCH(("Problem"),(G301))))</formula>
    </cfRule>
  </conditionalFormatting>
  <conditionalFormatting sqref="G301:G328">
    <cfRule type="containsText" dxfId="0" priority="150" operator="containsText" text="Problem">
      <formula>NOT(ISERROR(SEARCH(("Problem"),(G301))))</formula>
    </cfRule>
  </conditionalFormatting>
  <conditionalFormatting sqref="G301:G328">
    <cfRule type="containsText" dxfId="0" priority="151" operator="containsText" text="Problem">
      <formula>NOT(ISERROR(SEARCH(("Problem"),(G301))))</formula>
    </cfRule>
  </conditionalFormatting>
  <conditionalFormatting sqref="G183:G210">
    <cfRule type="containsText" dxfId="0" priority="152" operator="containsText" text="Problem">
      <formula>NOT(ISERROR(SEARCH(("Problem"),(G183))))</formula>
    </cfRule>
  </conditionalFormatting>
  <conditionalFormatting sqref="G183:G210">
    <cfRule type="containsText" dxfId="0" priority="153" operator="containsText" text="Problem">
      <formula>NOT(ISERROR(SEARCH(("Problem"),(G183))))</formula>
    </cfRule>
  </conditionalFormatting>
  <conditionalFormatting sqref="G183:G210">
    <cfRule type="containsText" dxfId="0" priority="154" operator="containsText" text="Problem">
      <formula>NOT(ISERROR(SEARCH(("Problem"),(G183))))</formula>
    </cfRule>
  </conditionalFormatting>
  <conditionalFormatting sqref="D590:D591 E565:H591">
    <cfRule type="containsText" dxfId="0" priority="155" operator="containsText" text="Problem">
      <formula>NOT(ISERROR(SEARCH(("Problem"),(D590))))</formula>
    </cfRule>
  </conditionalFormatting>
  <conditionalFormatting sqref="D590:D591 E565:H591">
    <cfRule type="containsText" dxfId="0" priority="156" operator="containsText" text="Problem">
      <formula>NOT(ISERROR(SEARCH(("Problem"),(D590))))</formula>
    </cfRule>
  </conditionalFormatting>
  <conditionalFormatting sqref="D590:D591 E565:H591">
    <cfRule type="containsText" dxfId="0" priority="157" operator="containsText" text="Problem">
      <formula>NOT(ISERROR(SEARCH(("Problem"),(D590))))</formula>
    </cfRule>
  </conditionalFormatting>
  <conditionalFormatting sqref="B573:C573 B585:B588 B590:C591 C542:C572 C582:C588">
    <cfRule type="containsText" dxfId="0" priority="158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159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160" operator="containsText" text="Problem">
      <formula>NOT(ISERROR(SEARCH(("Problem"),(B573))))</formula>
    </cfRule>
  </conditionalFormatting>
  <conditionalFormatting sqref="H831">
    <cfRule type="containsText" dxfId="0" priority="161" operator="containsText" text="Problem">
      <formula>NOT(ISERROR(SEARCH(("Problem"),(H831))))</formula>
    </cfRule>
  </conditionalFormatting>
  <conditionalFormatting sqref="H831">
    <cfRule type="containsText" dxfId="0" priority="162" operator="containsText" text="Problem">
      <formula>NOT(ISERROR(SEARCH(("Problem"),(H831))))</formula>
    </cfRule>
  </conditionalFormatting>
  <conditionalFormatting sqref="H831">
    <cfRule type="containsText" dxfId="0" priority="163" operator="containsText" text="Problem">
      <formula>NOT(ISERROR(SEARCH(("Problem"),(H831))))</formula>
    </cfRule>
  </conditionalFormatting>
  <conditionalFormatting sqref="C829 E829:I829">
    <cfRule type="containsText" dxfId="0" priority="164" operator="containsText" text="Problem">
      <formula>NOT(ISERROR(SEARCH(("Problem"),(C829))))</formula>
    </cfRule>
  </conditionalFormatting>
  <conditionalFormatting sqref="C829 E829:I829">
    <cfRule type="containsText" dxfId="0" priority="165" operator="containsText" text="Problem">
      <formula>NOT(ISERROR(SEARCH(("Problem"),(C829))))</formula>
    </cfRule>
  </conditionalFormatting>
  <conditionalFormatting sqref="C829 E829:I829">
    <cfRule type="containsText" dxfId="0" priority="166" operator="containsText" text="Problem">
      <formula>NOT(ISERROR(SEARCH(("Problem"),(C829))))</formula>
    </cfRule>
  </conditionalFormatting>
  <conditionalFormatting sqref="D472:D473 E447:H473">
    <cfRule type="containsText" dxfId="0" priority="167" operator="containsText" text="Problem">
      <formula>NOT(ISERROR(SEARCH(("Problem"),(D472))))</formula>
    </cfRule>
  </conditionalFormatting>
  <conditionalFormatting sqref="D472:D473 E447:H473">
    <cfRule type="containsText" dxfId="0" priority="168" operator="containsText" text="Problem">
      <formula>NOT(ISERROR(SEARCH(("Problem"),(D472))))</formula>
    </cfRule>
  </conditionalFormatting>
  <conditionalFormatting sqref="D472:D473 E447:H473">
    <cfRule type="containsText" dxfId="0" priority="169" operator="containsText" text="Problem">
      <formula>NOT(ISERROR(SEARCH(("Problem"),(D472))))</formula>
    </cfRule>
  </conditionalFormatting>
  <conditionalFormatting sqref="G6:G34">
    <cfRule type="containsText" dxfId="0" priority="170" operator="containsText" text="Problem">
      <formula>NOT(ISERROR(SEARCH(("Problem"),(G6))))</formula>
    </cfRule>
  </conditionalFormatting>
  <conditionalFormatting sqref="G6:G34">
    <cfRule type="containsText" dxfId="0" priority="171" operator="containsText" text="Problem">
      <formula>NOT(ISERROR(SEARCH(("Problem"),(G6))))</formula>
    </cfRule>
  </conditionalFormatting>
  <conditionalFormatting sqref="G6:G34">
    <cfRule type="containsText" dxfId="0" priority="172" operator="containsText" text="Problem">
      <formula>NOT(ISERROR(SEARCH(("Problem"),(G6))))</formula>
    </cfRule>
  </conditionalFormatting>
  <conditionalFormatting sqref="A771:I771 A828:H828 I801:I828 J771:P828">
    <cfRule type="containsText" dxfId="0" priority="173" operator="containsText" text="Problem">
      <formula>NOT(ISERROR(SEARCH(("Problem"),(A771))))</formula>
    </cfRule>
  </conditionalFormatting>
  <conditionalFormatting sqref="A771:I771 A828:H828 I801:I828 J771:P828">
    <cfRule type="containsText" dxfId="0" priority="174" operator="containsText" text="Problem">
      <formula>NOT(ISERROR(SEARCH(("Problem"),(A771))))</formula>
    </cfRule>
  </conditionalFormatting>
  <conditionalFormatting sqref="A771:I771 A828:H828 I801:I828 J771:P828">
    <cfRule type="containsText" dxfId="0" priority="175" operator="containsText" text="Problem">
      <formula>NOT(ISERROR(SEARCH(("Problem"),(A771))))</formula>
    </cfRule>
  </conditionalFormatting>
  <conditionalFormatting sqref="I360:I387">
    <cfRule type="containsText" dxfId="0" priority="176" operator="containsText" text="Problem">
      <formula>NOT(ISERROR(SEARCH(("Problem"),(I360))))</formula>
    </cfRule>
  </conditionalFormatting>
  <conditionalFormatting sqref="I360:I387">
    <cfRule type="containsText" dxfId="0" priority="177" operator="containsText" text="Problem">
      <formula>NOT(ISERROR(SEARCH(("Problem"),(I360))))</formula>
    </cfRule>
  </conditionalFormatting>
  <conditionalFormatting sqref="I360:I387">
    <cfRule type="containsText" dxfId="0" priority="178" operator="containsText" text="Problem">
      <formula>NOT(ISERROR(SEARCH(("Problem"),(I360))))</formula>
    </cfRule>
  </conditionalFormatting>
  <conditionalFormatting sqref="I360:I387">
    <cfRule type="containsText" dxfId="0" priority="179" operator="containsText" text="Problem">
      <formula>NOT(ISERROR(SEARCH(("Problem"),(I360))))</formula>
    </cfRule>
  </conditionalFormatting>
  <conditionalFormatting sqref="D93:D117">
    <cfRule type="containsText" dxfId="0" priority="180" operator="containsText" text="Problem">
      <formula>NOT(ISERROR(SEARCH(("Problem"),(D93))))</formula>
    </cfRule>
  </conditionalFormatting>
  <conditionalFormatting sqref="D93:D117">
    <cfRule type="containsText" dxfId="0" priority="181" operator="containsText" text="Problem">
      <formula>NOT(ISERROR(SEARCH(("Problem"),(D93))))</formula>
    </cfRule>
  </conditionalFormatting>
  <conditionalFormatting sqref="D624:D648">
    <cfRule type="containsText" dxfId="0" priority="182" operator="containsText" text="Problem">
      <formula>NOT(ISERROR(SEARCH(("Problem"),(D624))))</formula>
    </cfRule>
  </conditionalFormatting>
  <conditionalFormatting sqref="D624:D648">
    <cfRule type="containsText" dxfId="0" priority="183" operator="containsText" text="Problem">
      <formula>NOT(ISERROR(SEARCH(("Problem"),(D624))))</formula>
    </cfRule>
  </conditionalFormatting>
  <conditionalFormatting sqref="C180 E180:I180">
    <cfRule type="containsText" dxfId="0" priority="184" operator="containsText" text="Problem">
      <formula>NOT(ISERROR(SEARCH(("Problem"),(C180))))</formula>
    </cfRule>
  </conditionalFormatting>
  <conditionalFormatting sqref="C180 E180:I180">
    <cfRule type="containsText" dxfId="0" priority="185" operator="containsText" text="Problem">
      <formula>NOT(ISERROR(SEARCH(("Problem"),(C180))))</formula>
    </cfRule>
  </conditionalFormatting>
  <conditionalFormatting sqref="C180 E180:I180">
    <cfRule type="containsText" dxfId="0" priority="186" operator="containsText" text="Problem">
      <formula>NOT(ISERROR(SEARCH(("Problem"),(C180))))</formula>
    </cfRule>
  </conditionalFormatting>
  <conditionalFormatting sqref="E124:E151">
    <cfRule type="containsText" dxfId="0" priority="187" operator="containsText" text="Problem">
      <formula>NOT(ISERROR(SEARCH(("Problem"),(E124))))</formula>
    </cfRule>
  </conditionalFormatting>
  <conditionalFormatting sqref="E124:E151">
    <cfRule type="containsText" dxfId="0" priority="188" operator="containsText" text="Problem">
      <formula>NOT(ISERROR(SEARCH(("Problem"),(E124))))</formula>
    </cfRule>
  </conditionalFormatting>
  <conditionalFormatting sqref="E124:E151">
    <cfRule type="containsText" dxfId="0" priority="189" operator="containsText" text="Problem">
      <formula>NOT(ISERROR(SEARCH(("Problem"),(E124))))</formula>
    </cfRule>
  </conditionalFormatting>
  <conditionalFormatting sqref="D301:D328">
    <cfRule type="containsText" dxfId="0" priority="190" operator="containsText" text="Problem">
      <formula>NOT(ISERROR(SEARCH(("Problem"),(D301))))</formula>
    </cfRule>
  </conditionalFormatting>
  <conditionalFormatting sqref="D301:D328">
    <cfRule type="containsText" dxfId="0" priority="191" operator="containsText" text="Problem">
      <formula>NOT(ISERROR(SEARCH(("Problem"),(D301))))</formula>
    </cfRule>
  </conditionalFormatting>
  <conditionalFormatting sqref="D301:D328">
    <cfRule type="containsText" dxfId="0" priority="192" operator="containsText" text="Problem">
      <formula>NOT(ISERROR(SEARCH(("Problem"),(D301))))</formula>
    </cfRule>
  </conditionalFormatting>
  <conditionalFormatting sqref="A181:P181 A238:H238 I211:I238 J182:M238 O182:P238">
    <cfRule type="containsText" dxfId="0" priority="193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194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195" operator="containsText" text="Problem">
      <formula>NOT(ISERROR(SEARCH(("Problem"),(A181))))</formula>
    </cfRule>
  </conditionalFormatting>
  <conditionalFormatting sqref="B4 C3:C4 D4 D61:H61 E3:I4 K917:P918">
    <cfRule type="containsText" dxfId="0" priority="196" operator="containsText" text="Problem">
      <formula>NOT(ISERROR(SEARCH(("Problem"),(B4))))</formula>
    </cfRule>
  </conditionalFormatting>
  <conditionalFormatting sqref="B4 C3:C4 D4 D61:H61 E3:I4 K917:P918">
    <cfRule type="containsText" dxfId="0" priority="197" operator="containsText" text="Problem">
      <formula>NOT(ISERROR(SEARCH(("Problem"),(B4))))</formula>
    </cfRule>
  </conditionalFormatting>
  <conditionalFormatting sqref="B4 C3:C4 D4 D61:H61 E3:I4 K917:P918">
    <cfRule type="containsText" dxfId="0" priority="198" operator="containsText" text="Problem">
      <formula>NOT(ISERROR(SEARCH(("Problem"),(B4))))</formula>
    </cfRule>
  </conditionalFormatting>
  <conditionalFormatting sqref="E714:E741">
    <cfRule type="containsText" dxfId="0" priority="199" operator="containsText" text="Problem">
      <formula>NOT(ISERROR(SEARCH(("Problem"),(E714))))</formula>
    </cfRule>
  </conditionalFormatting>
  <conditionalFormatting sqref="E714:E741">
    <cfRule type="containsText" dxfId="0" priority="200" operator="containsText" text="Problem">
      <formula>NOT(ISERROR(SEARCH(("Problem"),(E714))))</formula>
    </cfRule>
  </conditionalFormatting>
  <conditionalFormatting sqref="E714:E741">
    <cfRule type="containsText" dxfId="0" priority="201" operator="containsText" text="Problem">
      <formula>NOT(ISERROR(SEARCH(("Problem"),(E714))))</formula>
    </cfRule>
  </conditionalFormatting>
  <conditionalFormatting sqref="F359">
    <cfRule type="containsText" dxfId="0" priority="202" operator="containsText" text="Problem">
      <formula>NOT(ISERROR(SEARCH(("Problem"),(F359))))</formula>
    </cfRule>
  </conditionalFormatting>
  <conditionalFormatting sqref="F359">
    <cfRule type="containsText" dxfId="0" priority="203" operator="containsText" text="Problem">
      <formula>NOT(ISERROR(SEARCH(("Problem"),(F359))))</formula>
    </cfRule>
  </conditionalFormatting>
  <conditionalFormatting sqref="F359">
    <cfRule type="containsText" dxfId="0" priority="204" operator="containsText" text="Problem">
      <formula>NOT(ISERROR(SEARCH(("Problem"),(F359))))</formula>
    </cfRule>
  </conditionalFormatting>
  <conditionalFormatting sqref="G418">
    <cfRule type="containsText" dxfId="0" priority="205" operator="containsText" text="Problem">
      <formula>NOT(ISERROR(SEARCH(("Problem"),(G418))))</formula>
    </cfRule>
  </conditionalFormatting>
  <conditionalFormatting sqref="G418">
    <cfRule type="containsText" dxfId="0" priority="206" operator="containsText" text="Problem">
      <formula>NOT(ISERROR(SEARCH(("Problem"),(G418))))</formula>
    </cfRule>
  </conditionalFormatting>
  <conditionalFormatting sqref="G418">
    <cfRule type="containsText" dxfId="0" priority="207" operator="containsText" text="Problem">
      <formula>NOT(ISERROR(SEARCH(("Problem"),(G418))))</formula>
    </cfRule>
  </conditionalFormatting>
  <conditionalFormatting sqref="A534 J534:P534">
    <cfRule type="containsText" dxfId="0" priority="208" operator="containsText" text="Problem">
      <formula>NOT(ISERROR(SEARCH(("Problem"),(A534))))</formula>
    </cfRule>
  </conditionalFormatting>
  <conditionalFormatting sqref="A534 J534:P534">
    <cfRule type="containsText" dxfId="0" priority="209" operator="containsText" text="Problem">
      <formula>NOT(ISERROR(SEARCH(("Problem"),(A534))))</formula>
    </cfRule>
  </conditionalFormatting>
  <conditionalFormatting sqref="A534 J534:P534">
    <cfRule type="containsText" dxfId="0" priority="210" operator="containsText" text="Problem">
      <formula>NOT(ISERROR(SEARCH(("Problem"),(A534))))</formula>
    </cfRule>
  </conditionalFormatting>
  <conditionalFormatting sqref="B632:C632 B644:B647 B649:C650 C601:C631 C641:C647">
    <cfRule type="containsText" dxfId="0" priority="211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212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213" operator="containsText" text="Problem">
      <formula>NOT(ISERROR(SEARCH(("Problem"),(B632))))</formula>
    </cfRule>
  </conditionalFormatting>
  <conditionalFormatting sqref="G832:G859">
    <cfRule type="containsText" dxfId="0" priority="214" operator="containsText" text="Problem">
      <formula>NOT(ISERROR(SEARCH(("Problem"),(G832))))</formula>
    </cfRule>
  </conditionalFormatting>
  <conditionalFormatting sqref="G832:G859">
    <cfRule type="containsText" dxfId="0" priority="215" operator="containsText" text="Problem">
      <formula>NOT(ISERROR(SEARCH(("Problem"),(G832))))</formula>
    </cfRule>
  </conditionalFormatting>
  <conditionalFormatting sqref="G832:G859">
    <cfRule type="containsText" dxfId="0" priority="216" operator="containsText" text="Problem">
      <formula>NOT(ISERROR(SEARCH(("Problem"),(G832))))</formula>
    </cfRule>
  </conditionalFormatting>
  <conditionalFormatting sqref="H477">
    <cfRule type="containsText" dxfId="0" priority="217" operator="containsText" text="Problem">
      <formula>NOT(ISERROR(SEARCH(("Problem"),(H477))))</formula>
    </cfRule>
  </conditionalFormatting>
  <conditionalFormatting sqref="H477">
    <cfRule type="containsText" dxfId="0" priority="218" operator="containsText" text="Problem">
      <formula>NOT(ISERROR(SEARCH(("Problem"),(H477))))</formula>
    </cfRule>
  </conditionalFormatting>
  <conditionalFormatting sqref="H477">
    <cfRule type="containsText" dxfId="0" priority="219" operator="containsText" text="Problem">
      <formula>NOT(ISERROR(SEARCH(("Problem"),(H477))))</formula>
    </cfRule>
  </conditionalFormatting>
  <conditionalFormatting sqref="A888 E888:P888">
    <cfRule type="containsText" dxfId="0" priority="220" operator="containsText" text="Problem">
      <formula>NOT(ISERROR(SEARCH(("Problem"),(A888))))</formula>
    </cfRule>
  </conditionalFormatting>
  <conditionalFormatting sqref="A888 E888:P888">
    <cfRule type="containsText" dxfId="0" priority="221" operator="containsText" text="Problem">
      <formula>NOT(ISERROR(SEARCH(("Problem"),(A888))))</formula>
    </cfRule>
  </conditionalFormatting>
  <conditionalFormatting sqref="A888 E888:P888">
    <cfRule type="containsText" dxfId="0" priority="222" operator="containsText" text="Problem">
      <formula>NOT(ISERROR(SEARCH(("Problem"),(A888))))</formula>
    </cfRule>
  </conditionalFormatting>
  <conditionalFormatting sqref="E772">
    <cfRule type="containsText" dxfId="0" priority="223" operator="containsText" text="Problem">
      <formula>NOT(ISERROR(SEARCH(("Problem"),(E772))))</formula>
    </cfRule>
  </conditionalFormatting>
  <conditionalFormatting sqref="E772">
    <cfRule type="containsText" dxfId="0" priority="224" operator="containsText" text="Problem">
      <formula>NOT(ISERROR(SEARCH(("Problem"),(E772))))</formula>
    </cfRule>
  </conditionalFormatting>
  <conditionalFormatting sqref="E772">
    <cfRule type="containsText" dxfId="0" priority="225" operator="containsText" text="Problem">
      <formula>NOT(ISERROR(SEARCH(("Problem"),(E772))))</formula>
    </cfRule>
  </conditionalFormatting>
  <conditionalFormatting sqref="F241">
    <cfRule type="containsText" dxfId="0" priority="226" operator="containsText" text="Problem">
      <formula>NOT(ISERROR(SEARCH(("Problem"),(F241))))</formula>
    </cfRule>
  </conditionalFormatting>
  <conditionalFormatting sqref="F241">
    <cfRule type="containsText" dxfId="0" priority="227" operator="containsText" text="Problem">
      <formula>NOT(ISERROR(SEARCH(("Problem"),(F241))))</formula>
    </cfRule>
  </conditionalFormatting>
  <conditionalFormatting sqref="F241">
    <cfRule type="containsText" dxfId="0" priority="228" operator="containsText" text="Problem">
      <formula>NOT(ISERROR(SEARCH(("Problem"),(F241))))</formula>
    </cfRule>
  </conditionalFormatting>
  <conditionalFormatting sqref="G654">
    <cfRule type="containsText" dxfId="0" priority="229" operator="containsText" text="Problem">
      <formula>NOT(ISERROR(SEARCH(("Problem"),(G654))))</formula>
    </cfRule>
  </conditionalFormatting>
  <conditionalFormatting sqref="G654">
    <cfRule type="containsText" dxfId="0" priority="230" operator="containsText" text="Problem">
      <formula>NOT(ISERROR(SEARCH(("Problem"),(G654))))</formula>
    </cfRule>
  </conditionalFormatting>
  <conditionalFormatting sqref="G654">
    <cfRule type="containsText" dxfId="0" priority="231" operator="containsText" text="Problem">
      <formula>NOT(ISERROR(SEARCH(("Problem"),(G654))))</formula>
    </cfRule>
  </conditionalFormatting>
  <conditionalFormatting sqref="B455:C455 B467:B470 B472:C473 C424:C454 C464:C470">
    <cfRule type="containsText" dxfId="0" priority="232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233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234" operator="containsText" text="Problem">
      <formula>NOT(ISERROR(SEARCH(("Problem"),(B455))))</formula>
    </cfRule>
  </conditionalFormatting>
  <conditionalFormatting sqref="D891:D945 J891:J945">
    <cfRule type="containsText" dxfId="0" priority="235" operator="containsText" text="Problem">
      <formula>NOT(ISERROR(SEARCH(("Problem"),(D891))))</formula>
    </cfRule>
  </conditionalFormatting>
  <conditionalFormatting sqref="D891:D945 J891:J945">
    <cfRule type="containsText" dxfId="0" priority="236" operator="containsText" text="Problem">
      <formula>NOT(ISERROR(SEARCH(("Problem"),(D891))))</formula>
    </cfRule>
  </conditionalFormatting>
  <conditionalFormatting sqref="D891:D945 J891:J945">
    <cfRule type="containsText" dxfId="0" priority="237" operator="containsText" text="Problem">
      <formula>NOT(ISERROR(SEARCH(("Problem"),(D891))))</formula>
    </cfRule>
  </conditionalFormatting>
  <conditionalFormatting sqref="F6:F34">
    <cfRule type="containsText" dxfId="0" priority="238" operator="containsText" text="Problem">
      <formula>NOT(ISERROR(SEARCH(("Problem"),(F6))))</formula>
    </cfRule>
  </conditionalFormatting>
  <conditionalFormatting sqref="F6:F34">
    <cfRule type="containsText" dxfId="0" priority="239" operator="containsText" text="Problem">
      <formula>NOT(ISERROR(SEARCH(("Problem"),(F6))))</formula>
    </cfRule>
  </conditionalFormatting>
  <conditionalFormatting sqref="F6:F34">
    <cfRule type="containsText" dxfId="0" priority="240" operator="containsText" text="Problem">
      <formula>NOT(ISERROR(SEARCH(("Problem"),(F6))))</formula>
    </cfRule>
  </conditionalFormatting>
  <conditionalFormatting sqref="I124:I151">
    <cfRule type="containsText" dxfId="0" priority="241" operator="containsText" text="Problem">
      <formula>NOT(ISERROR(SEARCH(("Problem"),(I124))))</formula>
    </cfRule>
  </conditionalFormatting>
  <conditionalFormatting sqref="I124:I151">
    <cfRule type="containsText" dxfId="0" priority="242" operator="containsText" text="Problem">
      <formula>NOT(ISERROR(SEARCH(("Problem"),(I124))))</formula>
    </cfRule>
  </conditionalFormatting>
  <conditionalFormatting sqref="I124:I151">
    <cfRule type="containsText" dxfId="0" priority="243" operator="containsText" text="Problem">
      <formula>NOT(ISERROR(SEARCH(("Problem"),(I124))))</formula>
    </cfRule>
  </conditionalFormatting>
  <conditionalFormatting sqref="I124:I151">
    <cfRule type="containsText" dxfId="0" priority="244" operator="containsText" text="Problem">
      <formula>NOT(ISERROR(SEARCH(("Problem"),(I124))))</formula>
    </cfRule>
  </conditionalFormatting>
  <conditionalFormatting sqref="H655:H682">
    <cfRule type="containsText" dxfId="0" priority="245" operator="containsText" text="Problem">
      <formula>NOT(ISERROR(SEARCH(("Problem"),(H655))))</formula>
    </cfRule>
  </conditionalFormatting>
  <conditionalFormatting sqref="H655:H682">
    <cfRule type="containsText" dxfId="0" priority="246" operator="containsText" text="Problem">
      <formula>NOT(ISERROR(SEARCH(("Problem"),(H655))))</formula>
    </cfRule>
  </conditionalFormatting>
  <conditionalFormatting sqref="H655:H682">
    <cfRule type="containsText" dxfId="0" priority="247" operator="containsText" text="Problem">
      <formula>NOT(ISERROR(SEARCH(("Problem"),(H655))))</formula>
    </cfRule>
  </conditionalFormatting>
  <conditionalFormatting sqref="E123">
    <cfRule type="containsText" dxfId="0" priority="248" operator="containsText" text="Problem">
      <formula>NOT(ISERROR(SEARCH(("Problem"),(E123))))</formula>
    </cfRule>
  </conditionalFormatting>
  <conditionalFormatting sqref="E123">
    <cfRule type="containsText" dxfId="0" priority="249" operator="containsText" text="Problem">
      <formula>NOT(ISERROR(SEARCH(("Problem"),(E123))))</formula>
    </cfRule>
  </conditionalFormatting>
  <conditionalFormatting sqref="E123">
    <cfRule type="containsText" dxfId="0" priority="250" operator="containsText" text="Problem">
      <formula>NOT(ISERROR(SEARCH(("Problem"),(E123))))</formula>
    </cfRule>
  </conditionalFormatting>
  <conditionalFormatting sqref="D242:D269">
    <cfRule type="containsText" dxfId="0" priority="251" operator="containsText" text="Problem">
      <formula>NOT(ISERROR(SEARCH(("Problem"),(D242))))</formula>
    </cfRule>
  </conditionalFormatting>
  <conditionalFormatting sqref="D242:D269">
    <cfRule type="containsText" dxfId="0" priority="252" operator="containsText" text="Problem">
      <formula>NOT(ISERROR(SEARCH(("Problem"),(D242))))</formula>
    </cfRule>
  </conditionalFormatting>
  <conditionalFormatting sqref="D242:D269">
    <cfRule type="containsText" dxfId="0" priority="253" operator="containsText" text="Problem">
      <formula>NOT(ISERROR(SEARCH(("Problem"),(D242))))</formula>
    </cfRule>
  </conditionalFormatting>
  <conditionalFormatting sqref="D413:D414 E388:H414">
    <cfRule type="containsText" dxfId="0" priority="254" operator="containsText" text="Problem">
      <formula>NOT(ISERROR(SEARCH(("Problem"),(D413))))</formula>
    </cfRule>
  </conditionalFormatting>
  <conditionalFormatting sqref="D413:D414 E388:H414">
    <cfRule type="containsText" dxfId="0" priority="255" operator="containsText" text="Problem">
      <formula>NOT(ISERROR(SEARCH(("Problem"),(D413))))</formula>
    </cfRule>
  </conditionalFormatting>
  <conditionalFormatting sqref="D413:D414 E388:H414">
    <cfRule type="containsText" dxfId="0" priority="256" operator="containsText" text="Problem">
      <formula>NOT(ISERROR(SEARCH(("Problem"),(D413))))</formula>
    </cfRule>
  </conditionalFormatting>
  <conditionalFormatting sqref="D65:D92">
    <cfRule type="containsText" dxfId="0" priority="257" operator="containsText" text="Problem">
      <formula>NOT(ISERROR(SEARCH(("Problem"),(D65))))</formula>
    </cfRule>
  </conditionalFormatting>
  <conditionalFormatting sqref="D65:D92">
    <cfRule type="containsText" dxfId="0" priority="258" operator="containsText" text="Problem">
      <formula>NOT(ISERROR(SEARCH(("Problem"),(D65))))</formula>
    </cfRule>
  </conditionalFormatting>
  <conditionalFormatting sqref="D65:D92">
    <cfRule type="containsText" dxfId="0" priority="259" operator="containsText" text="Problem">
      <formula>NOT(ISERROR(SEARCH(("Problem"),(D65))))</formula>
    </cfRule>
  </conditionalFormatting>
  <conditionalFormatting sqref="E596:E623">
    <cfRule type="containsText" dxfId="0" priority="260" operator="containsText" text="Problem">
      <formula>NOT(ISERROR(SEARCH(("Problem"),(E596))))</formula>
    </cfRule>
  </conditionalFormatting>
  <conditionalFormatting sqref="E596:E623">
    <cfRule type="containsText" dxfId="0" priority="261" operator="containsText" text="Problem">
      <formula>NOT(ISERROR(SEARCH(("Problem"),(E596))))</formula>
    </cfRule>
  </conditionalFormatting>
  <conditionalFormatting sqref="E596:E623">
    <cfRule type="containsText" dxfId="0" priority="262" operator="containsText" text="Problem">
      <formula>NOT(ISERROR(SEARCH(("Problem"),(E596))))</formula>
    </cfRule>
  </conditionalFormatting>
  <conditionalFormatting sqref="C416 E416:I416">
    <cfRule type="containsText" dxfId="0" priority="263" operator="containsText" text="Problem">
      <formula>NOT(ISERROR(SEARCH(("Problem"),(C416))))</formula>
    </cfRule>
  </conditionalFormatting>
  <conditionalFormatting sqref="C416 E416:I416">
    <cfRule type="containsText" dxfId="0" priority="264" operator="containsText" text="Problem">
      <formula>NOT(ISERROR(SEARCH(("Problem"),(C416))))</formula>
    </cfRule>
  </conditionalFormatting>
  <conditionalFormatting sqref="C416 E416:I416">
    <cfRule type="containsText" dxfId="0" priority="265" operator="containsText" text="Problem">
      <formula>NOT(ISERROR(SEARCH(("Problem"),(C416))))</formula>
    </cfRule>
  </conditionalFormatting>
  <conditionalFormatting sqref="A63:I63 A120:H120 I93:I120 J63:P120">
    <cfRule type="containsText" dxfId="0" priority="266" operator="containsText" text="Problem">
      <formula>NOT(ISERROR(SEARCH(("Problem"),(A63))))</formula>
    </cfRule>
  </conditionalFormatting>
  <conditionalFormatting sqref="A63:I63 A120:H120 I93:I120 J63:P120">
    <cfRule type="containsText" dxfId="0" priority="267" operator="containsText" text="Problem">
      <formula>NOT(ISERROR(SEARCH(("Problem"),(A63))))</formula>
    </cfRule>
  </conditionalFormatting>
  <conditionalFormatting sqref="A63:I63 A120:H120 I93:I120 J63:P120">
    <cfRule type="containsText" dxfId="0" priority="268" operator="containsText" text="Problem">
      <formula>NOT(ISERROR(SEARCH(("Problem"),(A63))))</formula>
    </cfRule>
  </conditionalFormatting>
  <conditionalFormatting sqref="D270:D294">
    <cfRule type="containsText" dxfId="0" priority="269" operator="containsText" text="Problem">
      <formula>NOT(ISERROR(SEARCH(("Problem"),(D270))))</formula>
    </cfRule>
  </conditionalFormatting>
  <conditionalFormatting sqref="D270:D294">
    <cfRule type="containsText" dxfId="0" priority="270" operator="containsText" text="Problem">
      <formula>NOT(ISERROR(SEARCH(("Problem"),(D270))))</formula>
    </cfRule>
  </conditionalFormatting>
  <conditionalFormatting sqref="H123">
    <cfRule type="containsText" dxfId="0" priority="271" operator="containsText" text="Problem">
      <formula>NOT(ISERROR(SEARCH(("Problem"),(H123))))</formula>
    </cfRule>
  </conditionalFormatting>
  <conditionalFormatting sqref="H123">
    <cfRule type="containsText" dxfId="0" priority="272" operator="containsText" text="Problem">
      <formula>NOT(ISERROR(SEARCH(("Problem"),(H123))))</formula>
    </cfRule>
  </conditionalFormatting>
  <conditionalFormatting sqref="H123">
    <cfRule type="containsText" dxfId="0" priority="273" operator="containsText" text="Problem">
      <formula>NOT(ISERROR(SEARCH(("Problem"),(H123))))</formula>
    </cfRule>
  </conditionalFormatting>
  <conditionalFormatting sqref="E183:E210">
    <cfRule type="containsText" dxfId="0" priority="274" operator="containsText" text="Problem">
      <formula>NOT(ISERROR(SEARCH(("Problem"),(E183))))</formula>
    </cfRule>
  </conditionalFormatting>
  <conditionalFormatting sqref="E183:E210">
    <cfRule type="containsText" dxfId="0" priority="275" operator="containsText" text="Problem">
      <formula>NOT(ISERROR(SEARCH(("Problem"),(E183))))</formula>
    </cfRule>
  </conditionalFormatting>
  <conditionalFormatting sqref="E183:E210">
    <cfRule type="containsText" dxfId="0" priority="276" operator="containsText" text="Problem">
      <formula>NOT(ISERROR(SEARCH(("Problem"),(E183))))</formula>
    </cfRule>
  </conditionalFormatting>
  <conditionalFormatting sqref="I241">
    <cfRule type="containsText" dxfId="0" priority="277" operator="containsText" text="Problem">
      <formula>NOT(ISERROR(SEARCH(("Problem"),(I241))))</formula>
    </cfRule>
  </conditionalFormatting>
  <conditionalFormatting sqref="I241">
    <cfRule type="containsText" dxfId="0" priority="278" operator="containsText" text="Problem">
      <formula>NOT(ISERROR(SEARCH(("Problem"),(I241))))</formula>
    </cfRule>
  </conditionalFormatting>
  <conditionalFormatting sqref="I241">
    <cfRule type="containsText" dxfId="0" priority="279" operator="containsText" text="Problem">
      <formula>NOT(ISERROR(SEARCH(("Problem"),(I241))))</formula>
    </cfRule>
  </conditionalFormatting>
  <conditionalFormatting sqref="G360:G387">
    <cfRule type="containsText" dxfId="0" priority="280" operator="containsText" text="Problem">
      <formula>NOT(ISERROR(SEARCH(("Problem"),(G360))))</formula>
    </cfRule>
  </conditionalFormatting>
  <conditionalFormatting sqref="G360:G387">
    <cfRule type="containsText" dxfId="0" priority="281" operator="containsText" text="Problem">
      <formula>NOT(ISERROR(SEARCH(("Problem"),(G360))))</formula>
    </cfRule>
  </conditionalFormatting>
  <conditionalFormatting sqref="G360:G387">
    <cfRule type="containsText" dxfId="0" priority="282" operator="containsText" text="Problem">
      <formula>NOT(ISERROR(SEARCH(("Problem"),(G360))))</formula>
    </cfRule>
  </conditionalFormatting>
  <conditionalFormatting sqref="D536">
    <cfRule type="containsText" dxfId="0" priority="283" operator="containsText" text="Problem">
      <formula>NOT(ISERROR(SEARCH(("Problem"),(D536))))</formula>
    </cfRule>
  </conditionalFormatting>
  <conditionalFormatting sqref="A122:I122 A179:H179 I152:I179 J122:P179">
    <cfRule type="containsText" dxfId="0" priority="284" operator="containsText" text="Problem">
      <formula>NOT(ISERROR(SEARCH(("Problem"),(A122))))</formula>
    </cfRule>
  </conditionalFormatting>
  <conditionalFormatting sqref="A122:I122 A179:H179 I152:I179 J122:P179">
    <cfRule type="containsText" dxfId="0" priority="285" operator="containsText" text="Problem">
      <formula>NOT(ISERROR(SEARCH(("Problem"),(A122))))</formula>
    </cfRule>
  </conditionalFormatting>
  <conditionalFormatting sqref="A122:I122 A179:H179 I152:I179 J122:P179">
    <cfRule type="containsText" dxfId="0" priority="286" operator="containsText" text="Problem">
      <formula>NOT(ISERROR(SEARCH(("Problem"),(A122))))</formula>
    </cfRule>
  </conditionalFormatting>
  <conditionalFormatting sqref="A359:A414">
    <cfRule type="containsText" dxfId="0" priority="287" operator="containsText" text="Problem">
      <formula>NOT(ISERROR(SEARCH(("Problem"),(A359))))</formula>
    </cfRule>
  </conditionalFormatting>
  <conditionalFormatting sqref="A359:A414">
    <cfRule type="containsText" dxfId="0" priority="288" operator="containsText" text="Problem">
      <formula>NOT(ISERROR(SEARCH(("Problem"),(A359))))</formula>
    </cfRule>
  </conditionalFormatting>
  <conditionalFormatting sqref="A359:A414">
    <cfRule type="containsText" dxfId="0" priority="289" operator="containsText" text="Problem">
      <formula>NOT(ISERROR(SEARCH(("Problem"),(A359))))</formula>
    </cfRule>
  </conditionalFormatting>
  <conditionalFormatting sqref="N182:N238">
    <cfRule type="containsText" dxfId="0" priority="290" operator="containsText" text="Problem">
      <formula>NOT(ISERROR(SEARCH(("Problem"),(N182))))</formula>
    </cfRule>
  </conditionalFormatting>
  <conditionalFormatting sqref="N182:N238">
    <cfRule type="containsText" dxfId="0" priority="291" operator="containsText" text="Problem">
      <formula>NOT(ISERROR(SEARCH(("Problem"),(N182))))</formula>
    </cfRule>
  </conditionalFormatting>
  <conditionalFormatting sqref="N182:N238">
    <cfRule type="containsText" dxfId="0" priority="292" operator="containsText" text="Problem">
      <formula>NOT(ISERROR(SEARCH(("Problem"),(N182))))</formula>
    </cfRule>
  </conditionalFormatting>
  <conditionalFormatting sqref="A3:A61 B42:C42 B54:B57 B59:C61 C11:C41 C51:C57 I35:I61 J3:P61">
    <cfRule type="containsText" dxfId="0" priority="293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294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295" operator="containsText" text="Problem">
      <formula>NOT(ISERROR(SEARCH(("Problem"),(A3))))</formula>
    </cfRule>
  </conditionalFormatting>
  <conditionalFormatting sqref="B809:C809 B821:B824 B826:C827 C778:C808 C818:C824">
    <cfRule type="containsText" dxfId="0" priority="296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297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298" operator="containsText" text="Problem">
      <formula>NOT(ISERROR(SEARCH(("Problem"),(B809))))</formula>
    </cfRule>
  </conditionalFormatting>
  <conditionalFormatting sqref="G359">
    <cfRule type="containsText" dxfId="0" priority="299" operator="containsText" text="Problem">
      <formula>NOT(ISERROR(SEARCH(("Problem"),(G359))))</formula>
    </cfRule>
  </conditionalFormatting>
  <conditionalFormatting sqref="G359">
    <cfRule type="containsText" dxfId="0" priority="300" operator="containsText" text="Problem">
      <formula>NOT(ISERROR(SEARCH(("Problem"),(G359))))</formula>
    </cfRule>
  </conditionalFormatting>
  <conditionalFormatting sqref="G359">
    <cfRule type="containsText" dxfId="0" priority="301" operator="containsText" text="Problem">
      <formula>NOT(ISERROR(SEARCH(("Problem"),(G359))))</formula>
    </cfRule>
  </conditionalFormatting>
  <conditionalFormatting sqref="A182:A237">
    <cfRule type="containsText" dxfId="0" priority="302" operator="containsText" text="Problem">
      <formula>NOT(ISERROR(SEARCH(("Problem"),(A182))))</formula>
    </cfRule>
  </conditionalFormatting>
  <conditionalFormatting sqref="A182:A237">
    <cfRule type="containsText" dxfId="0" priority="303" operator="containsText" text="Problem">
      <formula>NOT(ISERROR(SEARCH(("Problem"),(A182))))</formula>
    </cfRule>
  </conditionalFormatting>
  <conditionalFormatting sqref="A182:A237">
    <cfRule type="containsText" dxfId="0" priority="304" operator="containsText" text="Problem">
      <formula>NOT(ISERROR(SEARCH(("Problem"),(A182))))</formula>
    </cfRule>
  </conditionalFormatting>
  <conditionalFormatting sqref="I537:I564">
    <cfRule type="containsText" dxfId="0" priority="305" operator="containsText" text="Problem">
      <formula>NOT(ISERROR(SEARCH(("Problem"),(I537))))</formula>
    </cfRule>
  </conditionalFormatting>
  <conditionalFormatting sqref="I537:I564">
    <cfRule type="containsText" dxfId="0" priority="306" operator="containsText" text="Problem">
      <formula>NOT(ISERROR(SEARCH(("Problem"),(I537))))</formula>
    </cfRule>
  </conditionalFormatting>
  <conditionalFormatting sqref="I537:I564">
    <cfRule type="containsText" dxfId="0" priority="307" operator="containsText" text="Problem">
      <formula>NOT(ISERROR(SEARCH(("Problem"),(I537))))</formula>
    </cfRule>
  </conditionalFormatting>
  <conditionalFormatting sqref="I537:I564">
    <cfRule type="containsText" dxfId="0" priority="308" operator="containsText" text="Problem">
      <formula>NOT(ISERROR(SEARCH(("Problem"),(I537))))</formula>
    </cfRule>
  </conditionalFormatting>
  <conditionalFormatting sqref="E773:E800">
    <cfRule type="containsText" dxfId="0" priority="309" operator="containsText" text="Problem">
      <formula>NOT(ISERROR(SEARCH(("Problem"),(E773))))</formula>
    </cfRule>
  </conditionalFormatting>
  <conditionalFormatting sqref="E773:E800">
    <cfRule type="containsText" dxfId="0" priority="310" operator="containsText" text="Problem">
      <formula>NOT(ISERROR(SEARCH(("Problem"),(E773))))</formula>
    </cfRule>
  </conditionalFormatting>
  <conditionalFormatting sqref="E773:E800">
    <cfRule type="containsText" dxfId="0" priority="311" operator="containsText" text="Problem">
      <formula>NOT(ISERROR(SEARCH(("Problem"),(E773))))</formula>
    </cfRule>
  </conditionalFormatting>
  <conditionalFormatting sqref="E360:E387">
    <cfRule type="containsText" dxfId="0" priority="312" operator="containsText" text="Problem">
      <formula>NOT(ISERROR(SEARCH(("Problem"),(E360))))</formula>
    </cfRule>
  </conditionalFormatting>
  <conditionalFormatting sqref="E360:E387">
    <cfRule type="containsText" dxfId="0" priority="313" operator="containsText" text="Problem">
      <formula>NOT(ISERROR(SEARCH(("Problem"),(E360))))</formula>
    </cfRule>
  </conditionalFormatting>
  <conditionalFormatting sqref="E360:E387">
    <cfRule type="containsText" dxfId="0" priority="314" operator="containsText" text="Problem">
      <formula>NOT(ISERROR(SEARCH(("Problem"),(E360))))</formula>
    </cfRule>
  </conditionalFormatting>
  <conditionalFormatting sqref="A713:A768">
    <cfRule type="containsText" dxfId="0" priority="315" operator="containsText" text="Problem">
      <formula>NOT(ISERROR(SEARCH(("Problem"),(A713))))</formula>
    </cfRule>
  </conditionalFormatting>
  <conditionalFormatting sqref="A713:A768">
    <cfRule type="containsText" dxfId="0" priority="316" operator="containsText" text="Problem">
      <formula>NOT(ISERROR(SEARCH(("Problem"),(A713))))</formula>
    </cfRule>
  </conditionalFormatting>
  <conditionalFormatting sqref="A713:A768">
    <cfRule type="containsText" dxfId="0" priority="317" operator="containsText" text="Problem">
      <formula>NOT(ISERROR(SEARCH(("Problem"),(A713))))</formula>
    </cfRule>
  </conditionalFormatting>
  <conditionalFormatting sqref="A239 J239:P239">
    <cfRule type="containsText" dxfId="0" priority="318" operator="containsText" text="Problem">
      <formula>NOT(ISERROR(SEARCH(("Problem"),(A239))))</formula>
    </cfRule>
  </conditionalFormatting>
  <conditionalFormatting sqref="A239 J239:P239">
    <cfRule type="containsText" dxfId="0" priority="319" operator="containsText" text="Problem">
      <formula>NOT(ISERROR(SEARCH(("Problem"),(A239))))</formula>
    </cfRule>
  </conditionalFormatting>
  <conditionalFormatting sqref="A239 J239:P239">
    <cfRule type="containsText" dxfId="0" priority="320" operator="containsText" text="Problem">
      <formula>NOT(ISERROR(SEARCH(("Problem"),(A239))))</formula>
    </cfRule>
  </conditionalFormatting>
  <conditionalFormatting sqref="I832:I859">
    <cfRule type="containsText" dxfId="0" priority="321" operator="containsText" text="Problem">
      <formula>NOT(ISERROR(SEARCH(("Problem"),(I832))))</formula>
    </cfRule>
  </conditionalFormatting>
  <conditionalFormatting sqref="I832:I859">
    <cfRule type="containsText" dxfId="0" priority="322" operator="containsText" text="Problem">
      <formula>NOT(ISERROR(SEARCH(("Problem"),(I832))))</formula>
    </cfRule>
  </conditionalFormatting>
  <conditionalFormatting sqref="I832:I859">
    <cfRule type="containsText" dxfId="0" priority="323" operator="containsText" text="Problem">
      <formula>NOT(ISERROR(SEARCH(("Problem"),(I832))))</formula>
    </cfRule>
  </conditionalFormatting>
  <conditionalFormatting sqref="I832:I859">
    <cfRule type="containsText" dxfId="0" priority="324" operator="containsText" text="Problem">
      <formula>NOT(ISERROR(SEARCH(("Problem"),(I832))))</formula>
    </cfRule>
  </conditionalFormatting>
  <conditionalFormatting sqref="A121 J121:P121">
    <cfRule type="containsText" dxfId="0" priority="325" operator="containsText" text="Problem">
      <formula>NOT(ISERROR(SEARCH(("Problem"),(A121))))</formula>
    </cfRule>
  </conditionalFormatting>
  <conditionalFormatting sqref="A121 J121:P121">
    <cfRule type="containsText" dxfId="0" priority="326" operator="containsText" text="Problem">
      <formula>NOT(ISERROR(SEARCH(("Problem"),(A121))))</formula>
    </cfRule>
  </conditionalFormatting>
  <conditionalFormatting sqref="A121 J121:P121">
    <cfRule type="containsText" dxfId="0" priority="327" operator="containsText" text="Problem">
      <formula>NOT(ISERROR(SEARCH(("Problem"),(A121))))</formula>
    </cfRule>
  </conditionalFormatting>
  <conditionalFormatting sqref="G713">
    <cfRule type="containsText" dxfId="0" priority="328" operator="containsText" text="Problem">
      <formula>NOT(ISERROR(SEARCH(("Problem"),(G713))))</formula>
    </cfRule>
  </conditionalFormatting>
  <conditionalFormatting sqref="G713">
    <cfRule type="containsText" dxfId="0" priority="329" operator="containsText" text="Problem">
      <formula>NOT(ISERROR(SEARCH(("Problem"),(G713))))</formula>
    </cfRule>
  </conditionalFormatting>
  <conditionalFormatting sqref="G713">
    <cfRule type="containsText" dxfId="0" priority="330" operator="containsText" text="Problem">
      <formula>NOT(ISERROR(SEARCH(("Problem"),(G713))))</formula>
    </cfRule>
  </conditionalFormatting>
  <conditionalFormatting sqref="E6:E34">
    <cfRule type="containsText" dxfId="0" priority="331" operator="containsText" text="Problem">
      <formula>NOT(ISERROR(SEARCH(("Problem"),(E6))))</formula>
    </cfRule>
  </conditionalFormatting>
  <conditionalFormatting sqref="E6:E34">
    <cfRule type="containsText" dxfId="0" priority="332" operator="containsText" text="Problem">
      <formula>NOT(ISERROR(SEARCH(("Problem"),(E6))))</formula>
    </cfRule>
  </conditionalFormatting>
  <conditionalFormatting sqref="E6:E34">
    <cfRule type="containsText" dxfId="0" priority="333" operator="containsText" text="Problem">
      <formula>NOT(ISERROR(SEARCH(("Problem"),(E6))))</formula>
    </cfRule>
  </conditionalFormatting>
  <conditionalFormatting sqref="I596:I623">
    <cfRule type="containsText" dxfId="0" priority="334" operator="containsText" text="Problem">
      <formula>NOT(ISERROR(SEARCH(("Problem"),(I596))))</formula>
    </cfRule>
  </conditionalFormatting>
  <conditionalFormatting sqref="I596:I623">
    <cfRule type="containsText" dxfId="0" priority="335" operator="containsText" text="Problem">
      <formula>NOT(ISERROR(SEARCH(("Problem"),(I596))))</formula>
    </cfRule>
  </conditionalFormatting>
  <conditionalFormatting sqref="I596:I623">
    <cfRule type="containsText" dxfId="0" priority="336" operator="containsText" text="Problem">
      <formula>NOT(ISERROR(SEARCH(("Problem"),(I596))))</formula>
    </cfRule>
  </conditionalFormatting>
  <conditionalFormatting sqref="I596:I623">
    <cfRule type="containsText" dxfId="0" priority="337" operator="containsText" text="Problem">
      <formula>NOT(ISERROR(SEARCH(("Problem"),(I596))))</formula>
    </cfRule>
  </conditionalFormatting>
  <conditionalFormatting sqref="H654">
    <cfRule type="containsText" dxfId="0" priority="338" operator="containsText" text="Problem">
      <formula>NOT(ISERROR(SEARCH(("Problem"),(H654))))</formula>
    </cfRule>
  </conditionalFormatting>
  <conditionalFormatting sqref="H654">
    <cfRule type="containsText" dxfId="0" priority="339" operator="containsText" text="Problem">
      <formula>NOT(ISERROR(SEARCH(("Problem"),(H654))))</formula>
    </cfRule>
  </conditionalFormatting>
  <conditionalFormatting sqref="H654">
    <cfRule type="containsText" dxfId="0" priority="340" operator="containsText" text="Problem">
      <formula>NOT(ISERROR(SEARCH(("Problem"),(H654))))</formula>
    </cfRule>
  </conditionalFormatting>
  <conditionalFormatting sqref="C770 E770:I770">
    <cfRule type="containsText" dxfId="0" priority="341" operator="containsText" text="Problem">
      <formula>NOT(ISERROR(SEARCH(("Problem"),(C770))))</formula>
    </cfRule>
  </conditionalFormatting>
  <conditionalFormatting sqref="C770 E770:I770">
    <cfRule type="containsText" dxfId="0" priority="342" operator="containsText" text="Problem">
      <formula>NOT(ISERROR(SEARCH(("Problem"),(C770))))</formula>
    </cfRule>
  </conditionalFormatting>
  <conditionalFormatting sqref="C770 E770:I770">
    <cfRule type="containsText" dxfId="0" priority="343" operator="containsText" text="Problem">
      <formula>NOT(ISERROR(SEARCH(("Problem"),(C770))))</formula>
    </cfRule>
  </conditionalFormatting>
  <conditionalFormatting sqref="G65:G92">
    <cfRule type="containsText" dxfId="0" priority="344" operator="containsText" text="Problem">
      <formula>NOT(ISERROR(SEARCH(("Problem"),(G65))))</formula>
    </cfRule>
  </conditionalFormatting>
  <conditionalFormatting sqref="G65:G92">
    <cfRule type="containsText" dxfId="0" priority="345" operator="containsText" text="Problem">
      <formula>NOT(ISERROR(SEARCH(("Problem"),(G65))))</formula>
    </cfRule>
  </conditionalFormatting>
  <conditionalFormatting sqref="G65:G92">
    <cfRule type="containsText" dxfId="0" priority="346" operator="containsText" text="Problem">
      <formula>NOT(ISERROR(SEARCH(("Problem"),(G65))))</formula>
    </cfRule>
  </conditionalFormatting>
  <conditionalFormatting sqref="I477">
    <cfRule type="containsText" dxfId="0" priority="347" operator="containsText" text="Problem">
      <formula>NOT(ISERROR(SEARCH(("Problem"),(I477))))</formula>
    </cfRule>
  </conditionalFormatting>
  <conditionalFormatting sqref="I477">
    <cfRule type="containsText" dxfId="0" priority="348" operator="containsText" text="Problem">
      <formula>NOT(ISERROR(SEARCH(("Problem"),(I477))))</formula>
    </cfRule>
  </conditionalFormatting>
  <conditionalFormatting sqref="I477">
    <cfRule type="containsText" dxfId="0" priority="349" operator="containsText" text="Problem">
      <formula>NOT(ISERROR(SEARCH(("Problem"),(I477))))</formula>
    </cfRule>
  </conditionalFormatting>
  <conditionalFormatting sqref="D478:D505">
    <cfRule type="containsText" dxfId="0" priority="350" operator="containsText" text="Problem">
      <formula>NOT(ISERROR(SEARCH(("Problem"),(D478))))</formula>
    </cfRule>
  </conditionalFormatting>
  <conditionalFormatting sqref="D478:D505">
    <cfRule type="containsText" dxfId="0" priority="351" operator="containsText" text="Problem">
      <formula>NOT(ISERROR(SEARCH(("Problem"),(D478))))</formula>
    </cfRule>
  </conditionalFormatting>
  <conditionalFormatting sqref="D478:D505">
    <cfRule type="containsText" dxfId="0" priority="352" operator="containsText" text="Problem">
      <formula>NOT(ISERROR(SEARCH(("Problem"),(D478))))</formula>
    </cfRule>
  </conditionalFormatting>
  <conditionalFormatting sqref="G300">
    <cfRule type="containsText" dxfId="0" priority="353" operator="containsText" text="Problem">
      <formula>NOT(ISERROR(SEARCH(("Problem"),(G300))))</formula>
    </cfRule>
  </conditionalFormatting>
  <conditionalFormatting sqref="G300">
    <cfRule type="containsText" dxfId="0" priority="354" operator="containsText" text="Problem">
      <formula>NOT(ISERROR(SEARCH(("Problem"),(G300))))</formula>
    </cfRule>
  </conditionalFormatting>
  <conditionalFormatting sqref="G300">
    <cfRule type="containsText" dxfId="0" priority="355" operator="containsText" text="Problem">
      <formula>NOT(ISERROR(SEARCH(("Problem"),(G300))))</formula>
    </cfRule>
  </conditionalFormatting>
  <conditionalFormatting sqref="D360:D387">
    <cfRule type="containsText" dxfId="0" priority="356" operator="containsText" text="Problem">
      <formula>NOT(ISERROR(SEARCH(("Problem"),(D360))))</formula>
    </cfRule>
  </conditionalFormatting>
  <conditionalFormatting sqref="D360:D387">
    <cfRule type="containsText" dxfId="0" priority="357" operator="containsText" text="Problem">
      <formula>NOT(ISERROR(SEARCH(("Problem"),(D360))))</formula>
    </cfRule>
  </conditionalFormatting>
  <conditionalFormatting sqref="D360:D387">
    <cfRule type="containsText" dxfId="0" priority="358" operator="containsText" text="Problem">
      <formula>NOT(ISERROR(SEARCH(("Problem"),(D360))))</formula>
    </cfRule>
  </conditionalFormatting>
  <conditionalFormatting sqref="E891:I945">
    <cfRule type="containsText" dxfId="0" priority="359" operator="containsText" text="Problem">
      <formula>NOT(ISERROR(SEARCH(("Problem"),(E891))))</formula>
    </cfRule>
  </conditionalFormatting>
  <conditionalFormatting sqref="E891:I945">
    <cfRule type="containsText" dxfId="0" priority="360" operator="containsText" text="Problem">
      <formula>NOT(ISERROR(SEARCH(("Problem"),(E891))))</formula>
    </cfRule>
  </conditionalFormatting>
  <conditionalFormatting sqref="E891:I945">
    <cfRule type="containsText" dxfId="0" priority="361" operator="containsText" text="Problem">
      <formula>NOT(ISERROR(SEARCH(("Problem"),(E891))))</formula>
    </cfRule>
  </conditionalFormatting>
  <conditionalFormatting sqref="C711 E711:I711">
    <cfRule type="containsText" dxfId="0" priority="362" operator="containsText" text="Problem">
      <formula>NOT(ISERROR(SEARCH(("Problem"),(C711))))</formula>
    </cfRule>
  </conditionalFormatting>
  <conditionalFormatting sqref="C711 E711:I711">
    <cfRule type="containsText" dxfId="0" priority="363" operator="containsText" text="Problem">
      <formula>NOT(ISERROR(SEARCH(("Problem"),(C711))))</formula>
    </cfRule>
  </conditionalFormatting>
  <conditionalFormatting sqref="C711 E711:I711">
    <cfRule type="containsText" dxfId="0" priority="364" operator="containsText" text="Problem">
      <formula>NOT(ISERROR(SEARCH(("Problem"),(C711))))</formula>
    </cfRule>
  </conditionalFormatting>
  <conditionalFormatting sqref="E301:E328">
    <cfRule type="containsText" dxfId="0" priority="365" operator="containsText" text="Problem">
      <formula>NOT(ISERROR(SEARCH(("Problem"),(E301))))</formula>
    </cfRule>
  </conditionalFormatting>
  <conditionalFormatting sqref="E301:E328">
    <cfRule type="containsText" dxfId="0" priority="366" operator="containsText" text="Problem">
      <formula>NOT(ISERROR(SEARCH(("Problem"),(E301))))</formula>
    </cfRule>
  </conditionalFormatting>
  <conditionalFormatting sqref="E301:E328">
    <cfRule type="containsText" dxfId="0" priority="367" operator="containsText" text="Problem">
      <formula>NOT(ISERROR(SEARCH(("Problem"),(E301))))</formula>
    </cfRule>
  </conditionalFormatting>
  <conditionalFormatting sqref="E655:E682">
    <cfRule type="containsText" dxfId="0" priority="368" operator="containsText" text="Problem">
      <formula>NOT(ISERROR(SEARCH(("Problem"),(E655))))</formula>
    </cfRule>
  </conditionalFormatting>
  <conditionalFormatting sqref="E655:E682">
    <cfRule type="containsText" dxfId="0" priority="369" operator="containsText" text="Problem">
      <formula>NOT(ISERROR(SEARCH(("Problem"),(E655))))</formula>
    </cfRule>
  </conditionalFormatting>
  <conditionalFormatting sqref="E655:E682">
    <cfRule type="containsText" dxfId="0" priority="370" operator="containsText" text="Problem">
      <formula>NOT(ISERROR(SEARCH(("Problem"),(E655))))</formula>
    </cfRule>
  </conditionalFormatting>
  <conditionalFormatting sqref="C357 E357:I357">
    <cfRule type="containsText" dxfId="0" priority="371" operator="containsText" text="Problem">
      <formula>NOT(ISERROR(SEARCH(("Problem"),(C357))))</formula>
    </cfRule>
  </conditionalFormatting>
  <conditionalFormatting sqref="C357 E357:I357">
    <cfRule type="containsText" dxfId="0" priority="372" operator="containsText" text="Problem">
      <formula>NOT(ISERROR(SEARCH(("Problem"),(C357))))</formula>
    </cfRule>
  </conditionalFormatting>
  <conditionalFormatting sqref="C357 E357:I357">
    <cfRule type="containsText" dxfId="0" priority="373" operator="containsText" text="Problem">
      <formula>NOT(ISERROR(SEARCH(("Problem"),(C357))))</formula>
    </cfRule>
  </conditionalFormatting>
  <conditionalFormatting sqref="C62 E62:I62">
    <cfRule type="containsText" dxfId="0" priority="374" operator="containsText" text="Problem">
      <formula>NOT(ISERROR(SEARCH(("Problem"),(C62))))</formula>
    </cfRule>
  </conditionalFormatting>
  <conditionalFormatting sqref="C62 E62:I62">
    <cfRule type="containsText" dxfId="0" priority="375" operator="containsText" text="Problem">
      <formula>NOT(ISERROR(SEARCH(("Problem"),(C62))))</formula>
    </cfRule>
  </conditionalFormatting>
  <conditionalFormatting sqref="C62 E62:I62">
    <cfRule type="containsText" dxfId="0" priority="376" operator="containsText" text="Problem">
      <formula>NOT(ISERROR(SEARCH(("Problem"),(C62))))</formula>
    </cfRule>
  </conditionalFormatting>
  <conditionalFormatting sqref="C652 E652:I652">
    <cfRule type="containsText" dxfId="0" priority="377" operator="containsText" text="Problem">
      <formula>NOT(ISERROR(SEARCH(("Problem"),(C652))))</formula>
    </cfRule>
  </conditionalFormatting>
  <conditionalFormatting sqref="C652 E652:I652">
    <cfRule type="containsText" dxfId="0" priority="378" operator="containsText" text="Problem">
      <formula>NOT(ISERROR(SEARCH(("Problem"),(C652))))</formula>
    </cfRule>
  </conditionalFormatting>
  <conditionalFormatting sqref="C652 E652:I652">
    <cfRule type="containsText" dxfId="0" priority="379" operator="containsText" text="Problem">
      <formula>NOT(ISERROR(SEARCH(("Problem"),(C652))))</formula>
    </cfRule>
  </conditionalFormatting>
  <conditionalFormatting sqref="I123">
    <cfRule type="containsText" dxfId="0" priority="380" operator="containsText" text="Problem">
      <formula>NOT(ISERROR(SEARCH(("Problem"),(I123))))</formula>
    </cfRule>
  </conditionalFormatting>
  <conditionalFormatting sqref="I123">
    <cfRule type="containsText" dxfId="0" priority="381" operator="containsText" text="Problem">
      <formula>NOT(ISERROR(SEARCH(("Problem"),(I123))))</formula>
    </cfRule>
  </conditionalFormatting>
  <conditionalFormatting sqref="I123">
    <cfRule type="containsText" dxfId="0" priority="382" operator="containsText" text="Problem">
      <formula>NOT(ISERROR(SEARCH(("Problem"),(I123))))</formula>
    </cfRule>
  </conditionalFormatting>
  <conditionalFormatting sqref="F183:F210">
    <cfRule type="containsText" dxfId="0" priority="383" operator="containsText" text="Problem">
      <formula>NOT(ISERROR(SEARCH(("Problem"),(F183))))</formula>
    </cfRule>
  </conditionalFormatting>
  <conditionalFormatting sqref="F183:F210">
    <cfRule type="containsText" dxfId="0" priority="384" operator="containsText" text="Problem">
      <formula>NOT(ISERROR(SEARCH(("Problem"),(F183))))</formula>
    </cfRule>
  </conditionalFormatting>
  <conditionalFormatting sqref="F183:F210">
    <cfRule type="containsText" dxfId="0" priority="385" operator="containsText" text="Problem">
      <formula>NOT(ISERROR(SEARCH(("Problem"),(F183))))</formula>
    </cfRule>
  </conditionalFormatting>
  <conditionalFormatting sqref="A889:C889 A946:P946 D889:D890 E889:I889 J889:P890 K891:P945">
    <cfRule type="containsText" dxfId="0" priority="386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387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388" operator="containsText" text="Problem">
      <formula>NOT(ISERROR(SEARCH(("Problem"),(A889))))</formula>
    </cfRule>
  </conditionalFormatting>
  <conditionalFormatting sqref="D772">
    <cfRule type="containsText" dxfId="0" priority="389" operator="containsText" text="Problem">
      <formula>NOT(ISERROR(SEARCH(("Problem"),(D772))))</formula>
    </cfRule>
  </conditionalFormatting>
  <conditionalFormatting sqref="A831:A886">
    <cfRule type="containsText" dxfId="0" priority="390" operator="containsText" text="Problem">
      <formula>NOT(ISERROR(SEARCH(("Problem"),(A831))))</formula>
    </cfRule>
  </conditionalFormatting>
  <conditionalFormatting sqref="A831:A886">
    <cfRule type="containsText" dxfId="0" priority="391" operator="containsText" text="Problem">
      <formula>NOT(ISERROR(SEARCH(("Problem"),(A831))))</formula>
    </cfRule>
  </conditionalFormatting>
  <conditionalFormatting sqref="A831:A886">
    <cfRule type="containsText" dxfId="0" priority="392" operator="containsText" text="Problem">
      <formula>NOT(ISERROR(SEARCH(("Problem"),(A831))))</formula>
    </cfRule>
  </conditionalFormatting>
  <conditionalFormatting sqref="B868:C868 B880:B883 B885:C886 C837:C867 C877:C883">
    <cfRule type="containsText" dxfId="0" priority="393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394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395" operator="containsText" text="Problem">
      <formula>NOT(ISERROR(SEARCH(("Problem"),(B868))))</formula>
    </cfRule>
  </conditionalFormatting>
  <conditionalFormatting sqref="I183:I210">
    <cfRule type="containsText" dxfId="0" priority="396" operator="containsText" text="Problem">
      <formula>NOT(ISERROR(SEARCH(("Problem"),(I183))))</formula>
    </cfRule>
  </conditionalFormatting>
  <conditionalFormatting sqref="I183:I210">
    <cfRule type="containsText" dxfId="0" priority="397" operator="containsText" text="Problem">
      <formula>NOT(ISERROR(SEARCH(("Problem"),(I183))))</formula>
    </cfRule>
  </conditionalFormatting>
  <conditionalFormatting sqref="I183:I210">
    <cfRule type="containsText" dxfId="0" priority="398" operator="containsText" text="Problem">
      <formula>NOT(ISERROR(SEARCH(("Problem"),(I183))))</formula>
    </cfRule>
  </conditionalFormatting>
  <conditionalFormatting sqref="I183:I210">
    <cfRule type="containsText" dxfId="0" priority="399" operator="containsText" text="Problem">
      <formula>NOT(ISERROR(SEARCH(("Problem"),(I183))))</formula>
    </cfRule>
  </conditionalFormatting>
  <conditionalFormatting sqref="G5">
    <cfRule type="containsText" dxfId="0" priority="400" operator="containsText" text="Problem">
      <formula>NOT(ISERROR(SEARCH(("Problem"),(G5))))</formula>
    </cfRule>
  </conditionalFormatting>
  <conditionalFormatting sqref="G5">
    <cfRule type="containsText" dxfId="0" priority="401" operator="containsText" text="Problem">
      <formula>NOT(ISERROR(SEARCH(("Problem"),(G5))))</formula>
    </cfRule>
  </conditionalFormatting>
  <conditionalFormatting sqref="G5">
    <cfRule type="containsText" dxfId="0" priority="402" operator="containsText" text="Problem">
      <formula>NOT(ISERROR(SEARCH(("Problem"),(G5))))</formula>
    </cfRule>
  </conditionalFormatting>
  <conditionalFormatting sqref="F596:F623">
    <cfRule type="containsText" dxfId="0" priority="403" operator="containsText" text="Problem">
      <formula>NOT(ISERROR(SEARCH(("Problem"),(F596))))</formula>
    </cfRule>
  </conditionalFormatting>
  <conditionalFormatting sqref="F596:F623">
    <cfRule type="containsText" dxfId="0" priority="404" operator="containsText" text="Problem">
      <formula>NOT(ISERROR(SEARCH(("Problem"),(F596))))</formula>
    </cfRule>
  </conditionalFormatting>
  <conditionalFormatting sqref="F596:F623">
    <cfRule type="containsText" dxfId="0" priority="405" operator="containsText" text="Problem">
      <formula>NOT(ISERROR(SEARCH(("Problem"),(F596))))</formula>
    </cfRule>
  </conditionalFormatting>
  <conditionalFormatting sqref="I419:I446">
    <cfRule type="containsText" dxfId="0" priority="406" operator="containsText" text="Problem">
      <formula>NOT(ISERROR(SEARCH(("Problem"),(I419))))</formula>
    </cfRule>
  </conditionalFormatting>
  <conditionalFormatting sqref="I419:I446">
    <cfRule type="containsText" dxfId="0" priority="407" operator="containsText" text="Problem">
      <formula>NOT(ISERROR(SEARCH(("Problem"),(I419))))</formula>
    </cfRule>
  </conditionalFormatting>
  <conditionalFormatting sqref="I419:I446">
    <cfRule type="containsText" dxfId="0" priority="408" operator="containsText" text="Problem">
      <formula>NOT(ISERROR(SEARCH(("Problem"),(I419))))</formula>
    </cfRule>
  </conditionalFormatting>
  <conditionalFormatting sqref="I419:I446">
    <cfRule type="containsText" dxfId="0" priority="409" operator="containsText" text="Problem">
      <formula>NOT(ISERROR(SEARCH(("Problem"),(I419))))</formula>
    </cfRule>
  </conditionalFormatting>
  <conditionalFormatting sqref="I5">
    <cfRule type="containsText" dxfId="0" priority="410" operator="containsText" text="Problem">
      <formula>NOT(ISERROR(SEARCH(("Problem"),(I5))))</formula>
    </cfRule>
  </conditionalFormatting>
  <conditionalFormatting sqref="I5">
    <cfRule type="containsText" dxfId="0" priority="411" operator="containsText" text="Problem">
      <formula>NOT(ISERROR(SEARCH(("Problem"),(I5))))</formula>
    </cfRule>
  </conditionalFormatting>
  <conditionalFormatting sqref="I5">
    <cfRule type="containsText" dxfId="0" priority="412" operator="containsText" text="Problem">
      <formula>NOT(ISERROR(SEARCH(("Problem"),(I5))))</formula>
    </cfRule>
  </conditionalFormatting>
  <conditionalFormatting sqref="I182">
    <cfRule type="containsText" dxfId="0" priority="413" operator="containsText" text="Problem">
      <formula>NOT(ISERROR(SEARCH(("Problem"),(I182))))</formula>
    </cfRule>
  </conditionalFormatting>
  <conditionalFormatting sqref="I182">
    <cfRule type="containsText" dxfId="0" priority="414" operator="containsText" text="Problem">
      <formula>NOT(ISERROR(SEARCH(("Problem"),(I182))))</formula>
    </cfRule>
  </conditionalFormatting>
  <conditionalFormatting sqref="I182">
    <cfRule type="containsText" dxfId="0" priority="415" operator="containsText" text="Problem">
      <formula>NOT(ISERROR(SEARCH(("Problem"),(I182))))</formula>
    </cfRule>
  </conditionalFormatting>
  <conditionalFormatting sqref="F832:F859">
    <cfRule type="containsText" dxfId="0" priority="416" operator="containsText" text="Problem">
      <formula>NOT(ISERROR(SEARCH(("Problem"),(F832))))</formula>
    </cfRule>
  </conditionalFormatting>
  <conditionalFormatting sqref="F832:F859">
    <cfRule type="containsText" dxfId="0" priority="417" operator="containsText" text="Problem">
      <formula>NOT(ISERROR(SEARCH(("Problem"),(F832))))</formula>
    </cfRule>
  </conditionalFormatting>
  <conditionalFormatting sqref="F832:F859">
    <cfRule type="containsText" dxfId="0" priority="418" operator="containsText" text="Problem">
      <formula>NOT(ISERROR(SEARCH(("Problem"),(F832))))</formula>
    </cfRule>
  </conditionalFormatting>
  <conditionalFormatting sqref="D388:D412">
    <cfRule type="containsText" dxfId="0" priority="419" operator="containsText" text="Problem">
      <formula>NOT(ISERROR(SEARCH(("Problem"),(D388))))</formula>
    </cfRule>
  </conditionalFormatting>
  <conditionalFormatting sqref="D388:D412">
    <cfRule type="containsText" dxfId="0" priority="420" operator="containsText" text="Problem">
      <formula>NOT(ISERROR(SEARCH(("Problem"),(D388))))</formula>
    </cfRule>
  </conditionalFormatting>
  <conditionalFormatting sqref="H183:H210">
    <cfRule type="containsText" dxfId="0" priority="421" operator="containsText" text="Problem">
      <formula>NOT(ISERROR(SEARCH(("Problem"),(H183))))</formula>
    </cfRule>
  </conditionalFormatting>
  <conditionalFormatting sqref="H183:H210">
    <cfRule type="containsText" dxfId="0" priority="422" operator="containsText" text="Problem">
      <formula>NOT(ISERROR(SEARCH(("Problem"),(H183))))</formula>
    </cfRule>
  </conditionalFormatting>
  <conditionalFormatting sqref="H183:H210">
    <cfRule type="containsText" dxfId="0" priority="423" operator="containsText" text="Problem">
      <formula>NOT(ISERROR(SEARCH(("Problem"),(H183))))</formula>
    </cfRule>
  </conditionalFormatting>
  <conditionalFormatting sqref="B691:C691 B703:B706 B708:C709 C660:C690 C700:C706">
    <cfRule type="containsText" dxfId="0" priority="424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425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426" operator="containsText" text="Problem">
      <formula>NOT(ISERROR(SEARCH(("Problem"),(B691))))</formula>
    </cfRule>
  </conditionalFormatting>
  <conditionalFormatting sqref="D118:D119 E93:H119">
    <cfRule type="containsText" dxfId="0" priority="427" operator="containsText" text="Problem">
      <formula>NOT(ISERROR(SEARCH(("Problem"),(D118))))</formula>
    </cfRule>
  </conditionalFormatting>
  <conditionalFormatting sqref="D118:D119 E93:H119">
    <cfRule type="containsText" dxfId="0" priority="428" operator="containsText" text="Problem">
      <formula>NOT(ISERROR(SEARCH(("Problem"),(D118))))</formula>
    </cfRule>
  </conditionalFormatting>
  <conditionalFormatting sqref="D118:D119 E93:H119">
    <cfRule type="containsText" dxfId="0" priority="429" operator="containsText" text="Problem">
      <formula>NOT(ISERROR(SEARCH(("Problem"),(D118))))</formula>
    </cfRule>
  </conditionalFormatting>
  <conditionalFormatting sqref="A653:I653 A710:H710 I683:I710 J653:P710">
    <cfRule type="containsText" dxfId="0" priority="430" operator="containsText" text="Problem">
      <formula>NOT(ISERROR(SEARCH(("Problem"),(A653))))</formula>
    </cfRule>
  </conditionalFormatting>
  <conditionalFormatting sqref="A653:I653 A710:H710 I683:I710 J653:P710">
    <cfRule type="containsText" dxfId="0" priority="431" operator="containsText" text="Problem">
      <formula>NOT(ISERROR(SEARCH(("Problem"),(A653))))</formula>
    </cfRule>
  </conditionalFormatting>
  <conditionalFormatting sqref="A653:I653 A710:H710 I683:I710 J653:P710">
    <cfRule type="containsText" dxfId="0" priority="432" operator="containsText" text="Problem">
      <formula>NOT(ISERROR(SEARCH(("Problem"),(A653))))</formula>
    </cfRule>
  </conditionalFormatting>
  <conditionalFormatting sqref="E832:E859">
    <cfRule type="containsText" dxfId="0" priority="433" operator="containsText" text="Problem">
      <formula>NOT(ISERROR(SEARCH(("Problem"),(E832))))</formula>
    </cfRule>
  </conditionalFormatting>
  <conditionalFormatting sqref="E832:E859">
    <cfRule type="containsText" dxfId="0" priority="434" operator="containsText" text="Problem">
      <formula>NOT(ISERROR(SEARCH(("Problem"),(E832))))</formula>
    </cfRule>
  </conditionalFormatting>
  <conditionalFormatting sqref="E832:E859">
    <cfRule type="containsText" dxfId="0" priority="435" operator="containsText" text="Problem">
      <formula>NOT(ISERROR(SEARCH(("Problem"),(E832))))</formula>
    </cfRule>
  </conditionalFormatting>
  <conditionalFormatting sqref="D531:D532 E506:H532">
    <cfRule type="containsText" dxfId="0" priority="436" operator="containsText" text="Problem">
      <formula>NOT(ISERROR(SEARCH(("Problem"),(D531))))</formula>
    </cfRule>
  </conditionalFormatting>
  <conditionalFormatting sqref="D531:D532 E506:H532">
    <cfRule type="containsText" dxfId="0" priority="437" operator="containsText" text="Problem">
      <formula>NOT(ISERROR(SEARCH(("Problem"),(D531))))</formula>
    </cfRule>
  </conditionalFormatting>
  <conditionalFormatting sqref="D531:D532 E506:H532">
    <cfRule type="containsText" dxfId="0" priority="438" operator="containsText" text="Problem">
      <formula>NOT(ISERROR(SEARCH(("Problem"),(D531))))</formula>
    </cfRule>
  </conditionalFormatting>
  <conditionalFormatting sqref="H714:H741">
    <cfRule type="containsText" dxfId="0" priority="439" operator="containsText" text="Problem">
      <formula>NOT(ISERROR(SEARCH(("Problem"),(H714))))</formula>
    </cfRule>
  </conditionalFormatting>
  <conditionalFormatting sqref="H714:H741">
    <cfRule type="containsText" dxfId="0" priority="440" operator="containsText" text="Problem">
      <formula>NOT(ISERROR(SEARCH(("Problem"),(H714))))</formula>
    </cfRule>
  </conditionalFormatting>
  <conditionalFormatting sqref="H714:H741">
    <cfRule type="containsText" dxfId="0" priority="441" operator="containsText" text="Problem">
      <formula>NOT(ISERROR(SEARCH(("Problem"),(H714))))</formula>
    </cfRule>
  </conditionalFormatting>
  <conditionalFormatting sqref="F714:F741">
    <cfRule type="containsText" dxfId="0" priority="442" operator="containsText" text="Problem">
      <formula>NOT(ISERROR(SEARCH(("Problem"),(F714))))</formula>
    </cfRule>
  </conditionalFormatting>
  <conditionalFormatting sqref="F714:F741">
    <cfRule type="containsText" dxfId="0" priority="443" operator="containsText" text="Problem">
      <formula>NOT(ISERROR(SEARCH(("Problem"),(F714))))</formula>
    </cfRule>
  </conditionalFormatting>
  <conditionalFormatting sqref="F714:F741">
    <cfRule type="containsText" dxfId="0" priority="444" operator="containsText" text="Problem">
      <formula>NOT(ISERROR(SEARCH(("Problem"),(F714))))</formula>
    </cfRule>
  </conditionalFormatting>
  <conditionalFormatting sqref="D300">
    <cfRule type="containsText" dxfId="0" priority="445" operator="containsText" text="Problem">
      <formula>NOT(ISERROR(SEARCH(("Problem"),(D300))))</formula>
    </cfRule>
  </conditionalFormatting>
  <conditionalFormatting sqref="A64:A119">
    <cfRule type="containsText" dxfId="0" priority="446" operator="containsText" text="Problem">
      <formula>NOT(ISERROR(SEARCH(("Problem"),(A64))))</formula>
    </cfRule>
  </conditionalFormatting>
  <conditionalFormatting sqref="A64:A119">
    <cfRule type="containsText" dxfId="0" priority="447" operator="containsText" text="Problem">
      <formula>NOT(ISERROR(SEARCH(("Problem"),(A64))))</formula>
    </cfRule>
  </conditionalFormatting>
  <conditionalFormatting sqref="A64:A119">
    <cfRule type="containsText" dxfId="0" priority="448" operator="containsText" text="Problem">
      <formula>NOT(ISERROR(SEARCH(("Problem"),(A64))))</formula>
    </cfRule>
  </conditionalFormatting>
  <conditionalFormatting sqref="D655:D682">
    <cfRule type="containsText" dxfId="0" priority="449" operator="containsText" text="Problem">
      <formula>NOT(ISERROR(SEARCH(("Problem"),(D655))))</formula>
    </cfRule>
  </conditionalFormatting>
  <conditionalFormatting sqref="D655:D682">
    <cfRule type="containsText" dxfId="0" priority="450" operator="containsText" text="Problem">
      <formula>NOT(ISERROR(SEARCH(("Problem"),(D655))))</formula>
    </cfRule>
  </conditionalFormatting>
  <conditionalFormatting sqref="D655:D682">
    <cfRule type="containsText" dxfId="0" priority="451" operator="containsText" text="Problem">
      <formula>NOT(ISERROR(SEARCH(("Problem"),(D655))))</formula>
    </cfRule>
  </conditionalFormatting>
  <conditionalFormatting sqref="F5">
    <cfRule type="containsText" dxfId="0" priority="452" operator="containsText" text="Problem">
      <formula>NOT(ISERROR(SEARCH(("Problem"),(F5))))</formula>
    </cfRule>
  </conditionalFormatting>
  <conditionalFormatting sqref="F5">
    <cfRule type="containsText" dxfId="0" priority="453" operator="containsText" text="Problem">
      <formula>NOT(ISERROR(SEARCH(("Problem"),(F5))))</formula>
    </cfRule>
  </conditionalFormatting>
  <conditionalFormatting sqref="F5">
    <cfRule type="containsText" dxfId="0" priority="454" operator="containsText" text="Problem">
      <formula>NOT(ISERROR(SEARCH(("Problem"),(F5))))</formula>
    </cfRule>
  </conditionalFormatting>
  <conditionalFormatting sqref="E182">
    <cfRule type="containsText" dxfId="0" priority="455" operator="containsText" text="Problem">
      <formula>NOT(ISERROR(SEARCH(("Problem"),(E182))))</formula>
    </cfRule>
  </conditionalFormatting>
  <conditionalFormatting sqref="E182">
    <cfRule type="containsText" dxfId="0" priority="456" operator="containsText" text="Problem">
      <formula>NOT(ISERROR(SEARCH(("Problem"),(E182))))</formula>
    </cfRule>
  </conditionalFormatting>
  <conditionalFormatting sqref="E182">
    <cfRule type="containsText" dxfId="0" priority="457" operator="containsText" text="Problem">
      <formula>NOT(ISERROR(SEARCH(("Problem"),(E182))))</formula>
    </cfRule>
  </conditionalFormatting>
  <conditionalFormatting sqref="H713">
    <cfRule type="containsText" dxfId="0" priority="458" operator="containsText" text="Problem">
      <formula>NOT(ISERROR(SEARCH(("Problem"),(H713))))</formula>
    </cfRule>
  </conditionalFormatting>
  <conditionalFormatting sqref="H713">
    <cfRule type="containsText" dxfId="0" priority="459" operator="containsText" text="Problem">
      <formula>NOT(ISERROR(SEARCH(("Problem"),(H713))))</formula>
    </cfRule>
  </conditionalFormatting>
  <conditionalFormatting sqref="H713">
    <cfRule type="containsText" dxfId="0" priority="460" operator="containsText" text="Problem">
      <formula>NOT(ISERROR(SEARCH(("Problem"),(H713))))</formula>
    </cfRule>
  </conditionalFormatting>
  <conditionalFormatting sqref="A654:A709">
    <cfRule type="containsText" dxfId="0" priority="461" operator="containsText" text="Problem">
      <formula>NOT(ISERROR(SEARCH(("Problem"),(A654))))</formula>
    </cfRule>
  </conditionalFormatting>
  <conditionalFormatting sqref="A654:A709">
    <cfRule type="containsText" dxfId="0" priority="462" operator="containsText" text="Problem">
      <formula>NOT(ISERROR(SEARCH(("Problem"),(A654))))</formula>
    </cfRule>
  </conditionalFormatting>
  <conditionalFormatting sqref="A654:A709">
    <cfRule type="containsText" dxfId="0" priority="463" operator="containsText" text="Problem">
      <formula>NOT(ISERROR(SEARCH(("Problem"),(A654))))</formula>
    </cfRule>
  </conditionalFormatting>
  <conditionalFormatting sqref="G64">
    <cfRule type="containsText" dxfId="0" priority="464" operator="containsText" text="Problem">
      <formula>NOT(ISERROR(SEARCH(("Problem"),(G64))))</formula>
    </cfRule>
  </conditionalFormatting>
  <conditionalFormatting sqref="G64">
    <cfRule type="containsText" dxfId="0" priority="465" operator="containsText" text="Problem">
      <formula>NOT(ISERROR(SEARCH(("Problem"),(G64))))</formula>
    </cfRule>
  </conditionalFormatting>
  <conditionalFormatting sqref="G64">
    <cfRule type="containsText" dxfId="0" priority="466" operator="containsText" text="Problem">
      <formula>NOT(ISERROR(SEARCH(("Problem"),(G64))))</formula>
    </cfRule>
  </conditionalFormatting>
  <conditionalFormatting sqref="I6:I34">
    <cfRule type="containsText" dxfId="0" priority="467" operator="containsText" text="Problem">
      <formula>NOT(ISERROR(SEARCH(("Problem"),(I6))))</formula>
    </cfRule>
  </conditionalFormatting>
  <conditionalFormatting sqref="I6:I34">
    <cfRule type="containsText" dxfId="0" priority="468" operator="containsText" text="Problem">
      <formula>NOT(ISERROR(SEARCH(("Problem"),(I6))))</formula>
    </cfRule>
  </conditionalFormatting>
  <conditionalFormatting sqref="I6:I34">
    <cfRule type="containsText" dxfId="0" priority="469" operator="containsText" text="Problem">
      <formula>NOT(ISERROR(SEARCH(("Problem"),(I6))))</formula>
    </cfRule>
  </conditionalFormatting>
  <conditionalFormatting sqref="I6:I34">
    <cfRule type="containsText" dxfId="0" priority="470" operator="containsText" text="Problem">
      <formula>NOT(ISERROR(SEARCH(("Problem"),(I6))))</formula>
    </cfRule>
  </conditionalFormatting>
  <conditionalFormatting sqref="I6:I34">
    <cfRule type="containsText" dxfId="0" priority="471" operator="containsText" text="Problem">
      <formula>NOT(ISERROR(SEARCH(("Problem"),(I6))))</formula>
    </cfRule>
  </conditionalFormatting>
  <conditionalFormatting sqref="I6:I34">
    <cfRule type="containsText" dxfId="0" priority="472" operator="containsText" text="Problem">
      <formula>NOT(ISERROR(SEARCH(("Problem"),(I6))))</formula>
    </cfRule>
  </conditionalFormatting>
  <conditionalFormatting sqref="D831">
    <cfRule type="containsText" dxfId="0" priority="473" operator="containsText" text="Problem">
      <formula>NOT(ISERROR(SEARCH(("Problem"),(D831))))</formula>
    </cfRule>
  </conditionalFormatting>
  <conditionalFormatting sqref="D506:D530">
    <cfRule type="containsText" dxfId="0" priority="474" operator="containsText" text="Problem">
      <formula>NOT(ISERROR(SEARCH(("Problem"),(D506))))</formula>
    </cfRule>
  </conditionalFormatting>
  <conditionalFormatting sqref="D506:D530">
    <cfRule type="containsText" dxfId="0" priority="475" operator="containsText" text="Problem">
      <formula>NOT(ISERROR(SEARCH(("Problem"),(D506))))</formula>
    </cfRule>
  </conditionalFormatting>
  <conditionalFormatting sqref="E831">
    <cfRule type="containsText" dxfId="0" priority="476" operator="containsText" text="Problem">
      <formula>NOT(ISERROR(SEARCH(("Problem"),(E831))))</formula>
    </cfRule>
  </conditionalFormatting>
  <conditionalFormatting sqref="E831">
    <cfRule type="containsText" dxfId="0" priority="477" operator="containsText" text="Problem">
      <formula>NOT(ISERROR(SEARCH(("Problem"),(E831))))</formula>
    </cfRule>
  </conditionalFormatting>
  <conditionalFormatting sqref="E831">
    <cfRule type="containsText" dxfId="0" priority="478" operator="containsText" text="Problem">
      <formula>NOT(ISERROR(SEARCH(("Problem"),(E831))))</formula>
    </cfRule>
  </conditionalFormatting>
  <conditionalFormatting sqref="I418">
    <cfRule type="containsText" dxfId="0" priority="479" operator="containsText" text="Problem">
      <formula>NOT(ISERROR(SEARCH(("Problem"),(I418))))</formula>
    </cfRule>
  </conditionalFormatting>
  <conditionalFormatting sqref="I418">
    <cfRule type="containsText" dxfId="0" priority="480" operator="containsText" text="Problem">
      <formula>NOT(ISERROR(SEARCH(("Problem"),(I418))))</formula>
    </cfRule>
  </conditionalFormatting>
  <conditionalFormatting sqref="I418">
    <cfRule type="containsText" dxfId="0" priority="481" operator="containsText" text="Problem">
      <formula>NOT(ISERROR(SEARCH(("Problem"),(I418))))</formula>
    </cfRule>
  </conditionalFormatting>
  <conditionalFormatting sqref="H124:H151">
    <cfRule type="containsText" dxfId="0" priority="482" operator="containsText" text="Problem">
      <formula>NOT(ISERROR(SEARCH(("Problem"),(H124))))</formula>
    </cfRule>
  </conditionalFormatting>
  <conditionalFormatting sqref="H124:H151">
    <cfRule type="containsText" dxfId="0" priority="483" operator="containsText" text="Problem">
      <formula>NOT(ISERROR(SEARCH(("Problem"),(H124))))</formula>
    </cfRule>
  </conditionalFormatting>
  <conditionalFormatting sqref="H124:H151">
    <cfRule type="containsText" dxfId="0" priority="484" operator="containsText" text="Problem">
      <formula>NOT(ISERROR(SEARCH(("Problem"),(H124))))</formula>
    </cfRule>
  </conditionalFormatting>
  <conditionalFormatting sqref="H300">
    <cfRule type="containsText" dxfId="0" priority="485" operator="containsText" text="Problem">
      <formula>NOT(ISERROR(SEARCH(("Problem"),(H300))))</formula>
    </cfRule>
  </conditionalFormatting>
  <conditionalFormatting sqref="H300">
    <cfRule type="containsText" dxfId="0" priority="486" operator="containsText" text="Problem">
      <formula>NOT(ISERROR(SEARCH(("Problem"),(H300))))</formula>
    </cfRule>
  </conditionalFormatting>
  <conditionalFormatting sqref="H300">
    <cfRule type="containsText" dxfId="0" priority="487" operator="containsText" text="Problem">
      <formula>NOT(ISERROR(SEARCH(("Problem"),(H300))))</formula>
    </cfRule>
  </conditionalFormatting>
  <conditionalFormatting sqref="I300">
    <cfRule type="containsText" dxfId="0" priority="488" operator="containsText" text="Problem">
      <formula>NOT(ISERROR(SEARCH(("Problem"),(I300))))</formula>
    </cfRule>
  </conditionalFormatting>
  <conditionalFormatting sqref="I300">
    <cfRule type="containsText" dxfId="0" priority="489" operator="containsText" text="Problem">
      <formula>NOT(ISERROR(SEARCH(("Problem"),(I300))))</formula>
    </cfRule>
  </conditionalFormatting>
  <conditionalFormatting sqref="I300">
    <cfRule type="containsText" dxfId="0" priority="490" operator="containsText" text="Problem">
      <formula>NOT(ISERROR(SEARCH(("Problem"),(I300))))</formula>
    </cfRule>
  </conditionalFormatting>
  <conditionalFormatting sqref="F537:F564">
    <cfRule type="containsText" dxfId="0" priority="491" operator="containsText" text="Problem">
      <formula>NOT(ISERROR(SEARCH(("Problem"),(F537))))</formula>
    </cfRule>
  </conditionalFormatting>
  <conditionalFormatting sqref="F537:F564">
    <cfRule type="containsText" dxfId="0" priority="492" operator="containsText" text="Problem">
      <formula>NOT(ISERROR(SEARCH(("Problem"),(F537))))</formula>
    </cfRule>
  </conditionalFormatting>
  <conditionalFormatting sqref="F537:F564">
    <cfRule type="containsText" dxfId="0" priority="493" operator="containsText" text="Problem">
      <formula>NOT(ISERROR(SEARCH(("Problem"),(F537))))</formula>
    </cfRule>
  </conditionalFormatting>
  <conditionalFormatting sqref="E536">
    <cfRule type="containsText" dxfId="0" priority="494" operator="containsText" text="Problem">
      <formula>NOT(ISERROR(SEARCH(("Problem"),(E536))))</formula>
    </cfRule>
  </conditionalFormatting>
  <conditionalFormatting sqref="E536">
    <cfRule type="containsText" dxfId="0" priority="495" operator="containsText" text="Problem">
      <formula>NOT(ISERROR(SEARCH(("Problem"),(E536))))</formula>
    </cfRule>
  </conditionalFormatting>
  <conditionalFormatting sqref="E536">
    <cfRule type="containsText" dxfId="0" priority="496" operator="containsText" text="Problem">
      <formula>NOT(ISERROR(SEARCH(("Problem"),(E536))))</formula>
    </cfRule>
  </conditionalFormatting>
  <conditionalFormatting sqref="G595">
    <cfRule type="containsText" dxfId="0" priority="497" operator="containsText" text="Problem">
      <formula>NOT(ISERROR(SEARCH(("Problem"),(G595))))</formula>
    </cfRule>
  </conditionalFormatting>
  <conditionalFormatting sqref="G595">
    <cfRule type="containsText" dxfId="0" priority="498" operator="containsText" text="Problem">
      <formula>NOT(ISERROR(SEARCH(("Problem"),(G595))))</formula>
    </cfRule>
  </conditionalFormatting>
  <conditionalFormatting sqref="G595">
    <cfRule type="containsText" dxfId="0" priority="499" operator="containsText" text="Problem">
      <formula>NOT(ISERROR(SEARCH(("Problem"),(G595))))</formula>
    </cfRule>
  </conditionalFormatting>
  <conditionalFormatting sqref="D241">
    <cfRule type="containsText" dxfId="0" priority="500" operator="containsText" text="Problem">
      <formula>NOT(ISERROR(SEARCH(("Problem"),(D241))))</formula>
    </cfRule>
  </conditionalFormatting>
  <conditionalFormatting sqref="F477">
    <cfRule type="containsText" dxfId="0" priority="501" operator="containsText" text="Problem">
      <formula>NOT(ISERROR(SEARCH(("Problem"),(F477))))</formula>
    </cfRule>
  </conditionalFormatting>
  <conditionalFormatting sqref="F477">
    <cfRule type="containsText" dxfId="0" priority="502" operator="containsText" text="Problem">
      <formula>NOT(ISERROR(SEARCH(("Problem"),(F477))))</formula>
    </cfRule>
  </conditionalFormatting>
  <conditionalFormatting sqref="F477">
    <cfRule type="containsText" dxfId="0" priority="503" operator="containsText" text="Problem">
      <formula>NOT(ISERROR(SEARCH(("Problem"),(F477))))</formula>
    </cfRule>
  </conditionalFormatting>
  <conditionalFormatting sqref="H478:H505">
    <cfRule type="containsText" dxfId="0" priority="504" operator="containsText" text="Problem">
      <formula>NOT(ISERROR(SEARCH(("Problem"),(H478))))</formula>
    </cfRule>
  </conditionalFormatting>
  <conditionalFormatting sqref="H478:H505">
    <cfRule type="containsText" dxfId="0" priority="505" operator="containsText" text="Problem">
      <formula>NOT(ISERROR(SEARCH(("Problem"),(H478))))</formula>
    </cfRule>
  </conditionalFormatting>
  <conditionalFormatting sqref="H478:H505">
    <cfRule type="containsText" dxfId="0" priority="506" operator="containsText" text="Problem">
      <formula>NOT(ISERROR(SEARCH(("Problem"),(H478))))</formula>
    </cfRule>
  </conditionalFormatting>
  <conditionalFormatting sqref="G596:G623">
    <cfRule type="containsText" dxfId="0" priority="507" operator="containsText" text="Problem">
      <formula>NOT(ISERROR(SEARCH(("Problem"),(G596))))</formula>
    </cfRule>
  </conditionalFormatting>
  <conditionalFormatting sqref="G596:G623">
    <cfRule type="containsText" dxfId="0" priority="508" operator="containsText" text="Problem">
      <formula>NOT(ISERROR(SEARCH(("Problem"),(G596))))</formula>
    </cfRule>
  </conditionalFormatting>
  <conditionalFormatting sqref="G596:G623">
    <cfRule type="containsText" dxfId="0" priority="509" operator="containsText" text="Problem">
      <formula>NOT(ISERROR(SEARCH(("Problem"),(G596))))</formula>
    </cfRule>
  </conditionalFormatting>
  <conditionalFormatting sqref="A475 J475:P475">
    <cfRule type="containsText" dxfId="0" priority="510" operator="containsText" text="Problem">
      <formula>NOT(ISERROR(SEARCH(("Problem"),(A475))))</formula>
    </cfRule>
  </conditionalFormatting>
  <conditionalFormatting sqref="A475 J475:P475">
    <cfRule type="containsText" dxfId="0" priority="511" operator="containsText" text="Problem">
      <formula>NOT(ISERROR(SEARCH(("Problem"),(A475))))</formula>
    </cfRule>
  </conditionalFormatting>
  <conditionalFormatting sqref="A475 J475:P475">
    <cfRule type="containsText" dxfId="0" priority="512" operator="containsText" text="Problem">
      <formula>NOT(ISERROR(SEARCH(("Problem"),(A475))))</formula>
    </cfRule>
  </conditionalFormatting>
  <conditionalFormatting sqref="A890:A945">
    <cfRule type="containsText" dxfId="0" priority="513" operator="containsText" text="Problem">
      <formula>NOT(ISERROR(SEARCH(("Problem"),(A890))))</formula>
    </cfRule>
  </conditionalFormatting>
  <conditionalFormatting sqref="A890:A945">
    <cfRule type="containsText" dxfId="0" priority="514" operator="containsText" text="Problem">
      <formula>NOT(ISERROR(SEARCH(("Problem"),(A890))))</formula>
    </cfRule>
  </conditionalFormatting>
  <conditionalFormatting sqref="A890:A945">
    <cfRule type="containsText" dxfId="0" priority="515" operator="containsText" text="Problem">
      <formula>NOT(ISERROR(SEARCH(("Problem"),(A890))))</formula>
    </cfRule>
  </conditionalFormatting>
  <conditionalFormatting sqref="D354:D355 E329:H355">
    <cfRule type="containsText" dxfId="0" priority="516" operator="containsText" text="Problem">
      <formula>NOT(ISERROR(SEARCH(("Problem"),(D354))))</formula>
    </cfRule>
  </conditionalFormatting>
  <conditionalFormatting sqref="D354:D355 E329:H355">
    <cfRule type="containsText" dxfId="0" priority="517" operator="containsText" text="Problem">
      <formula>NOT(ISERROR(SEARCH(("Problem"),(D354))))</formula>
    </cfRule>
  </conditionalFormatting>
  <conditionalFormatting sqref="D354:D355 E329:H355">
    <cfRule type="containsText" dxfId="0" priority="518" operator="containsText" text="Problem">
      <formula>NOT(ISERROR(SEARCH(("Problem"),(D354))))</formula>
    </cfRule>
  </conditionalFormatting>
  <conditionalFormatting sqref="C121 E121:I121">
    <cfRule type="containsText" dxfId="0" priority="519" operator="containsText" text="Problem">
      <formula>NOT(ISERROR(SEARCH(("Problem"),(C121))))</formula>
    </cfRule>
  </conditionalFormatting>
  <conditionalFormatting sqref="C121 E121:I121">
    <cfRule type="containsText" dxfId="0" priority="520" operator="containsText" text="Problem">
      <formula>NOT(ISERROR(SEARCH(("Problem"),(C121))))</formula>
    </cfRule>
  </conditionalFormatting>
  <conditionalFormatting sqref="C121 E121:I121">
    <cfRule type="containsText" dxfId="0" priority="521" operator="containsText" text="Problem">
      <formula>NOT(ISERROR(SEARCH(("Problem"),(C121))))</formula>
    </cfRule>
  </conditionalFormatting>
  <conditionalFormatting sqref="F478:F505">
    <cfRule type="containsText" dxfId="0" priority="522" operator="containsText" text="Problem">
      <formula>NOT(ISERROR(SEARCH(("Problem"),(F478))))</formula>
    </cfRule>
  </conditionalFormatting>
  <conditionalFormatting sqref="F478:F505">
    <cfRule type="containsText" dxfId="0" priority="523" operator="containsText" text="Problem">
      <formula>NOT(ISERROR(SEARCH(("Problem"),(F478))))</formula>
    </cfRule>
  </conditionalFormatting>
  <conditionalFormatting sqref="F478:F505">
    <cfRule type="containsText" dxfId="0" priority="524" operator="containsText" text="Problem">
      <formula>NOT(ISERROR(SEARCH(("Problem"),(F478))))</formula>
    </cfRule>
  </conditionalFormatting>
  <conditionalFormatting sqref="A772:A827">
    <cfRule type="containsText" dxfId="0" priority="525" operator="containsText" text="Problem">
      <formula>NOT(ISERROR(SEARCH(("Problem"),(A772))))</formula>
    </cfRule>
  </conditionalFormatting>
  <conditionalFormatting sqref="A772:A827">
    <cfRule type="containsText" dxfId="0" priority="526" operator="containsText" text="Problem">
      <formula>NOT(ISERROR(SEARCH(("Problem"),(A772))))</formula>
    </cfRule>
  </conditionalFormatting>
  <conditionalFormatting sqref="A772:A827">
    <cfRule type="containsText" dxfId="0" priority="527" operator="containsText" text="Problem">
      <formula>NOT(ISERROR(SEARCH(("Problem"),(A772))))</formula>
    </cfRule>
  </conditionalFormatting>
  <conditionalFormatting sqref="C534 E534:I534">
    <cfRule type="containsText" dxfId="0" priority="528" operator="containsText" text="Problem">
      <formula>NOT(ISERROR(SEARCH(("Problem"),(C534))))</formula>
    </cfRule>
  </conditionalFormatting>
  <conditionalFormatting sqref="C534 E534:I534">
    <cfRule type="containsText" dxfId="0" priority="529" operator="containsText" text="Problem">
      <formula>NOT(ISERROR(SEARCH(("Problem"),(C534))))</formula>
    </cfRule>
  </conditionalFormatting>
  <conditionalFormatting sqref="C534 E534:I534">
    <cfRule type="containsText" dxfId="0" priority="530" operator="containsText" text="Problem">
      <formula>NOT(ISERROR(SEARCH(("Problem"),(C534))))</formula>
    </cfRule>
  </conditionalFormatting>
  <conditionalFormatting sqref="D183:D210">
    <cfRule type="containsText" dxfId="0" priority="531" operator="containsText" text="Problem">
      <formula>NOT(ISERROR(SEARCH(("Problem"),(D183))))</formula>
    </cfRule>
  </conditionalFormatting>
  <conditionalFormatting sqref="D183:D210">
    <cfRule type="containsText" dxfId="0" priority="532" operator="containsText" text="Problem">
      <formula>NOT(ISERROR(SEARCH(("Problem"),(D183))))</formula>
    </cfRule>
  </conditionalFormatting>
  <conditionalFormatting sqref="D183:D210">
    <cfRule type="containsText" dxfId="0" priority="533" operator="containsText" text="Problem">
      <formula>NOT(ISERROR(SEARCH(("Problem"),(D183))))</formula>
    </cfRule>
  </conditionalFormatting>
  <conditionalFormatting sqref="D211:D235">
    <cfRule type="containsText" dxfId="0" priority="534" operator="containsText" text="Problem">
      <formula>NOT(ISERROR(SEARCH(("Problem"),(D211))))</formula>
    </cfRule>
  </conditionalFormatting>
  <conditionalFormatting sqref="D211:D235">
    <cfRule type="containsText" dxfId="0" priority="535" operator="containsText" text="Problem">
      <formula>NOT(ISERROR(SEARCH(("Problem"),(D211))))</formula>
    </cfRule>
  </conditionalFormatting>
  <conditionalFormatting sqref="E419:E446">
    <cfRule type="containsText" dxfId="0" priority="536" operator="containsText" text="Problem">
      <formula>NOT(ISERROR(SEARCH(("Problem"),(E419))))</formula>
    </cfRule>
  </conditionalFormatting>
  <conditionalFormatting sqref="E419:E446">
    <cfRule type="containsText" dxfId="0" priority="537" operator="containsText" text="Problem">
      <formula>NOT(ISERROR(SEARCH(("Problem"),(E419))))</formula>
    </cfRule>
  </conditionalFormatting>
  <conditionalFormatting sqref="E419:E446">
    <cfRule type="containsText" dxfId="0" priority="538" operator="containsText" text="Problem">
      <formula>NOT(ISERROR(SEARCH(("Problem"),(E419))))</formula>
    </cfRule>
  </conditionalFormatting>
  <conditionalFormatting sqref="B101:C101 B113:B116 B118:C119 C70:C100 C110:C116">
    <cfRule type="containsText" dxfId="0" priority="539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540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541" operator="containsText" text="Problem">
      <formula>NOT(ISERROR(SEARCH(("Problem"),(B101))))</formula>
    </cfRule>
  </conditionalFormatting>
  <conditionalFormatting sqref="B219:C219 B231:B234 B236:C237 C188:C218 C228:C234">
    <cfRule type="containsText" dxfId="0" priority="542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543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544" operator="containsText" text="Problem">
      <formula>NOT(ISERROR(SEARCH(("Problem"),(B219))))</formula>
    </cfRule>
  </conditionalFormatting>
  <conditionalFormatting sqref="F655:F682">
    <cfRule type="containsText" dxfId="0" priority="545" operator="containsText" text="Problem">
      <formula>NOT(ISERROR(SEARCH(("Problem"),(F655))))</formula>
    </cfRule>
  </conditionalFormatting>
  <conditionalFormatting sqref="F655:F682">
    <cfRule type="containsText" dxfId="0" priority="546" operator="containsText" text="Problem">
      <formula>NOT(ISERROR(SEARCH(("Problem"),(F655))))</formula>
    </cfRule>
  </conditionalFormatting>
  <conditionalFormatting sqref="F655:F682">
    <cfRule type="containsText" dxfId="0" priority="547" operator="containsText" text="Problem">
      <formula>NOT(ISERROR(SEARCH(("Problem"),(F655))))</formula>
    </cfRule>
  </conditionalFormatting>
  <conditionalFormatting sqref="H359">
    <cfRule type="containsText" dxfId="0" priority="548" operator="containsText" text="Problem">
      <formula>NOT(ISERROR(SEARCH(("Problem"),(H359))))</formula>
    </cfRule>
  </conditionalFormatting>
  <conditionalFormatting sqref="H359">
    <cfRule type="containsText" dxfId="0" priority="549" operator="containsText" text="Problem">
      <formula>NOT(ISERROR(SEARCH(("Problem"),(H359))))</formula>
    </cfRule>
  </conditionalFormatting>
  <conditionalFormatting sqref="H359">
    <cfRule type="containsText" dxfId="0" priority="550" operator="containsText" text="Problem">
      <formula>NOT(ISERROR(SEARCH(("Problem"),(H359))))</formula>
    </cfRule>
  </conditionalFormatting>
  <conditionalFormatting sqref="A416 J416:P416">
    <cfRule type="containsText" dxfId="0" priority="551" operator="containsText" text="Problem">
      <formula>NOT(ISERROR(SEARCH(("Problem"),(A416))))</formula>
    </cfRule>
  </conditionalFormatting>
  <conditionalFormatting sqref="A416 J416:P416">
    <cfRule type="containsText" dxfId="0" priority="552" operator="containsText" text="Problem">
      <formula>NOT(ISERROR(SEARCH(("Problem"),(A416))))</formula>
    </cfRule>
  </conditionalFormatting>
  <conditionalFormatting sqref="A416 J416:P416">
    <cfRule type="containsText" dxfId="0" priority="553" operator="containsText" text="Problem">
      <formula>NOT(ISERROR(SEARCH(("Problem"),(A416))))</formula>
    </cfRule>
  </conditionalFormatting>
  <conditionalFormatting sqref="H772">
    <cfRule type="containsText" dxfId="0" priority="554" operator="containsText" text="Problem">
      <formula>NOT(ISERROR(SEARCH(("Problem"),(H772))))</formula>
    </cfRule>
  </conditionalFormatting>
  <conditionalFormatting sqref="H772">
    <cfRule type="containsText" dxfId="0" priority="555" operator="containsText" text="Problem">
      <formula>NOT(ISERROR(SEARCH(("Problem"),(H772))))</formula>
    </cfRule>
  </conditionalFormatting>
  <conditionalFormatting sqref="H772">
    <cfRule type="containsText" dxfId="0" priority="556" operator="containsText" text="Problem">
      <formula>NOT(ISERROR(SEARCH(("Problem"),(H772))))</formula>
    </cfRule>
  </conditionalFormatting>
  <conditionalFormatting sqref="I772">
    <cfRule type="containsText" dxfId="0" priority="557" operator="containsText" text="Problem">
      <formula>NOT(ISERROR(SEARCH(("Problem"),(I772))))</formula>
    </cfRule>
  </conditionalFormatting>
  <conditionalFormatting sqref="I772">
    <cfRule type="containsText" dxfId="0" priority="558" operator="containsText" text="Problem">
      <formula>NOT(ISERROR(SEARCH(("Problem"),(I772))))</formula>
    </cfRule>
  </conditionalFormatting>
  <conditionalFormatting sqref="I772">
    <cfRule type="containsText" dxfId="0" priority="559" operator="containsText" text="Problem">
      <formula>NOT(ISERROR(SEARCH(("Problem"),(I772))))</formula>
    </cfRule>
  </conditionalFormatting>
  <conditionalFormatting sqref="F418">
    <cfRule type="containsText" dxfId="0" priority="560" operator="containsText" text="Problem">
      <formula>NOT(ISERROR(SEARCH(("Problem"),(F418))))</formula>
    </cfRule>
  </conditionalFormatting>
  <conditionalFormatting sqref="F418">
    <cfRule type="containsText" dxfId="0" priority="561" operator="containsText" text="Problem">
      <formula>NOT(ISERROR(SEARCH(("Problem"),(F418))))</formula>
    </cfRule>
  </conditionalFormatting>
  <conditionalFormatting sqref="F418">
    <cfRule type="containsText" dxfId="0" priority="562" operator="containsText" text="Problem">
      <formula>NOT(ISERROR(SEARCH(("Problem"),(F418))))</formula>
    </cfRule>
  </conditionalFormatting>
  <conditionalFormatting sqref="G536">
    <cfRule type="containsText" dxfId="0" priority="563" operator="containsText" text="Problem">
      <formula>NOT(ISERROR(SEARCH(("Problem"),(G536))))</formula>
    </cfRule>
  </conditionalFormatting>
  <conditionalFormatting sqref="G536">
    <cfRule type="containsText" dxfId="0" priority="564" operator="containsText" text="Problem">
      <formula>NOT(ISERROR(SEARCH(("Problem"),(G536))))</formula>
    </cfRule>
  </conditionalFormatting>
  <conditionalFormatting sqref="G536">
    <cfRule type="containsText" dxfId="0" priority="565" operator="containsText" text="Problem">
      <formula>NOT(ISERROR(SEARCH(("Problem"),(G536))))</formula>
    </cfRule>
  </conditionalFormatting>
  <conditionalFormatting sqref="F64">
    <cfRule type="containsText" dxfId="0" priority="566" operator="containsText" text="Problem">
      <formula>NOT(ISERROR(SEARCH(("Problem"),(F64))))</formula>
    </cfRule>
  </conditionalFormatting>
  <conditionalFormatting sqref="F64">
    <cfRule type="containsText" dxfId="0" priority="567" operator="containsText" text="Problem">
      <formula>NOT(ISERROR(SEARCH(("Problem"),(F64))))</formula>
    </cfRule>
  </conditionalFormatting>
  <conditionalFormatting sqref="F64">
    <cfRule type="containsText" dxfId="0" priority="568" operator="containsText" text="Problem">
      <formula>NOT(ISERROR(SEARCH(("Problem"),(F64))))</formula>
    </cfRule>
  </conditionalFormatting>
  <conditionalFormatting sqref="F65:F92">
    <cfRule type="containsText" dxfId="0" priority="569" operator="containsText" text="Problem">
      <formula>NOT(ISERROR(SEARCH(("Problem"),(F65))))</formula>
    </cfRule>
  </conditionalFormatting>
  <conditionalFormatting sqref="F65:F92">
    <cfRule type="containsText" dxfId="0" priority="570" operator="containsText" text="Problem">
      <formula>NOT(ISERROR(SEARCH(("Problem"),(F65))))</formula>
    </cfRule>
  </conditionalFormatting>
  <conditionalFormatting sqref="F65:F92">
    <cfRule type="containsText" dxfId="0" priority="571" operator="containsText" text="Problem">
      <formula>NOT(ISERROR(SEARCH(("Problem"),(F65))))</formula>
    </cfRule>
  </conditionalFormatting>
  <conditionalFormatting sqref="I831">
    <cfRule type="containsText" dxfId="0" priority="572" operator="containsText" text="Problem">
      <formula>NOT(ISERROR(SEARCH(("Problem"),(I831))))</formula>
    </cfRule>
  </conditionalFormatting>
  <conditionalFormatting sqref="I831">
    <cfRule type="containsText" dxfId="0" priority="573" operator="containsText" text="Problem">
      <formula>NOT(ISERROR(SEARCH(("Problem"),(I831))))</formula>
    </cfRule>
  </conditionalFormatting>
  <conditionalFormatting sqref="I831">
    <cfRule type="containsText" dxfId="0" priority="574" operator="containsText" text="Problem">
      <formula>NOT(ISERROR(SEARCH(("Problem"),(I831))))</formula>
    </cfRule>
  </conditionalFormatting>
  <conditionalFormatting sqref="I242:I269">
    <cfRule type="containsText" dxfId="0" priority="575" operator="containsText" text="Problem">
      <formula>NOT(ISERROR(SEARCH(("Problem"),(I242))))</formula>
    </cfRule>
  </conditionalFormatting>
  <conditionalFormatting sqref="I242:I269">
    <cfRule type="containsText" dxfId="0" priority="576" operator="containsText" text="Problem">
      <formula>NOT(ISERROR(SEARCH(("Problem"),(I242))))</formula>
    </cfRule>
  </conditionalFormatting>
  <conditionalFormatting sqref="I242:I269">
    <cfRule type="containsText" dxfId="0" priority="577" operator="containsText" text="Problem">
      <formula>NOT(ISERROR(SEARCH(("Problem"),(I242))))</formula>
    </cfRule>
  </conditionalFormatting>
  <conditionalFormatting sqref="I242:I269">
    <cfRule type="containsText" dxfId="0" priority="578" operator="containsText" text="Problem">
      <formula>NOT(ISERROR(SEARCH(("Problem"),(I242))))</formula>
    </cfRule>
  </conditionalFormatting>
  <conditionalFormatting sqref="A298 J298:P298">
    <cfRule type="containsText" dxfId="0" priority="579" operator="containsText" text="Problem">
      <formula>NOT(ISERROR(SEARCH(("Problem"),(A298))))</formula>
    </cfRule>
  </conditionalFormatting>
  <conditionalFormatting sqref="A298 J298:P298">
    <cfRule type="containsText" dxfId="0" priority="580" operator="containsText" text="Problem">
      <formula>NOT(ISERROR(SEARCH(("Problem"),(A298))))</formula>
    </cfRule>
  </conditionalFormatting>
  <conditionalFormatting sqref="A298 J298:P298">
    <cfRule type="containsText" dxfId="0" priority="581" operator="containsText" text="Problem">
      <formula>NOT(ISERROR(SEARCH(("Problem"),(A298))))</formula>
    </cfRule>
  </conditionalFormatting>
  <conditionalFormatting sqref="F773:F800">
    <cfRule type="containsText" dxfId="0" priority="582" operator="containsText" text="Problem">
      <formula>NOT(ISERROR(SEARCH(("Problem"),(F773))))</formula>
    </cfRule>
  </conditionalFormatting>
  <conditionalFormatting sqref="F773:F800">
    <cfRule type="containsText" dxfId="0" priority="583" operator="containsText" text="Problem">
      <formula>NOT(ISERROR(SEARCH(("Problem"),(F773))))</formula>
    </cfRule>
  </conditionalFormatting>
  <conditionalFormatting sqref="F773:F800">
    <cfRule type="containsText" dxfId="0" priority="584" operator="containsText" text="Problem">
      <formula>NOT(ISERROR(SEARCH(("Problem"),(F773))))</formula>
    </cfRule>
  </conditionalFormatting>
  <conditionalFormatting sqref="G773:G800">
    <cfRule type="containsText" dxfId="0" priority="585" operator="containsText" text="Problem">
      <formula>NOT(ISERROR(SEARCH(("Problem"),(G773))))</formula>
    </cfRule>
  </conditionalFormatting>
  <conditionalFormatting sqref="G773:G800">
    <cfRule type="containsText" dxfId="0" priority="586" operator="containsText" text="Problem">
      <formula>NOT(ISERROR(SEARCH(("Problem"),(G773))))</formula>
    </cfRule>
  </conditionalFormatting>
  <conditionalFormatting sqref="G773:G800">
    <cfRule type="containsText" dxfId="0" priority="587" operator="containsText" text="Problem">
      <formula>NOT(ISERROR(SEARCH(("Problem"),(G773))))</formula>
    </cfRule>
  </conditionalFormatting>
  <conditionalFormatting sqref="G714:G741">
    <cfRule type="containsText" dxfId="0" priority="588" operator="containsText" text="Problem">
      <formula>NOT(ISERROR(SEARCH(("Problem"),(G714))))</formula>
    </cfRule>
  </conditionalFormatting>
  <conditionalFormatting sqref="G714:G741">
    <cfRule type="containsText" dxfId="0" priority="589" operator="containsText" text="Problem">
      <formula>NOT(ISERROR(SEARCH(("Problem"),(G714))))</formula>
    </cfRule>
  </conditionalFormatting>
  <conditionalFormatting sqref="G714:G741">
    <cfRule type="containsText" dxfId="0" priority="590" operator="containsText" text="Problem">
      <formula>NOT(ISERROR(SEARCH(("Problem"),(G714))))</formula>
    </cfRule>
  </conditionalFormatting>
  <conditionalFormatting sqref="G182">
    <cfRule type="containsText" dxfId="0" priority="591" operator="containsText" text="Problem">
      <formula>NOT(ISERROR(SEARCH(("Problem"),(G182))))</formula>
    </cfRule>
  </conditionalFormatting>
  <conditionalFormatting sqref="G182">
    <cfRule type="containsText" dxfId="0" priority="592" operator="containsText" text="Problem">
      <formula>NOT(ISERROR(SEARCH(("Problem"),(G182))))</formula>
    </cfRule>
  </conditionalFormatting>
  <conditionalFormatting sqref="G182">
    <cfRule type="containsText" dxfId="0" priority="593" operator="containsText" text="Problem">
      <formula>NOT(ISERROR(SEARCH(("Problem"),(G182))))</formula>
    </cfRule>
  </conditionalFormatting>
  <conditionalFormatting sqref="D713">
    <cfRule type="containsText" dxfId="0" priority="594" operator="containsText" text="Problem">
      <formula>NOT(ISERROR(SEARCH(("Problem"),(D713))))</formula>
    </cfRule>
  </conditionalFormatting>
  <conditionalFormatting sqref="E242:E269">
    <cfRule type="containsText" dxfId="0" priority="595" operator="containsText" text="Problem">
      <formula>NOT(ISERROR(SEARCH(("Problem"),(E242))))</formula>
    </cfRule>
  </conditionalFormatting>
  <conditionalFormatting sqref="E242:E269">
    <cfRule type="containsText" dxfId="0" priority="596" operator="containsText" text="Problem">
      <formula>NOT(ISERROR(SEARCH(("Problem"),(E242))))</formula>
    </cfRule>
  </conditionalFormatting>
  <conditionalFormatting sqref="E242:E269">
    <cfRule type="containsText" dxfId="0" priority="597" operator="containsText" text="Problem">
      <formula>NOT(ISERROR(SEARCH(("Problem"),(E242))))</formula>
    </cfRule>
  </conditionalFormatting>
  <conditionalFormatting sqref="D801:D825">
    <cfRule type="containsText" dxfId="0" priority="598" operator="containsText" text="Problem">
      <formula>NOT(ISERROR(SEARCH(("Problem"),(D801))))</formula>
    </cfRule>
  </conditionalFormatting>
  <conditionalFormatting sqref="D801:D825">
    <cfRule type="containsText" dxfId="0" priority="599" operator="containsText" text="Problem">
      <formula>NOT(ISERROR(SEARCH(("Problem"),(D801))))</formula>
    </cfRule>
  </conditionalFormatting>
  <conditionalFormatting sqref="E5">
    <cfRule type="containsText" dxfId="0" priority="600" operator="containsText" text="Problem">
      <formula>NOT(ISERROR(SEARCH(("Problem"),(E5))))</formula>
    </cfRule>
  </conditionalFormatting>
  <conditionalFormatting sqref="E5">
    <cfRule type="containsText" dxfId="0" priority="601" operator="containsText" text="Problem">
      <formula>NOT(ISERROR(SEARCH(("Problem"),(E5))))</formula>
    </cfRule>
  </conditionalFormatting>
  <conditionalFormatting sqref="E5">
    <cfRule type="containsText" dxfId="0" priority="602" operator="containsText" text="Problem">
      <formula>NOT(ISERROR(SEARCH(("Problem"),(E5))))</formula>
    </cfRule>
  </conditionalFormatting>
  <conditionalFormatting sqref="A535:I535 A592:H592 I565:I592 J535:P592">
    <cfRule type="containsText" dxfId="0" priority="603" operator="containsText" text="Problem">
      <formula>NOT(ISERROR(SEARCH(("Problem"),(A535))))</formula>
    </cfRule>
  </conditionalFormatting>
  <conditionalFormatting sqref="A535:I535 A592:H592 I565:I592 J535:P592">
    <cfRule type="containsText" dxfId="0" priority="604" operator="containsText" text="Problem">
      <formula>NOT(ISERROR(SEARCH(("Problem"),(A535))))</formula>
    </cfRule>
  </conditionalFormatting>
  <conditionalFormatting sqref="A535:I535 A592:H592 I565:I592 J535:P592">
    <cfRule type="containsText" dxfId="0" priority="605" operator="containsText" text="Problem">
      <formula>NOT(ISERROR(SEARCH(("Problem"),(A535))))</formula>
    </cfRule>
  </conditionalFormatting>
  <conditionalFormatting sqref="C888">
    <cfRule type="containsText" dxfId="0" priority="606" operator="containsText" text="Problem">
      <formula>NOT(ISERROR(SEARCH(("Problem"),(C888))))</formula>
    </cfRule>
  </conditionalFormatting>
  <conditionalFormatting sqref="C888">
    <cfRule type="containsText" dxfId="0" priority="607" operator="containsText" text="Problem">
      <formula>NOT(ISERROR(SEARCH(("Problem"),(C888))))</formula>
    </cfRule>
  </conditionalFormatting>
  <conditionalFormatting sqref="C888">
    <cfRule type="containsText" dxfId="0" priority="608" operator="containsText" text="Problem">
      <formula>NOT(ISERROR(SEARCH(("Problem"),(C888))))</formula>
    </cfRule>
  </conditionalFormatting>
  <conditionalFormatting sqref="G241">
    <cfRule type="containsText" dxfId="0" priority="609" operator="containsText" text="Problem">
      <formula>NOT(ISERROR(SEARCH(("Problem"),(G241))))</formula>
    </cfRule>
  </conditionalFormatting>
  <conditionalFormatting sqref="G241">
    <cfRule type="containsText" dxfId="0" priority="610" operator="containsText" text="Problem">
      <formula>NOT(ISERROR(SEARCH(("Problem"),(G241))))</formula>
    </cfRule>
  </conditionalFormatting>
  <conditionalFormatting sqref="G241">
    <cfRule type="containsText" dxfId="0" priority="611" operator="containsText" text="Problem">
      <formula>NOT(ISERROR(SEARCH(("Problem"),(G241))))</formula>
    </cfRule>
  </conditionalFormatting>
  <conditionalFormatting sqref="F654">
    <cfRule type="containsText" dxfId="0" priority="612" operator="containsText" text="Problem">
      <formula>NOT(ISERROR(SEARCH(("Problem"),(F654))))</formula>
    </cfRule>
  </conditionalFormatting>
  <conditionalFormatting sqref="F654">
    <cfRule type="containsText" dxfId="0" priority="613" operator="containsText" text="Problem">
      <formula>NOT(ISERROR(SEARCH(("Problem"),(F654))))</formula>
    </cfRule>
  </conditionalFormatting>
  <conditionalFormatting sqref="F654">
    <cfRule type="containsText" dxfId="0" priority="614" operator="containsText" text="Problem">
      <formula>NOT(ISERROR(SEARCH(("Problem"),(F654))))</formula>
    </cfRule>
  </conditionalFormatting>
  <conditionalFormatting sqref="H419:H446">
    <cfRule type="containsText" dxfId="0" priority="615" operator="containsText" text="Problem">
      <formula>NOT(ISERROR(SEARCH(("Problem"),(H419))))</formula>
    </cfRule>
  </conditionalFormatting>
  <conditionalFormatting sqref="H419:H446">
    <cfRule type="containsText" dxfId="0" priority="616" operator="containsText" text="Problem">
      <formula>NOT(ISERROR(SEARCH(("Problem"),(H419))))</formula>
    </cfRule>
  </conditionalFormatting>
  <conditionalFormatting sqref="H419:H446">
    <cfRule type="containsText" dxfId="0" priority="617" operator="containsText" text="Problem">
      <formula>NOT(ISERROR(SEARCH(("Problem"),(H419))))</formula>
    </cfRule>
  </conditionalFormatting>
  <conditionalFormatting sqref="I595">
    <cfRule type="containsText" dxfId="0" priority="618" operator="containsText" text="Problem">
      <formula>NOT(ISERROR(SEARCH(("Problem"),(I595))))</formula>
    </cfRule>
  </conditionalFormatting>
  <conditionalFormatting sqref="I595">
    <cfRule type="containsText" dxfId="0" priority="619" operator="containsText" text="Problem">
      <formula>NOT(ISERROR(SEARCH(("Problem"),(I595))))</formula>
    </cfRule>
  </conditionalFormatting>
  <conditionalFormatting sqref="I595">
    <cfRule type="containsText" dxfId="0" priority="620" operator="containsText" text="Problem">
      <formula>NOT(ISERROR(SEARCH(("Problem"),(I595))))</formula>
    </cfRule>
  </conditionalFormatting>
  <conditionalFormatting sqref="G477">
    <cfRule type="containsText" dxfId="0" priority="621" operator="containsText" text="Problem">
      <formula>NOT(ISERROR(SEARCH(("Problem"),(G477))))</formula>
    </cfRule>
  </conditionalFormatting>
  <conditionalFormatting sqref="G477">
    <cfRule type="containsText" dxfId="0" priority="622" operator="containsText" text="Problem">
      <formula>NOT(ISERROR(SEARCH(("Problem"),(G477))))</formula>
    </cfRule>
  </conditionalFormatting>
  <conditionalFormatting sqref="G477">
    <cfRule type="containsText" dxfId="0" priority="623" operator="containsText" text="Problem">
      <formula>NOT(ISERROR(SEARCH(("Problem"),(G477))))</formula>
    </cfRule>
  </conditionalFormatting>
  <conditionalFormatting sqref="H773:H800">
    <cfRule type="containsText" dxfId="0" priority="624" operator="containsText" text="Problem">
      <formula>NOT(ISERROR(SEARCH(("Problem"),(H773))))</formula>
    </cfRule>
  </conditionalFormatting>
  <conditionalFormatting sqref="H773:H800">
    <cfRule type="containsText" dxfId="0" priority="625" operator="containsText" text="Problem">
      <formula>NOT(ISERROR(SEARCH(("Problem"),(H773))))</formula>
    </cfRule>
  </conditionalFormatting>
  <conditionalFormatting sqref="H773:H800">
    <cfRule type="containsText" dxfId="0" priority="626" operator="containsText" text="Problem">
      <formula>NOT(ISERROR(SEARCH(("Problem"),(H773))))</formula>
    </cfRule>
  </conditionalFormatting>
  <conditionalFormatting sqref="F419:F446">
    <cfRule type="containsText" dxfId="0" priority="627" operator="containsText" text="Problem">
      <formula>NOT(ISERROR(SEARCH(("Problem"),(F419))))</formula>
    </cfRule>
  </conditionalFormatting>
  <conditionalFormatting sqref="F419:F446">
    <cfRule type="containsText" dxfId="0" priority="628" operator="containsText" text="Problem">
      <formula>NOT(ISERROR(SEARCH(("Problem"),(F419))))</formula>
    </cfRule>
  </conditionalFormatting>
  <conditionalFormatting sqref="F419:F446">
    <cfRule type="containsText" dxfId="0" priority="629" operator="containsText" text="Problem">
      <formula>NOT(ISERROR(SEARCH(("Problem"),(F419))))</formula>
    </cfRule>
  </conditionalFormatting>
  <conditionalFormatting sqref="E537:E564">
    <cfRule type="containsText" dxfId="0" priority="630" operator="containsText" text="Problem">
      <formula>NOT(ISERROR(SEARCH(("Problem"),(E537))))</formula>
    </cfRule>
  </conditionalFormatting>
  <conditionalFormatting sqref="E537:E564">
    <cfRule type="containsText" dxfId="0" priority="631" operator="containsText" text="Problem">
      <formula>NOT(ISERROR(SEARCH(("Problem"),(E537))))</formula>
    </cfRule>
  </conditionalFormatting>
  <conditionalFormatting sqref="E537:E564">
    <cfRule type="containsText" dxfId="0" priority="632" operator="containsText" text="Problem">
      <formula>NOT(ISERROR(SEARCH(("Problem"),(E537))))</formula>
    </cfRule>
  </conditionalFormatting>
  <conditionalFormatting sqref="E595">
    <cfRule type="containsText" dxfId="0" priority="633" operator="containsText" text="Problem">
      <formula>NOT(ISERROR(SEARCH(("Problem"),(E595))))</formula>
    </cfRule>
  </conditionalFormatting>
  <conditionalFormatting sqref="E595">
    <cfRule type="containsText" dxfId="0" priority="634" operator="containsText" text="Problem">
      <formula>NOT(ISERROR(SEARCH(("Problem"),(E595))))</formula>
    </cfRule>
  </conditionalFormatting>
  <conditionalFormatting sqref="E595">
    <cfRule type="containsText" dxfId="0" priority="635" operator="containsText" text="Problem">
      <formula>NOT(ISERROR(SEARCH(("Problem"),(E595))))</formula>
    </cfRule>
  </conditionalFormatting>
  <conditionalFormatting sqref="A358:I358 A415:H415 I388:I415 J358:P415">
    <cfRule type="containsText" dxfId="0" priority="636" operator="containsText" text="Problem">
      <formula>NOT(ISERROR(SEARCH(("Problem"),(A358))))</formula>
    </cfRule>
  </conditionalFormatting>
  <conditionalFormatting sqref="A358:I358 A415:H415 I388:I415 J358:P415">
    <cfRule type="containsText" dxfId="0" priority="637" operator="containsText" text="Problem">
      <formula>NOT(ISERROR(SEARCH(("Problem"),(A358))))</formula>
    </cfRule>
  </conditionalFormatting>
  <conditionalFormatting sqref="A358:I358 A415:H415 I388:I415 J358:P415">
    <cfRule type="containsText" dxfId="0" priority="638" operator="containsText" text="Problem">
      <formula>NOT(ISERROR(SEARCH(("Problem"),(A358))))</formula>
    </cfRule>
  </conditionalFormatting>
  <conditionalFormatting sqref="A241:A296">
    <cfRule type="containsText" dxfId="0" priority="639" operator="containsText" text="Problem">
      <formula>NOT(ISERROR(SEARCH(("Problem"),(A241))))</formula>
    </cfRule>
  </conditionalFormatting>
  <conditionalFormatting sqref="A241:A296">
    <cfRule type="containsText" dxfId="0" priority="640" operator="containsText" text="Problem">
      <formula>NOT(ISERROR(SEARCH(("Problem"),(A241))))</formula>
    </cfRule>
  </conditionalFormatting>
  <conditionalFormatting sqref="A241:A296">
    <cfRule type="containsText" dxfId="0" priority="641" operator="containsText" text="Problem">
      <formula>NOT(ISERROR(SEARCH(("Problem"),(A241))))</formula>
    </cfRule>
  </conditionalFormatting>
  <conditionalFormatting sqref="I655:I682">
    <cfRule type="containsText" dxfId="0" priority="642" operator="containsText" text="Problem">
      <formula>NOT(ISERROR(SEARCH(("Problem"),(I655))))</formula>
    </cfRule>
  </conditionalFormatting>
  <conditionalFormatting sqref="I655:I682">
    <cfRule type="containsText" dxfId="0" priority="643" operator="containsText" text="Problem">
      <formula>NOT(ISERROR(SEARCH(("Problem"),(I655))))</formula>
    </cfRule>
  </conditionalFormatting>
  <conditionalFormatting sqref="I655:I682">
    <cfRule type="containsText" dxfId="0" priority="644" operator="containsText" text="Problem">
      <formula>NOT(ISERROR(SEARCH(("Problem"),(I655))))</formula>
    </cfRule>
  </conditionalFormatting>
  <conditionalFormatting sqref="I655:I682">
    <cfRule type="containsText" dxfId="0" priority="645" operator="containsText" text="Problem">
      <formula>NOT(ISERROR(SEARCH(("Problem"),(I655))))</formula>
    </cfRule>
  </conditionalFormatting>
  <conditionalFormatting sqref="H6:H34">
    <cfRule type="containsText" dxfId="0" priority="646" operator="containsText" text="Problem">
      <formula>NOT(ISERROR(SEARCH(("Problem"),(H6))))</formula>
    </cfRule>
  </conditionalFormatting>
  <conditionalFormatting sqref="H6:H34">
    <cfRule type="containsText" dxfId="0" priority="647" operator="containsText" text="Problem">
      <formula>NOT(ISERROR(SEARCH(("Problem"),(H6))))</formula>
    </cfRule>
  </conditionalFormatting>
  <conditionalFormatting sqref="H6:H34">
    <cfRule type="containsText" dxfId="0" priority="648" operator="containsText" text="Problem">
      <formula>NOT(ISERROR(SEARCH(("Problem"),(H6))))</formula>
    </cfRule>
  </conditionalFormatting>
  <conditionalFormatting sqref="D654">
    <cfRule type="containsText" dxfId="0" priority="649" operator="containsText" text="Problem">
      <formula>NOT(ISERROR(SEARCH(("Problem"),(D654))))</formula>
    </cfRule>
  </conditionalFormatting>
  <conditionalFormatting sqref="E64">
    <cfRule type="containsText" dxfId="0" priority="650" operator="containsText" text="Problem">
      <formula>NOT(ISERROR(SEARCH(("Problem"),(E64))))</formula>
    </cfRule>
  </conditionalFormatting>
  <conditionalFormatting sqref="E64">
    <cfRule type="containsText" dxfId="0" priority="651" operator="containsText" text="Problem">
      <formula>NOT(ISERROR(SEARCH(("Problem"),(E64))))</formula>
    </cfRule>
  </conditionalFormatting>
  <conditionalFormatting sqref="E64">
    <cfRule type="containsText" dxfId="0" priority="652" operator="containsText" text="Problem">
      <formula>NOT(ISERROR(SEARCH(("Problem"),(E64))))</formula>
    </cfRule>
  </conditionalFormatting>
  <conditionalFormatting sqref="A357 J357:P357">
    <cfRule type="containsText" dxfId="0" priority="653" operator="containsText" text="Problem">
      <formula>NOT(ISERROR(SEARCH(("Problem"),(A357))))</formula>
    </cfRule>
  </conditionalFormatting>
  <conditionalFormatting sqref="A357 J357:P357">
    <cfRule type="containsText" dxfId="0" priority="654" operator="containsText" text="Problem">
      <formula>NOT(ISERROR(SEARCH(("Problem"),(A357))))</formula>
    </cfRule>
  </conditionalFormatting>
  <conditionalFormatting sqref="A357 J357:P357">
    <cfRule type="containsText" dxfId="0" priority="655" operator="containsText" text="Problem">
      <formula>NOT(ISERROR(SEARCH(("Problem"),(A357))))</formula>
    </cfRule>
  </conditionalFormatting>
  <conditionalFormatting sqref="D123">
    <cfRule type="containsText" dxfId="0" priority="656" operator="containsText" text="Problem">
      <formula>NOT(ISERROR(SEARCH(("Problem"),(D123))))</formula>
    </cfRule>
  </conditionalFormatting>
  <conditionalFormatting sqref="D152:D176">
    <cfRule type="containsText" dxfId="0" priority="657" operator="containsText" text="Problem">
      <formula>NOT(ISERROR(SEARCH(("Problem"),(D152))))</formula>
    </cfRule>
  </conditionalFormatting>
  <conditionalFormatting sqref="D152:D176">
    <cfRule type="containsText" dxfId="0" priority="658" operator="containsText" text="Problem">
      <formula>NOT(ISERROR(SEARCH(("Problem"),(D152))))</formula>
    </cfRule>
  </conditionalFormatting>
  <conditionalFormatting sqref="H595">
    <cfRule type="containsText" dxfId="0" priority="659" operator="containsText" text="Problem">
      <formula>NOT(ISERROR(SEARCH(("Problem"),(H595))))</formula>
    </cfRule>
  </conditionalFormatting>
  <conditionalFormatting sqref="H595">
    <cfRule type="containsText" dxfId="0" priority="660" operator="containsText" text="Problem">
      <formula>NOT(ISERROR(SEARCH(("Problem"),(H595))))</formula>
    </cfRule>
  </conditionalFormatting>
  <conditionalFormatting sqref="H595">
    <cfRule type="containsText" dxfId="0" priority="661" operator="containsText" text="Problem">
      <formula>NOT(ISERROR(SEARCH(("Problem"),(H595))))</formula>
    </cfRule>
  </conditionalFormatting>
  <conditionalFormatting sqref="A593 J593:P593">
    <cfRule type="containsText" dxfId="0" priority="662" operator="containsText" text="Problem">
      <formula>NOT(ISERROR(SEARCH(("Problem"),(A593))))</formula>
    </cfRule>
  </conditionalFormatting>
  <conditionalFormatting sqref="A593 J593:P593">
    <cfRule type="containsText" dxfId="0" priority="663" operator="containsText" text="Problem">
      <formula>NOT(ISERROR(SEARCH(("Problem"),(A593))))</formula>
    </cfRule>
  </conditionalFormatting>
  <conditionalFormatting sqref="A593 J593:P593">
    <cfRule type="containsText" dxfId="0" priority="664" operator="containsText" text="Problem">
      <formula>NOT(ISERROR(SEARCH(("Problem"),(A593))))</formula>
    </cfRule>
  </conditionalFormatting>
  <conditionalFormatting sqref="B337:C337 B349:B352 B354:C355 C306:C336 C346:C352">
    <cfRule type="containsText" dxfId="0" priority="665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666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667" operator="containsText" text="Problem">
      <formula>NOT(ISERROR(SEARCH(("Problem"),(B337))))</formula>
    </cfRule>
  </conditionalFormatting>
  <conditionalFormatting sqref="A536:A591">
    <cfRule type="containsText" dxfId="0" priority="668" operator="containsText" text="Problem">
      <formula>NOT(ISERROR(SEARCH(("Problem"),(A536))))</formula>
    </cfRule>
  </conditionalFormatting>
  <conditionalFormatting sqref="A536:A591">
    <cfRule type="containsText" dxfId="0" priority="669" operator="containsText" text="Problem">
      <formula>NOT(ISERROR(SEARCH(("Problem"),(A536))))</formula>
    </cfRule>
  </conditionalFormatting>
  <conditionalFormatting sqref="A536:A591">
    <cfRule type="containsText" dxfId="0" priority="670" operator="containsText" text="Problem">
      <formula>NOT(ISERROR(SEARCH(("Problem"),(A536))))</formula>
    </cfRule>
  </conditionalFormatting>
  <conditionalFormatting sqref="D419:D446">
    <cfRule type="containsText" dxfId="0" priority="671" operator="containsText" text="Problem">
      <formula>NOT(ISERROR(SEARCH(("Problem"),(D419))))</formula>
    </cfRule>
  </conditionalFormatting>
  <conditionalFormatting sqref="D419:D446">
    <cfRule type="containsText" dxfId="0" priority="672" operator="containsText" text="Problem">
      <formula>NOT(ISERROR(SEARCH(("Problem"),(D419))))</formula>
    </cfRule>
  </conditionalFormatting>
  <conditionalFormatting sqref="D419:D446">
    <cfRule type="containsText" dxfId="0" priority="673" operator="containsText" text="Problem">
      <formula>NOT(ISERROR(SEARCH(("Problem"),(D419))))</formula>
    </cfRule>
  </conditionalFormatting>
  <conditionalFormatting sqref="B160:C160 B172:B175 B177:C178 C129:C159 C169:C175">
    <cfRule type="containsText" dxfId="0" priority="674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675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676" operator="containsText" text="Problem">
      <formula>NOT(ISERROR(SEARCH(("Problem"),(B160))))</formula>
    </cfRule>
  </conditionalFormatting>
  <conditionalFormatting sqref="E241">
    <cfRule type="containsText" dxfId="0" priority="677" operator="containsText" text="Problem">
      <formula>NOT(ISERROR(SEARCH(("Problem"),(E241))))</formula>
    </cfRule>
  </conditionalFormatting>
  <conditionalFormatting sqref="E241">
    <cfRule type="containsText" dxfId="0" priority="678" operator="containsText" text="Problem">
      <formula>NOT(ISERROR(SEARCH(("Problem"),(E241))))</formula>
    </cfRule>
  </conditionalFormatting>
  <conditionalFormatting sqref="E241">
    <cfRule type="containsText" dxfId="0" priority="679" operator="containsText" text="Problem">
      <formula>NOT(ISERROR(SEARCH(("Problem"),(E241))))</formula>
    </cfRule>
  </conditionalFormatting>
  <conditionalFormatting sqref="F182">
    <cfRule type="containsText" dxfId="0" priority="680" operator="containsText" text="Problem">
      <formula>NOT(ISERROR(SEARCH(("Problem"),(F182))))</formula>
    </cfRule>
  </conditionalFormatting>
  <conditionalFormatting sqref="F182">
    <cfRule type="containsText" dxfId="0" priority="681" operator="containsText" text="Problem">
      <formula>NOT(ISERROR(SEARCH(("Problem"),(F182))))</formula>
    </cfRule>
  </conditionalFormatting>
  <conditionalFormatting sqref="F182">
    <cfRule type="containsText" dxfId="0" priority="682" operator="containsText" text="Problem">
      <formula>NOT(ISERROR(SEARCH(("Problem"),(F182))))</formula>
    </cfRule>
  </conditionalFormatting>
  <conditionalFormatting sqref="B278:C278 B290:B293 B295:C296 C247:C277 C287:C293">
    <cfRule type="containsText" dxfId="0" priority="683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684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685" operator="containsText" text="Problem">
      <formula>NOT(ISERROR(SEARCH(("Problem"),(B278))))</formula>
    </cfRule>
  </conditionalFormatting>
  <conditionalFormatting sqref="E300">
    <cfRule type="containsText" dxfId="0" priority="686" operator="containsText" text="Problem">
      <formula>NOT(ISERROR(SEARCH(("Problem"),(E300))))</formula>
    </cfRule>
  </conditionalFormatting>
  <conditionalFormatting sqref="E300">
    <cfRule type="containsText" dxfId="0" priority="687" operator="containsText" text="Problem">
      <formula>NOT(ISERROR(SEARCH(("Problem"),(E300))))</formula>
    </cfRule>
  </conditionalFormatting>
  <conditionalFormatting sqref="E300">
    <cfRule type="containsText" dxfId="0" priority="688" operator="containsText" text="Problem">
      <formula>NOT(ISERROR(SEARCH(("Problem"),(E300))))</formula>
    </cfRule>
  </conditionalFormatting>
  <conditionalFormatting sqref="I478:I505">
    <cfRule type="containsText" dxfId="0" priority="689" operator="containsText" text="Problem">
      <formula>NOT(ISERROR(SEARCH(("Problem"),(I478))))</formula>
    </cfRule>
  </conditionalFormatting>
  <conditionalFormatting sqref="I478:I505">
    <cfRule type="containsText" dxfId="0" priority="690" operator="containsText" text="Problem">
      <formula>NOT(ISERROR(SEARCH(("Problem"),(I478))))</formula>
    </cfRule>
  </conditionalFormatting>
  <conditionalFormatting sqref="I478:I505">
    <cfRule type="containsText" dxfId="0" priority="691" operator="containsText" text="Problem">
      <formula>NOT(ISERROR(SEARCH(("Problem"),(I478))))</formula>
    </cfRule>
  </conditionalFormatting>
  <conditionalFormatting sqref="I478:I505">
    <cfRule type="containsText" dxfId="0" priority="692" operator="containsText" text="Problem">
      <formula>NOT(ISERROR(SEARCH(("Problem"),(I478))))</formula>
    </cfRule>
  </conditionalFormatting>
  <conditionalFormatting sqref="H537:H564">
    <cfRule type="containsText" dxfId="0" priority="693" operator="containsText" text="Problem">
      <formula>NOT(ISERROR(SEARCH(("Problem"),(H537))))</formula>
    </cfRule>
  </conditionalFormatting>
  <conditionalFormatting sqref="H537:H564">
    <cfRule type="containsText" dxfId="0" priority="694" operator="containsText" text="Problem">
      <formula>NOT(ISERROR(SEARCH(("Problem"),(H537))))</formula>
    </cfRule>
  </conditionalFormatting>
  <conditionalFormatting sqref="H537:H564">
    <cfRule type="containsText" dxfId="0" priority="695" operator="containsText" text="Problem">
      <formula>NOT(ISERROR(SEARCH(("Problem"),(H537))))</formula>
    </cfRule>
  </conditionalFormatting>
  <conditionalFormatting sqref="A594:I594 A651:H651 I624:I651 J594:P651">
    <cfRule type="containsText" dxfId="0" priority="696" operator="containsText" text="Problem">
      <formula>NOT(ISERROR(SEARCH(("Problem"),(A594))))</formula>
    </cfRule>
  </conditionalFormatting>
  <conditionalFormatting sqref="A594:I594 A651:H651 I624:I651 J594:P651">
    <cfRule type="containsText" dxfId="0" priority="697" operator="containsText" text="Problem">
      <formula>NOT(ISERROR(SEARCH(("Problem"),(A594))))</formula>
    </cfRule>
  </conditionalFormatting>
  <conditionalFormatting sqref="A594:I594 A651:H651 I624:I651 J594:P651">
    <cfRule type="containsText" dxfId="0" priority="698" operator="containsText" text="Problem">
      <formula>NOT(ISERROR(SEARCH(("Problem"),(A594))))</formula>
    </cfRule>
  </conditionalFormatting>
  <conditionalFormatting sqref="D767:D768 E742:H768">
    <cfRule type="containsText" dxfId="0" priority="699" operator="containsText" text="Problem">
      <formula>NOT(ISERROR(SEARCH(("Problem"),(D767))))</formula>
    </cfRule>
  </conditionalFormatting>
  <conditionalFormatting sqref="D767:D768 E742:H768">
    <cfRule type="containsText" dxfId="0" priority="700" operator="containsText" text="Problem">
      <formula>NOT(ISERROR(SEARCH(("Problem"),(D767))))</formula>
    </cfRule>
  </conditionalFormatting>
  <conditionalFormatting sqref="D767:D768 E742:H768">
    <cfRule type="containsText" dxfId="0" priority="701" operator="containsText" text="Problem">
      <formula>NOT(ISERROR(SEARCH(("Problem"),(D767))))</formula>
    </cfRule>
  </conditionalFormatting>
  <conditionalFormatting sqref="G772">
    <cfRule type="containsText" dxfId="0" priority="702" operator="containsText" text="Problem">
      <formula>NOT(ISERROR(SEARCH(("Problem"),(G772))))</formula>
    </cfRule>
  </conditionalFormatting>
  <conditionalFormatting sqref="G772">
    <cfRule type="containsText" dxfId="0" priority="703" operator="containsText" text="Problem">
      <formula>NOT(ISERROR(SEARCH(("Problem"),(G772))))</formula>
    </cfRule>
  </conditionalFormatting>
  <conditionalFormatting sqref="G772">
    <cfRule type="containsText" dxfId="0" priority="704" operator="containsText" text="Problem">
      <formula>NOT(ISERROR(SEARCH(("Problem"),(G772))))</formula>
    </cfRule>
  </conditionalFormatting>
  <conditionalFormatting sqref="I64">
    <cfRule type="containsText" dxfId="0" priority="705" operator="containsText" text="Problem">
      <formula>NOT(ISERROR(SEARCH(("Problem"),(I64))))</formula>
    </cfRule>
  </conditionalFormatting>
  <conditionalFormatting sqref="I64">
    <cfRule type="containsText" dxfId="0" priority="706" operator="containsText" text="Problem">
      <formula>NOT(ISERROR(SEARCH(("Problem"),(I64))))</formula>
    </cfRule>
  </conditionalFormatting>
  <conditionalFormatting sqref="I64">
    <cfRule type="containsText" dxfId="0" priority="707" operator="containsText" text="Problem">
      <formula>NOT(ISERROR(SEARCH(("Problem"),(I64))))</formula>
    </cfRule>
  </conditionalFormatting>
  <conditionalFormatting sqref="H5">
    <cfRule type="containsText" dxfId="0" priority="708" operator="containsText" text="Problem">
      <formula>NOT(ISERROR(SEARCH(("Problem"),(H5))))</formula>
    </cfRule>
  </conditionalFormatting>
  <conditionalFormatting sqref="H5">
    <cfRule type="containsText" dxfId="0" priority="709" operator="containsText" text="Problem">
      <formula>NOT(ISERROR(SEARCH(("Problem"),(H5))))</formula>
    </cfRule>
  </conditionalFormatting>
  <conditionalFormatting sqref="H5">
    <cfRule type="containsText" dxfId="0" priority="710" operator="containsText" text="Problem">
      <formula>NOT(ISERROR(SEARCH(("Problem"),(H5))))</formula>
    </cfRule>
  </conditionalFormatting>
  <conditionalFormatting sqref="B514:C514 B526:B529 B531:C532 C483:C513 C523:C529">
    <cfRule type="containsText" dxfId="0" priority="711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712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713" operator="containsText" text="Problem">
      <formula>NOT(ISERROR(SEARCH(("Problem"),(B514))))</formula>
    </cfRule>
  </conditionalFormatting>
  <conditionalFormatting sqref="G831">
    <cfRule type="containsText" dxfId="0" priority="714" operator="containsText" text="Problem">
      <formula>NOT(ISERROR(SEARCH(("Problem"),(G831))))</formula>
    </cfRule>
  </conditionalFormatting>
  <conditionalFormatting sqref="G831">
    <cfRule type="containsText" dxfId="0" priority="715" operator="containsText" text="Problem">
      <formula>NOT(ISERROR(SEARCH(("Problem"),(G831))))</formula>
    </cfRule>
  </conditionalFormatting>
  <conditionalFormatting sqref="G831">
    <cfRule type="containsText" dxfId="0" priority="716" operator="containsText" text="Problem">
      <formula>NOT(ISERROR(SEARCH(("Problem"),(G831))))</formula>
    </cfRule>
  </conditionalFormatting>
  <conditionalFormatting sqref="G242:G269">
    <cfRule type="containsText" dxfId="0" priority="717" operator="containsText" text="Problem">
      <formula>NOT(ISERROR(SEARCH(("Problem"),(G242))))</formula>
    </cfRule>
  </conditionalFormatting>
  <conditionalFormatting sqref="G242:G269">
    <cfRule type="containsText" dxfId="0" priority="718" operator="containsText" text="Problem">
      <formula>NOT(ISERROR(SEARCH(("Problem"),(G242))))</formula>
    </cfRule>
  </conditionalFormatting>
  <conditionalFormatting sqref="G242:G269">
    <cfRule type="containsText" dxfId="0" priority="719" operator="containsText" text="Problem">
      <formula>NOT(ISERROR(SEARCH(("Problem"),(G242))))</formula>
    </cfRule>
  </conditionalFormatting>
  <conditionalFormatting sqref="H182">
    <cfRule type="containsText" dxfId="0" priority="720" operator="containsText" text="Problem">
      <formula>NOT(ISERROR(SEARCH(("Problem"),(H182))))</formula>
    </cfRule>
  </conditionalFormatting>
  <conditionalFormatting sqref="H182">
    <cfRule type="containsText" dxfId="0" priority="721" operator="containsText" text="Problem">
      <formula>NOT(ISERROR(SEARCH(("Problem"),(H182))))</formula>
    </cfRule>
  </conditionalFormatting>
  <conditionalFormatting sqref="H182">
    <cfRule type="containsText" dxfId="0" priority="722" operator="containsText" text="Problem">
      <formula>NOT(ISERROR(SEARCH(("Problem"),(H182))))</formula>
    </cfRule>
  </conditionalFormatting>
  <conditionalFormatting sqref="G419:G446">
    <cfRule type="containsText" dxfId="0" priority="723" operator="containsText" text="Problem">
      <formula>NOT(ISERROR(SEARCH(("Problem"),(G419))))</formula>
    </cfRule>
  </conditionalFormatting>
  <conditionalFormatting sqref="G419:G446">
    <cfRule type="containsText" dxfId="0" priority="724" operator="containsText" text="Problem">
      <formula>NOT(ISERROR(SEARCH(("Problem"),(G419))))</formula>
    </cfRule>
  </conditionalFormatting>
  <conditionalFormatting sqref="G419:G446">
    <cfRule type="containsText" dxfId="0" priority="725" operator="containsText" text="Problem">
      <formula>NOT(ISERROR(SEARCH(("Problem"),(G419))))</formula>
    </cfRule>
  </conditionalFormatting>
  <conditionalFormatting sqref="D60 E35:H60">
    <cfRule type="containsText" dxfId="0" priority="726" operator="containsText" text="Problem">
      <formula>NOT(ISERROR(SEARCH(("Problem"),(D60))))</formula>
    </cfRule>
  </conditionalFormatting>
  <conditionalFormatting sqref="D60 E35:H60">
    <cfRule type="containsText" dxfId="0" priority="727" operator="containsText" text="Problem">
      <formula>NOT(ISERROR(SEARCH(("Problem"),(D60))))</formula>
    </cfRule>
  </conditionalFormatting>
  <conditionalFormatting sqref="D60 E35:H60">
    <cfRule type="containsText" dxfId="0" priority="728" operator="containsText" text="Problem">
      <formula>NOT(ISERROR(SEARCH(("Problem"),(D60))))</formula>
    </cfRule>
  </conditionalFormatting>
  <conditionalFormatting sqref="F300">
    <cfRule type="containsText" dxfId="0" priority="729" operator="containsText" text="Problem">
      <formula>NOT(ISERROR(SEARCH(("Problem"),(F300))))</formula>
    </cfRule>
  </conditionalFormatting>
  <conditionalFormatting sqref="F300">
    <cfRule type="containsText" dxfId="0" priority="730" operator="containsText" text="Problem">
      <formula>NOT(ISERROR(SEARCH(("Problem"),(F300))))</formula>
    </cfRule>
  </conditionalFormatting>
  <conditionalFormatting sqref="F300">
    <cfRule type="containsText" dxfId="0" priority="731" operator="containsText" text="Problem">
      <formula>NOT(ISERROR(SEARCH(("Problem"),(F300))))</formula>
    </cfRule>
  </conditionalFormatting>
  <conditionalFormatting sqref="F536">
    <cfRule type="containsText" dxfId="0" priority="732" operator="containsText" text="Problem">
      <formula>NOT(ISERROR(SEARCH(("Problem"),(F536))))</formula>
    </cfRule>
  </conditionalFormatting>
  <conditionalFormatting sqref="F536">
    <cfRule type="containsText" dxfId="0" priority="733" operator="containsText" text="Problem">
      <formula>NOT(ISERROR(SEARCH(("Problem"),(F536))))</formula>
    </cfRule>
  </conditionalFormatting>
  <conditionalFormatting sqref="F536">
    <cfRule type="containsText" dxfId="0" priority="734" operator="containsText" text="Problem">
      <formula>NOT(ISERROR(SEARCH(("Problem"),(F536))))</formula>
    </cfRule>
  </conditionalFormatting>
  <conditionalFormatting sqref="A62 J62:P62">
    <cfRule type="containsText" dxfId="0" priority="735" operator="containsText" text="Problem">
      <formula>NOT(ISERROR(SEARCH(("Problem"),(A62))))</formula>
    </cfRule>
  </conditionalFormatting>
  <conditionalFormatting sqref="A62 J62:P62">
    <cfRule type="containsText" dxfId="0" priority="736" operator="containsText" text="Problem">
      <formula>NOT(ISERROR(SEARCH(("Problem"),(A62))))</formula>
    </cfRule>
  </conditionalFormatting>
  <conditionalFormatting sqref="A62 J62:P62">
    <cfRule type="containsText" dxfId="0" priority="737" operator="containsText" text="Problem">
      <formula>NOT(ISERROR(SEARCH(("Problem"),(A62))))</formula>
    </cfRule>
  </conditionalFormatting>
  <conditionalFormatting sqref="E478:E505">
    <cfRule type="containsText" dxfId="0" priority="738" operator="containsText" text="Problem">
      <formula>NOT(ISERROR(SEARCH(("Problem"),(E478))))</formula>
    </cfRule>
  </conditionalFormatting>
  <conditionalFormatting sqref="E478:E505">
    <cfRule type="containsText" dxfId="0" priority="739" operator="containsText" text="Problem">
      <formula>NOT(ISERROR(SEARCH(("Problem"),(E478))))</formula>
    </cfRule>
  </conditionalFormatting>
  <conditionalFormatting sqref="E478:E505">
    <cfRule type="containsText" dxfId="0" priority="740" operator="containsText" text="Problem">
      <formula>NOT(ISERROR(SEARCH(("Problem"),(E478))))</formula>
    </cfRule>
  </conditionalFormatting>
  <conditionalFormatting sqref="C475 E475:I475">
    <cfRule type="containsText" dxfId="0" priority="741" operator="containsText" text="Problem">
      <formula>NOT(ISERROR(SEARCH(("Problem"),(C475))))</formula>
    </cfRule>
  </conditionalFormatting>
  <conditionalFormatting sqref="C475 E475:I475">
    <cfRule type="containsText" dxfId="0" priority="742" operator="containsText" text="Problem">
      <formula>NOT(ISERROR(SEARCH(("Problem"),(C475))))</formula>
    </cfRule>
  </conditionalFormatting>
  <conditionalFormatting sqref="C475 E475:I475">
    <cfRule type="containsText" dxfId="0" priority="743" operator="containsText" text="Problem">
      <formula>NOT(ISERROR(SEARCH(("Problem"),(C475))))</formula>
    </cfRule>
  </conditionalFormatting>
  <conditionalFormatting sqref="G124:G151">
    <cfRule type="containsText" dxfId="0" priority="744" operator="containsText" text="Problem">
      <formula>NOT(ISERROR(SEARCH(("Problem"),(G124))))</formula>
    </cfRule>
  </conditionalFormatting>
  <conditionalFormatting sqref="G124:G151">
    <cfRule type="containsText" dxfId="0" priority="745" operator="containsText" text="Problem">
      <formula>NOT(ISERROR(SEARCH(("Problem"),(G124))))</formula>
    </cfRule>
  </conditionalFormatting>
  <conditionalFormatting sqref="G124:G151">
    <cfRule type="containsText" dxfId="0" priority="746" operator="containsText" text="Problem">
      <formula>NOT(ISERROR(SEARCH(("Problem"),(G124))))</formula>
    </cfRule>
  </conditionalFormatting>
  <conditionalFormatting sqref="A300:A355">
    <cfRule type="containsText" dxfId="0" priority="747" operator="containsText" text="Problem">
      <formula>NOT(ISERROR(SEARCH(("Problem"),(A300))))</formula>
    </cfRule>
  </conditionalFormatting>
  <conditionalFormatting sqref="A300:A355">
    <cfRule type="containsText" dxfId="0" priority="748" operator="containsText" text="Problem">
      <formula>NOT(ISERROR(SEARCH(("Problem"),(A300))))</formula>
    </cfRule>
  </conditionalFormatting>
  <conditionalFormatting sqref="A300:A355">
    <cfRule type="containsText" dxfId="0" priority="749" operator="containsText" text="Problem">
      <formula>NOT(ISERROR(SEARCH(("Problem"),(A300))))</formula>
    </cfRule>
  </conditionalFormatting>
  <conditionalFormatting sqref="F301:F328">
    <cfRule type="containsText" dxfId="0" priority="750" operator="containsText" text="Problem">
      <formula>NOT(ISERROR(SEARCH(("Problem"),(F301))))</formula>
    </cfRule>
  </conditionalFormatting>
  <conditionalFormatting sqref="F301:F328">
    <cfRule type="containsText" dxfId="0" priority="751" operator="containsText" text="Problem">
      <formula>NOT(ISERROR(SEARCH(("Problem"),(F301))))</formula>
    </cfRule>
  </conditionalFormatting>
  <conditionalFormatting sqref="F301:F328">
    <cfRule type="containsText" dxfId="0" priority="752" operator="containsText" text="Problem">
      <formula>NOT(ISERROR(SEARCH(("Problem"),(F301))))</formula>
    </cfRule>
  </conditionalFormatting>
  <conditionalFormatting sqref="D64">
    <cfRule type="containsText" dxfId="0" priority="753" operator="containsText" text="Problem">
      <formula>NOT(ISERROR(SEARCH(("Problem"),(D64))))</formula>
    </cfRule>
  </conditionalFormatting>
  <conditionalFormatting sqref="A123:A178">
    <cfRule type="containsText" dxfId="0" priority="754" operator="containsText" text="Problem">
      <formula>NOT(ISERROR(SEARCH(("Problem"),(A123))))</formula>
    </cfRule>
  </conditionalFormatting>
  <conditionalFormatting sqref="A123:A178">
    <cfRule type="containsText" dxfId="0" priority="755" operator="containsText" text="Problem">
      <formula>NOT(ISERROR(SEARCH(("Problem"),(A123))))</formula>
    </cfRule>
  </conditionalFormatting>
  <conditionalFormatting sqref="A123:A178">
    <cfRule type="containsText" dxfId="0" priority="756" operator="containsText" text="Problem">
      <formula>NOT(ISERROR(SEARCH(("Problem"),(A123))))</formula>
    </cfRule>
  </conditionalFormatting>
  <conditionalFormatting sqref="A770 J770:P770">
    <cfRule type="containsText" dxfId="0" priority="757" operator="containsText" text="Problem">
      <formula>NOT(ISERROR(SEARCH(("Problem"),(A770))))</formula>
    </cfRule>
  </conditionalFormatting>
  <conditionalFormatting sqref="A770 J770:P770">
    <cfRule type="containsText" dxfId="0" priority="758" operator="containsText" text="Problem">
      <formula>NOT(ISERROR(SEARCH(("Problem"),(A770))))</formula>
    </cfRule>
  </conditionalFormatting>
  <conditionalFormatting sqref="A770 J770:P770">
    <cfRule type="containsText" dxfId="0" priority="759" operator="containsText" text="Problem">
      <formula>NOT(ISERROR(SEARCH(("Problem"),(A770))))</formula>
    </cfRule>
  </conditionalFormatting>
  <conditionalFormatting sqref="F123">
    <cfRule type="containsText" dxfId="0" priority="760" operator="containsText" text="Problem">
      <formula>NOT(ISERROR(SEARCH(("Problem"),(F123))))</formula>
    </cfRule>
  </conditionalFormatting>
  <conditionalFormatting sqref="F123">
    <cfRule type="containsText" dxfId="0" priority="761" operator="containsText" text="Problem">
      <formula>NOT(ISERROR(SEARCH(("Problem"),(F123))))</formula>
    </cfRule>
  </conditionalFormatting>
  <conditionalFormatting sqref="F123">
    <cfRule type="containsText" dxfId="0" priority="762" operator="containsText" text="Problem">
      <formula>NOT(ISERROR(SEARCH(("Problem"),(F123))))</formula>
    </cfRule>
  </conditionalFormatting>
  <conditionalFormatting sqref="E890:I890">
    <cfRule type="containsText" dxfId="0" priority="763" operator="containsText" text="Problem">
      <formula>NOT(ISERROR(SEARCH(("Problem"),(E890))))</formula>
    </cfRule>
  </conditionalFormatting>
  <conditionalFormatting sqref="E890:I890">
    <cfRule type="containsText" dxfId="0" priority="764" operator="containsText" text="Problem">
      <formula>NOT(ISERROR(SEARCH(("Problem"),(E890))))</formula>
    </cfRule>
  </conditionalFormatting>
  <conditionalFormatting sqref="E890:I890">
    <cfRule type="containsText" dxfId="0" priority="765" operator="containsText" text="Problem">
      <formula>NOT(ISERROR(SEARCH(("Problem"),(E890))))</formula>
    </cfRule>
  </conditionalFormatting>
  <conditionalFormatting sqref="D6:D34">
    <cfRule type="containsText" dxfId="0" priority="766" operator="containsText" text="Problem">
      <formula>NOT(ISERROR(SEARCH(("Problem"),(D6))))</formula>
    </cfRule>
  </conditionalFormatting>
  <conditionalFormatting sqref="D6:D34">
    <cfRule type="containsText" dxfId="0" priority="767" operator="containsText" text="Problem">
      <formula>NOT(ISERROR(SEARCH(("Problem"),(D6))))</formula>
    </cfRule>
  </conditionalFormatting>
  <conditionalFormatting sqref="D6:D34">
    <cfRule type="containsText" dxfId="0" priority="768" operator="containsText" text="Problem">
      <formula>NOT(ISERROR(SEARCH(("Problem"),(D6))))</formula>
    </cfRule>
  </conditionalFormatting>
  <conditionalFormatting sqref="C593 E593:I593">
    <cfRule type="containsText" dxfId="0" priority="769" operator="containsText" text="Problem">
      <formula>NOT(ISERROR(SEARCH(("Problem"),(C593))))</formula>
    </cfRule>
  </conditionalFormatting>
  <conditionalFormatting sqref="C593 E593:I593">
    <cfRule type="containsText" dxfId="0" priority="770" operator="containsText" text="Problem">
      <formula>NOT(ISERROR(SEARCH(("Problem"),(C593))))</formula>
    </cfRule>
  </conditionalFormatting>
  <conditionalFormatting sqref="C593 E593:I593">
    <cfRule type="containsText" dxfId="0" priority="771" operator="containsText" text="Problem">
      <formula>NOT(ISERROR(SEARCH(("Problem"),(C593))))</formula>
    </cfRule>
  </conditionalFormatting>
  <conditionalFormatting sqref="F124:F151">
    <cfRule type="containsText" dxfId="0" priority="772" operator="containsText" text="Problem">
      <formula>NOT(ISERROR(SEARCH(("Problem"),(F124))))</formula>
    </cfRule>
  </conditionalFormatting>
  <conditionalFormatting sqref="F124:F151">
    <cfRule type="containsText" dxfId="0" priority="773" operator="containsText" text="Problem">
      <formula>NOT(ISERROR(SEARCH(("Problem"),(F124))))</formula>
    </cfRule>
  </conditionalFormatting>
  <conditionalFormatting sqref="F124:F151">
    <cfRule type="containsText" dxfId="0" priority="774" operator="containsText" text="Problem">
      <formula>NOT(ISERROR(SEARCH(("Problem"),(F124))))</formula>
    </cfRule>
  </conditionalFormatting>
  <conditionalFormatting sqref="D124:D151">
    <cfRule type="containsText" dxfId="0" priority="775" operator="containsText" text="Problem">
      <formula>NOT(ISERROR(SEARCH(("Problem"),(D124))))</formula>
    </cfRule>
  </conditionalFormatting>
  <conditionalFormatting sqref="D124:D151">
    <cfRule type="containsText" dxfId="0" priority="776" operator="containsText" text="Problem">
      <formula>NOT(ISERROR(SEARCH(("Problem"),(D124))))</formula>
    </cfRule>
  </conditionalFormatting>
  <conditionalFormatting sqref="D124:D151">
    <cfRule type="containsText" dxfId="0" priority="777" operator="containsText" text="Problem">
      <formula>NOT(ISERROR(SEARCH(("Problem"),(D124))))</formula>
    </cfRule>
  </conditionalFormatting>
  <conditionalFormatting sqref="A180 J180:P180">
    <cfRule type="containsText" dxfId="0" priority="778" operator="containsText" text="Problem">
      <formula>NOT(ISERROR(SEARCH(("Problem"),(A180))))</formula>
    </cfRule>
  </conditionalFormatting>
  <conditionalFormatting sqref="A180 J180:P180">
    <cfRule type="containsText" dxfId="0" priority="779" operator="containsText" text="Problem">
      <formula>NOT(ISERROR(SEARCH(("Problem"),(A180))))</formula>
    </cfRule>
  </conditionalFormatting>
  <conditionalFormatting sqref="A180 J180:P180">
    <cfRule type="containsText" dxfId="0" priority="780" operator="containsText" text="Problem">
      <formula>NOT(ISERROR(SEARCH(("Problem"),(A180))))</formula>
    </cfRule>
  </conditionalFormatting>
  <conditionalFormatting sqref="A417:I417 A474:H474 I447:I474 J417:P474">
    <cfRule type="containsText" dxfId="0" priority="781" operator="containsText" text="Problem">
      <formula>NOT(ISERROR(SEARCH(("Problem"),(A417))))</formula>
    </cfRule>
  </conditionalFormatting>
  <conditionalFormatting sqref="A417:I417 A474:H474 I447:I474 J417:P474">
    <cfRule type="containsText" dxfId="0" priority="782" operator="containsText" text="Problem">
      <formula>NOT(ISERROR(SEARCH(("Problem"),(A417))))</formula>
    </cfRule>
  </conditionalFormatting>
  <conditionalFormatting sqref="A417:I417 A474:H474 I447:I474 J417:P474">
    <cfRule type="containsText" dxfId="0" priority="783" operator="containsText" text="Problem">
      <formula>NOT(ISERROR(SEARCH(("Problem"),(A417))))</formula>
    </cfRule>
  </conditionalFormatting>
  <conditionalFormatting sqref="D596:D623">
    <cfRule type="containsText" dxfId="0" priority="784" operator="containsText" text="Problem">
      <formula>NOT(ISERROR(SEARCH(("Problem"),(D596))))</formula>
    </cfRule>
  </conditionalFormatting>
  <conditionalFormatting sqref="D596:D623">
    <cfRule type="containsText" dxfId="0" priority="785" operator="containsText" text="Problem">
      <formula>NOT(ISERROR(SEARCH(("Problem"),(D596))))</formula>
    </cfRule>
  </conditionalFormatting>
  <conditionalFormatting sqref="D596:D623">
    <cfRule type="containsText" dxfId="0" priority="786" operator="containsText" text="Problem">
      <formula>NOT(ISERROR(SEARCH(("Problem"),(D596))))</formula>
    </cfRule>
  </conditionalFormatting>
  <conditionalFormatting sqref="E418">
    <cfRule type="containsText" dxfId="0" priority="787" operator="containsText" text="Problem">
      <formula>NOT(ISERROR(SEARCH(("Problem"),(E418))))</formula>
    </cfRule>
  </conditionalFormatting>
  <conditionalFormatting sqref="E418">
    <cfRule type="containsText" dxfId="0" priority="788" operator="containsText" text="Problem">
      <formula>NOT(ISERROR(SEARCH(("Problem"),(E418))))</formula>
    </cfRule>
  </conditionalFormatting>
  <conditionalFormatting sqref="E418">
    <cfRule type="containsText" dxfId="0" priority="789" operator="containsText" text="Problem">
      <formula>NOT(ISERROR(SEARCH(("Problem"),(E418))))</formula>
    </cfRule>
  </conditionalFormatting>
  <conditionalFormatting sqref="I359">
    <cfRule type="containsText" dxfId="0" priority="790" operator="containsText" text="Problem">
      <formula>NOT(ISERROR(SEARCH(("Problem"),(I359))))</formula>
    </cfRule>
  </conditionalFormatting>
  <conditionalFormatting sqref="I359">
    <cfRule type="containsText" dxfId="0" priority="791" operator="containsText" text="Problem">
      <formula>NOT(ISERROR(SEARCH(("Problem"),(I359))))</formula>
    </cfRule>
  </conditionalFormatting>
  <conditionalFormatting sqref="I359">
    <cfRule type="containsText" dxfId="0" priority="792" operator="containsText" text="Problem">
      <formula>NOT(ISERROR(SEARCH(("Problem"),(I359))))</formula>
    </cfRule>
  </conditionalFormatting>
  <conditionalFormatting sqref="D418">
    <cfRule type="containsText" dxfId="0" priority="793" operator="containsText" text="Problem">
      <formula>NOT(ISERROR(SEARCH(("Problem"),(D418))))</formula>
    </cfRule>
  </conditionalFormatting>
  <conditionalFormatting sqref="H832:H859">
    <cfRule type="containsText" dxfId="0" priority="794" operator="containsText" text="Problem">
      <formula>NOT(ISERROR(SEARCH(("Problem"),(H832))))</formula>
    </cfRule>
  </conditionalFormatting>
  <conditionalFormatting sqref="H832:H859">
    <cfRule type="containsText" dxfId="0" priority="795" operator="containsText" text="Problem">
      <formula>NOT(ISERROR(SEARCH(("Problem"),(H832))))</formula>
    </cfRule>
  </conditionalFormatting>
  <conditionalFormatting sqref="H832:H859">
    <cfRule type="containsText" dxfId="0" priority="796" operator="containsText" text="Problem">
      <formula>NOT(ISERROR(SEARCH(("Problem"),(H832))))</formula>
    </cfRule>
  </conditionalFormatting>
  <conditionalFormatting sqref="H596:H623">
    <cfRule type="containsText" dxfId="0" priority="797" operator="containsText" text="Problem">
      <formula>NOT(ISERROR(SEARCH(("Problem"),(H596))))</formula>
    </cfRule>
  </conditionalFormatting>
  <conditionalFormatting sqref="H596:H623">
    <cfRule type="containsText" dxfId="0" priority="798" operator="containsText" text="Problem">
      <formula>NOT(ISERROR(SEARCH(("Problem"),(H596))))</formula>
    </cfRule>
  </conditionalFormatting>
  <conditionalFormatting sqref="H596:H623">
    <cfRule type="containsText" dxfId="0" priority="799" operator="containsText" text="Problem">
      <formula>NOT(ISERROR(SEARCH(("Problem"),(H596))))</formula>
    </cfRule>
  </conditionalFormatting>
  <conditionalFormatting sqref="F360:F387">
    <cfRule type="containsText" dxfId="0" priority="800" operator="containsText" text="Problem">
      <formula>NOT(ISERROR(SEARCH(("Problem"),(F360))))</formula>
    </cfRule>
  </conditionalFormatting>
  <conditionalFormatting sqref="F360:F387">
    <cfRule type="containsText" dxfId="0" priority="801" operator="containsText" text="Problem">
      <formula>NOT(ISERROR(SEARCH(("Problem"),(F360))))</formula>
    </cfRule>
  </conditionalFormatting>
  <conditionalFormatting sqref="F360:F387">
    <cfRule type="containsText" dxfId="0" priority="802" operator="containsText" text="Problem">
      <formula>NOT(ISERROR(SEARCH(("Problem"),(F360))))</formula>
    </cfRule>
  </conditionalFormatting>
  <conditionalFormatting sqref="D595">
    <cfRule type="containsText" dxfId="0" priority="803" operator="containsText" text="Problem">
      <formula>NOT(ISERROR(SEARCH(("Problem"),(D595))))</formula>
    </cfRule>
  </conditionalFormatting>
  <conditionalFormatting sqref="E654">
    <cfRule type="containsText" dxfId="0" priority="804" operator="containsText" text="Problem">
      <formula>NOT(ISERROR(SEARCH(("Problem"),(E654))))</formula>
    </cfRule>
  </conditionalFormatting>
  <conditionalFormatting sqref="E654">
    <cfRule type="containsText" dxfId="0" priority="805" operator="containsText" text="Problem">
      <formula>NOT(ISERROR(SEARCH(("Problem"),(E654))))</formula>
    </cfRule>
  </conditionalFormatting>
  <conditionalFormatting sqref="E654">
    <cfRule type="containsText" dxfId="0" priority="806" operator="containsText" text="Problem">
      <formula>NOT(ISERROR(SEARCH(("Problem"),(E654))))</formula>
    </cfRule>
  </conditionalFormatting>
  <conditionalFormatting sqref="D565:D589">
    <cfRule type="containsText" dxfId="0" priority="807" operator="containsText" text="Problem">
      <formula>NOT(ISERROR(SEARCH(("Problem"),(D565))))</formula>
    </cfRule>
  </conditionalFormatting>
  <conditionalFormatting sqref="D565:D589">
    <cfRule type="containsText" dxfId="0" priority="808" operator="containsText" text="Problem">
      <formula>NOT(ISERROR(SEARCH(("Problem"),(D565))))</formula>
    </cfRule>
  </conditionalFormatting>
  <conditionalFormatting sqref="D295:D296 E270:H296">
    <cfRule type="containsText" dxfId="0" priority="809" operator="containsText" text="Problem">
      <formula>NOT(ISERROR(SEARCH(("Problem"),(D295))))</formula>
    </cfRule>
  </conditionalFormatting>
  <conditionalFormatting sqref="D295:D296 E270:H296">
    <cfRule type="containsText" dxfId="0" priority="810" operator="containsText" text="Problem">
      <formula>NOT(ISERROR(SEARCH(("Problem"),(D295))))</formula>
    </cfRule>
  </conditionalFormatting>
  <conditionalFormatting sqref="D295:D296 E270:H296">
    <cfRule type="containsText" dxfId="0" priority="811" operator="containsText" text="Problem">
      <formula>NOT(ISERROR(SEARCH(("Problem"),(D295))))</formula>
    </cfRule>
  </conditionalFormatting>
  <conditionalFormatting sqref="G123">
    <cfRule type="containsText" dxfId="0" priority="812" operator="containsText" text="Problem">
      <formula>NOT(ISERROR(SEARCH(("Problem"),(G123))))</formula>
    </cfRule>
  </conditionalFormatting>
  <conditionalFormatting sqref="G123">
    <cfRule type="containsText" dxfId="0" priority="813" operator="containsText" text="Problem">
      <formula>NOT(ISERROR(SEARCH(("Problem"),(G123))))</formula>
    </cfRule>
  </conditionalFormatting>
  <conditionalFormatting sqref="G123">
    <cfRule type="containsText" dxfId="0" priority="814" operator="containsText" text="Problem">
      <formula>NOT(ISERROR(SEARCH(("Problem"),(G123))))</formula>
    </cfRule>
  </conditionalFormatting>
  <conditionalFormatting sqref="F713">
    <cfRule type="containsText" dxfId="0" priority="815" operator="containsText" text="Problem">
      <formula>NOT(ISERROR(SEARCH(("Problem"),(F713))))</formula>
    </cfRule>
  </conditionalFormatting>
  <conditionalFormatting sqref="F713">
    <cfRule type="containsText" dxfId="0" priority="816" operator="containsText" text="Problem">
      <formula>NOT(ISERROR(SEARCH(("Problem"),(F713))))</formula>
    </cfRule>
  </conditionalFormatting>
  <conditionalFormatting sqref="F713">
    <cfRule type="containsText" dxfId="0" priority="817" operator="containsText" text="Problem">
      <formula>NOT(ISERROR(SEARCH(("Problem"),(F713))))</formula>
    </cfRule>
  </conditionalFormatting>
  <conditionalFormatting sqref="A595:A650">
    <cfRule type="containsText" dxfId="0" priority="818" operator="containsText" text="Problem">
      <formula>NOT(ISERROR(SEARCH(("Problem"),(A595))))</formula>
    </cfRule>
  </conditionalFormatting>
  <conditionalFormatting sqref="A595:A650">
    <cfRule type="containsText" dxfId="0" priority="819" operator="containsText" text="Problem">
      <formula>NOT(ISERROR(SEARCH(("Problem"),(A595))))</formula>
    </cfRule>
  </conditionalFormatting>
  <conditionalFormatting sqref="A595:A650">
    <cfRule type="containsText" dxfId="0" priority="820" operator="containsText" text="Problem">
      <formula>NOT(ISERROR(SEARCH(("Problem"),(A595))))</formula>
    </cfRule>
  </conditionalFormatting>
  <conditionalFormatting sqref="H64">
    <cfRule type="containsText" dxfId="0" priority="821" operator="containsText" text="Problem">
      <formula>NOT(ISERROR(SEARCH(("Problem"),(H64))))</formula>
    </cfRule>
  </conditionalFormatting>
  <conditionalFormatting sqref="H64">
    <cfRule type="containsText" dxfId="0" priority="822" operator="containsText" text="Problem">
      <formula>NOT(ISERROR(SEARCH(("Problem"),(H64))))</formula>
    </cfRule>
  </conditionalFormatting>
  <conditionalFormatting sqref="H64">
    <cfRule type="containsText" dxfId="0" priority="823" operator="containsText" text="Problem">
      <formula>NOT(ISERROR(SEARCH(("Problem"),(H64))))</formula>
    </cfRule>
  </conditionalFormatting>
  <conditionalFormatting sqref="D359">
    <cfRule type="containsText" dxfId="0" priority="824" operator="containsText" text="Problem">
      <formula>NOT(ISERROR(SEARCH(("Problem"),(D359))))</formula>
    </cfRule>
  </conditionalFormatting>
  <conditionalFormatting sqref="D826:D827 E801:H827">
    <cfRule type="containsText" dxfId="0" priority="825" operator="containsText" text="Problem">
      <formula>NOT(ISERROR(SEARCH(("Problem"),(D826))))</formula>
    </cfRule>
  </conditionalFormatting>
  <conditionalFormatting sqref="D826:D827 E801:H827">
    <cfRule type="containsText" dxfId="0" priority="826" operator="containsText" text="Problem">
      <formula>NOT(ISERROR(SEARCH(("Problem"),(D826))))</formula>
    </cfRule>
  </conditionalFormatting>
  <conditionalFormatting sqref="D826:D827 E801:H827">
    <cfRule type="containsText" dxfId="0" priority="827" operator="containsText" text="Problem">
      <formula>NOT(ISERROR(SEARCH(("Problem"),(D826))))</formula>
    </cfRule>
  </conditionalFormatting>
  <conditionalFormatting sqref="A477:A532">
    <cfRule type="containsText" dxfId="0" priority="828" operator="containsText" text="Problem">
      <formula>NOT(ISERROR(SEARCH(("Problem"),(A477))))</formula>
    </cfRule>
  </conditionalFormatting>
  <conditionalFormatting sqref="A477:A532">
    <cfRule type="containsText" dxfId="0" priority="829" operator="containsText" text="Problem">
      <formula>NOT(ISERROR(SEARCH(("Problem"),(A477))))</formula>
    </cfRule>
  </conditionalFormatting>
  <conditionalFormatting sqref="A477:A532">
    <cfRule type="containsText" dxfId="0" priority="830" operator="containsText" text="Problem">
      <formula>NOT(ISERROR(SEARCH(("Problem"),(A477))))</formula>
    </cfRule>
  </conditionalFormatting>
  <conditionalFormatting sqref="H241">
    <cfRule type="containsText" dxfId="0" priority="831" operator="containsText" text="Problem">
      <formula>NOT(ISERROR(SEARCH(("Problem"),(H241))))</formula>
    </cfRule>
  </conditionalFormatting>
  <conditionalFormatting sqref="H241">
    <cfRule type="containsText" dxfId="0" priority="832" operator="containsText" text="Problem">
      <formula>NOT(ISERROR(SEARCH(("Problem"),(H241))))</formula>
    </cfRule>
  </conditionalFormatting>
  <conditionalFormatting sqref="H241">
    <cfRule type="containsText" dxfId="0" priority="833" operator="containsText" text="Problem">
      <formula>NOT(ISERROR(SEARCH(("Problem"),(H241))))</formula>
    </cfRule>
  </conditionalFormatting>
  <conditionalFormatting sqref="H301:H328">
    <cfRule type="containsText" dxfId="0" priority="834" operator="containsText" text="Problem">
      <formula>NOT(ISERROR(SEARCH(("Problem"),(H301))))</formula>
    </cfRule>
  </conditionalFormatting>
  <conditionalFormatting sqref="H301:H328">
    <cfRule type="containsText" dxfId="0" priority="835" operator="containsText" text="Problem">
      <formula>NOT(ISERROR(SEARCH(("Problem"),(H301))))</formula>
    </cfRule>
  </conditionalFormatting>
  <conditionalFormatting sqref="H301:H328">
    <cfRule type="containsText" dxfId="0" priority="836" operator="containsText" text="Problem">
      <formula>NOT(ISERROR(SEARCH(("Problem"),(H301))))</formula>
    </cfRule>
  </conditionalFormatting>
  <conditionalFormatting sqref="D329:D353">
    <cfRule type="containsText" dxfId="0" priority="837" operator="containsText" text="Problem">
      <formula>NOT(ISERROR(SEARCH(("Problem"),(D329))))</formula>
    </cfRule>
  </conditionalFormatting>
  <conditionalFormatting sqref="D329:D353">
    <cfRule type="containsText" dxfId="0" priority="838" operator="containsText" text="Problem">
      <formula>NOT(ISERROR(SEARCH(("Problem"),(D329))))</formula>
    </cfRule>
  </conditionalFormatting>
  <conditionalFormatting sqref="D447:D471">
    <cfRule type="containsText" dxfId="0" priority="839" operator="containsText" text="Problem">
      <formula>NOT(ISERROR(SEARCH(("Problem"),(D447))))</formula>
    </cfRule>
  </conditionalFormatting>
  <conditionalFormatting sqref="D447:D471">
    <cfRule type="containsText" dxfId="0" priority="840" operator="containsText" text="Problem">
      <formula>NOT(ISERROR(SEARCH(("Problem"),(D447))))</formula>
    </cfRule>
  </conditionalFormatting>
  <conditionalFormatting sqref="A712:I712 A769:H769 I742:I769 J712:P769">
    <cfRule type="containsText" dxfId="0" priority="841" operator="containsText" text="Problem">
      <formula>NOT(ISERROR(SEARCH(("Problem"),(A712))))</formula>
    </cfRule>
  </conditionalFormatting>
  <conditionalFormatting sqref="A712:I712 A769:H769 I742:I769 J712:P769">
    <cfRule type="containsText" dxfId="0" priority="842" operator="containsText" text="Problem">
      <formula>NOT(ISERROR(SEARCH(("Problem"),(A712))))</formula>
    </cfRule>
  </conditionalFormatting>
  <conditionalFormatting sqref="A712:I712 A769:H769 I742:I769 J712:P769">
    <cfRule type="containsText" dxfId="0" priority="843" operator="containsText" text="Problem">
      <formula>NOT(ISERROR(SEARCH(("Problem"),(A712))))</formula>
    </cfRule>
  </conditionalFormatting>
  <conditionalFormatting sqref="D683:D707">
    <cfRule type="containsText" dxfId="0" priority="844" operator="containsText" text="Problem">
      <formula>NOT(ISERROR(SEARCH(("Problem"),(D683))))</formula>
    </cfRule>
  </conditionalFormatting>
  <conditionalFormatting sqref="D683:D707">
    <cfRule type="containsText" dxfId="0" priority="845" operator="containsText" text="Problem">
      <formula>NOT(ISERROR(SEARCH(("Problem"),(D683))))</formula>
    </cfRule>
  </conditionalFormatting>
  <conditionalFormatting sqref="B750:C750 B762:B765 B767:C768 C719:C749 C759:C765">
    <cfRule type="containsText" dxfId="0" priority="846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847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848" operator="containsText" text="Problem">
      <formula>NOT(ISERROR(SEARCH(("Problem"),(B750))))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4.86"/>
    <col customWidth="1" min="3" max="3" width="8.57"/>
    <col customWidth="1" min="4" max="10" width="10.71"/>
    <col customWidth="1" min="11" max="1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/>
      <c r="B2" s="3" t="s">
        <v>86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>
      <c r="A3" s="10"/>
      <c r="B3" s="11" t="s">
        <v>3</v>
      </c>
      <c r="C3" s="39"/>
      <c r="D3" s="13"/>
      <c r="E3" s="11"/>
      <c r="F3" s="15"/>
      <c r="G3" s="16"/>
      <c r="H3" s="17"/>
      <c r="I3" s="15"/>
      <c r="J3" s="18"/>
      <c r="K3" s="19" t="s">
        <v>5</v>
      </c>
      <c r="L3" s="20"/>
      <c r="M3" s="20"/>
      <c r="N3" s="20"/>
      <c r="O3" s="20"/>
      <c r="P3" s="21"/>
    </row>
    <row r="4">
      <c r="A4" s="22" t="s">
        <v>6</v>
      </c>
      <c r="B4" s="23" t="s">
        <v>7</v>
      </c>
      <c r="C4" s="24" t="s">
        <v>8</v>
      </c>
      <c r="D4" s="25" t="s">
        <v>9</v>
      </c>
      <c r="E4" s="26" t="s">
        <v>10</v>
      </c>
      <c r="F4" s="26" t="s">
        <v>11</v>
      </c>
      <c r="G4" s="26" t="s">
        <v>12</v>
      </c>
      <c r="H4" s="26" t="s">
        <v>13</v>
      </c>
      <c r="I4" s="26" t="s">
        <v>14</v>
      </c>
      <c r="J4" s="26" t="s">
        <v>15</v>
      </c>
      <c r="K4" s="27" t="s">
        <v>16</v>
      </c>
      <c r="L4" s="27" t="s">
        <v>17</v>
      </c>
      <c r="M4" s="27" t="s">
        <v>18</v>
      </c>
      <c r="N4" s="27" t="s">
        <v>19</v>
      </c>
      <c r="O4" s="27" t="s">
        <v>20</v>
      </c>
      <c r="P4" s="27" t="s">
        <v>21</v>
      </c>
    </row>
    <row r="5">
      <c r="A5" s="28">
        <v>1.0</v>
      </c>
      <c r="B5" s="29" t="s">
        <v>22</v>
      </c>
      <c r="C5" s="30">
        <v>192.17</v>
      </c>
      <c r="D5" s="3"/>
      <c r="E5" s="31"/>
      <c r="F5" s="3"/>
      <c r="G5" s="3"/>
      <c r="H5" s="3"/>
      <c r="I5" s="3"/>
      <c r="J5" s="3" t="str">
        <f t="shared" ref="J5:J61" si="1">D5+E5-F5-G5+H5</f>
        <v>0</v>
      </c>
      <c r="K5" s="27" t="str">
        <f t="shared" ref="K5:K61" si="2">IF(I5&lt;&gt;(D5+E5-F5-G5+H5),"Closing stock Not Correct-Problem"," No Issue")</f>
        <v> No Issue</v>
      </c>
      <c r="L5" s="3" t="str">
        <f t="shared" ref="L5:L61" si="3">IF((D5+E5)&lt;F5,"High Sale and Less Stock-Problem","No Issue")</f>
        <v>No Issue</v>
      </c>
      <c r="M5" s="3" t="str">
        <f t="shared" ref="M5:M61" si="4">IF(AND((D5+E5+I5)=0,F5&gt;0),"No Stock Sale Present Problem","No Issue")</f>
        <v>No Issue</v>
      </c>
      <c r="N5" s="3" t="str">
        <f t="shared" ref="N5:N61" si="5">IF(AND(SUM(D5:H5)=0,I5&gt;0),"Only Closing Entered Other Parameters No Entired Problem","No Issue")</f>
        <v>No Issue</v>
      </c>
      <c r="O5" s="3" t="str">
        <f t="shared" ref="O5:O61" si="6">IF(F5&gt;5000,"Check Once Sales quantity or Value Problem","No Issue")</f>
        <v>No Issue</v>
      </c>
      <c r="P5" s="3" t="str">
        <f t="shared" ref="P5:P61" si="7">IF(I5&gt;5000,"Check Once Closing quantity or Value Problem","NoIssue")</f>
        <v>NoIssue</v>
      </c>
    </row>
    <row r="6">
      <c r="A6" s="28">
        <v>2.0</v>
      </c>
      <c r="B6" s="29" t="s">
        <v>23</v>
      </c>
      <c r="C6" s="30">
        <v>9.26</v>
      </c>
      <c r="D6" s="3"/>
      <c r="E6" s="31"/>
      <c r="F6" s="3"/>
      <c r="G6" s="3"/>
      <c r="H6" s="3"/>
      <c r="I6" s="3"/>
      <c r="J6" s="3" t="str">
        <f t="shared" si="1"/>
        <v>0</v>
      </c>
      <c r="K6" s="27" t="str">
        <f t="shared" si="2"/>
        <v> No Issue</v>
      </c>
      <c r="L6" s="3" t="str">
        <f t="shared" si="3"/>
        <v>No Issue</v>
      </c>
      <c r="M6" s="3" t="str">
        <f t="shared" si="4"/>
        <v>No Issue</v>
      </c>
      <c r="N6" s="3" t="str">
        <f t="shared" si="5"/>
        <v>No Issue</v>
      </c>
      <c r="O6" s="3" t="str">
        <f t="shared" si="6"/>
        <v>No Issue</v>
      </c>
      <c r="P6" s="3" t="str">
        <f t="shared" si="7"/>
        <v>NoIssue</v>
      </c>
    </row>
    <row r="7">
      <c r="A7" s="28">
        <v>3.0</v>
      </c>
      <c r="B7" s="29" t="s">
        <v>24</v>
      </c>
      <c r="C7" s="30">
        <v>87.79</v>
      </c>
      <c r="D7" s="3"/>
      <c r="E7" s="31"/>
      <c r="F7" s="3"/>
      <c r="G7" s="3"/>
      <c r="H7" s="3"/>
      <c r="I7" s="3"/>
      <c r="J7" s="3" t="str">
        <f t="shared" si="1"/>
        <v>0</v>
      </c>
      <c r="K7" s="27" t="str">
        <f t="shared" si="2"/>
        <v> No Issue</v>
      </c>
      <c r="L7" s="3" t="str">
        <f t="shared" si="3"/>
        <v>No Issue</v>
      </c>
      <c r="M7" s="3" t="str">
        <f t="shared" si="4"/>
        <v>No Issue</v>
      </c>
      <c r="N7" s="3" t="str">
        <f t="shared" si="5"/>
        <v>No Issue</v>
      </c>
      <c r="O7" s="3" t="str">
        <f t="shared" si="6"/>
        <v>No Issue</v>
      </c>
      <c r="P7" s="3" t="str">
        <f t="shared" si="7"/>
        <v>NoIssue</v>
      </c>
    </row>
    <row r="8">
      <c r="A8" s="28">
        <v>4.0</v>
      </c>
      <c r="B8" s="29" t="s">
        <v>25</v>
      </c>
      <c r="C8" s="30">
        <v>55.55</v>
      </c>
      <c r="D8" s="3"/>
      <c r="E8" s="31"/>
      <c r="F8" s="3"/>
      <c r="G8" s="3"/>
      <c r="H8" s="3"/>
      <c r="I8" s="3"/>
      <c r="J8" s="3" t="str">
        <f t="shared" si="1"/>
        <v>0</v>
      </c>
      <c r="K8" s="27" t="str">
        <f t="shared" si="2"/>
        <v> No Issue</v>
      </c>
      <c r="L8" s="3" t="str">
        <f t="shared" si="3"/>
        <v>No Issue</v>
      </c>
      <c r="M8" s="3" t="str">
        <f t="shared" si="4"/>
        <v>No Issue</v>
      </c>
      <c r="N8" s="3" t="str">
        <f t="shared" si="5"/>
        <v>No Issue</v>
      </c>
      <c r="O8" s="3" t="str">
        <f t="shared" si="6"/>
        <v>No Issue</v>
      </c>
      <c r="P8" s="3" t="str">
        <f t="shared" si="7"/>
        <v>NoIssue</v>
      </c>
    </row>
    <row r="9">
      <c r="A9" s="28">
        <v>5.0</v>
      </c>
      <c r="B9" s="29" t="s">
        <v>26</v>
      </c>
      <c r="C9" s="30">
        <v>70.01</v>
      </c>
      <c r="D9" s="3"/>
      <c r="E9" s="31"/>
      <c r="F9" s="3"/>
      <c r="G9" s="3"/>
      <c r="H9" s="3"/>
      <c r="I9" s="3"/>
      <c r="J9" s="3" t="str">
        <f t="shared" si="1"/>
        <v>0</v>
      </c>
      <c r="K9" s="27" t="str">
        <f t="shared" si="2"/>
        <v> No Issue</v>
      </c>
      <c r="L9" s="3" t="str">
        <f t="shared" si="3"/>
        <v>No Issue</v>
      </c>
      <c r="M9" s="3" t="str">
        <f t="shared" si="4"/>
        <v>No Issue</v>
      </c>
      <c r="N9" s="3" t="str">
        <f t="shared" si="5"/>
        <v>No Issue</v>
      </c>
      <c r="O9" s="3" t="str">
        <f t="shared" si="6"/>
        <v>No Issue</v>
      </c>
      <c r="P9" s="3" t="str">
        <f t="shared" si="7"/>
        <v>NoIssue</v>
      </c>
    </row>
    <row r="10">
      <c r="A10" s="28">
        <v>6.0</v>
      </c>
      <c r="B10" s="29" t="s">
        <v>27</v>
      </c>
      <c r="C10" s="30">
        <v>73.92999999999999</v>
      </c>
      <c r="D10" s="3"/>
      <c r="E10" s="31"/>
      <c r="F10" s="3"/>
      <c r="G10" s="3"/>
      <c r="H10" s="3"/>
      <c r="I10" s="3"/>
      <c r="J10" s="3" t="str">
        <f t="shared" si="1"/>
        <v>0</v>
      </c>
      <c r="K10" s="27" t="str">
        <f t="shared" si="2"/>
        <v> No Issue</v>
      </c>
      <c r="L10" s="3" t="str">
        <f t="shared" si="3"/>
        <v>No Issue</v>
      </c>
      <c r="M10" s="3" t="str">
        <f t="shared" si="4"/>
        <v>No Issue</v>
      </c>
      <c r="N10" s="3" t="str">
        <f t="shared" si="5"/>
        <v>No Issue</v>
      </c>
      <c r="O10" s="3" t="str">
        <f t="shared" si="6"/>
        <v>No Issue</v>
      </c>
      <c r="P10" s="3" t="str">
        <f t="shared" si="7"/>
        <v>NoIssue</v>
      </c>
    </row>
    <row r="11">
      <c r="A11" s="28">
        <v>7.0</v>
      </c>
      <c r="B11" s="29" t="s">
        <v>28</v>
      </c>
      <c r="C11" s="30">
        <v>13.91</v>
      </c>
      <c r="D11" s="3"/>
      <c r="E11" s="31"/>
      <c r="F11" s="3"/>
      <c r="G11" s="3"/>
      <c r="H11" s="3"/>
      <c r="I11" s="3"/>
      <c r="J11" s="3" t="str">
        <f t="shared" si="1"/>
        <v>0</v>
      </c>
      <c r="K11" s="27" t="str">
        <f t="shared" si="2"/>
        <v> No Issue</v>
      </c>
      <c r="L11" s="3" t="str">
        <f t="shared" si="3"/>
        <v>No Issue</v>
      </c>
      <c r="M11" s="3" t="str">
        <f t="shared" si="4"/>
        <v>No Issue</v>
      </c>
      <c r="N11" s="3" t="str">
        <f t="shared" si="5"/>
        <v>No Issue</v>
      </c>
      <c r="O11" s="3" t="str">
        <f t="shared" si="6"/>
        <v>No Issue</v>
      </c>
      <c r="P11" s="3" t="str">
        <f t="shared" si="7"/>
        <v>NoIssue</v>
      </c>
    </row>
    <row r="12">
      <c r="A12" s="28">
        <v>8.0</v>
      </c>
      <c r="B12" s="29" t="s">
        <v>29</v>
      </c>
      <c r="C12" s="30">
        <v>19.5</v>
      </c>
      <c r="D12" s="3"/>
      <c r="E12" s="31"/>
      <c r="F12" s="3"/>
      <c r="G12" s="3"/>
      <c r="H12" s="3"/>
      <c r="I12" s="3"/>
      <c r="J12" s="3" t="str">
        <f t="shared" si="1"/>
        <v>0</v>
      </c>
      <c r="K12" s="27" t="str">
        <f t="shared" si="2"/>
        <v> No Issue</v>
      </c>
      <c r="L12" s="3" t="str">
        <f t="shared" si="3"/>
        <v>No Issue</v>
      </c>
      <c r="M12" s="3" t="str">
        <f t="shared" si="4"/>
        <v>No Issue</v>
      </c>
      <c r="N12" s="3" t="str">
        <f t="shared" si="5"/>
        <v>No Issue</v>
      </c>
      <c r="O12" s="3" t="str">
        <f t="shared" si="6"/>
        <v>No Issue</v>
      </c>
      <c r="P12" s="3" t="str">
        <f t="shared" si="7"/>
        <v>NoIssue</v>
      </c>
    </row>
    <row r="13">
      <c r="A13" s="28">
        <v>9.0</v>
      </c>
      <c r="B13" s="29" t="s">
        <v>30</v>
      </c>
      <c r="C13" s="30">
        <v>28.83</v>
      </c>
      <c r="D13" s="3"/>
      <c r="E13" s="31"/>
      <c r="F13" s="3"/>
      <c r="G13" s="3"/>
      <c r="H13" s="3"/>
      <c r="I13" s="3"/>
      <c r="J13" s="3" t="str">
        <f t="shared" si="1"/>
        <v>0</v>
      </c>
      <c r="K13" s="27" t="str">
        <f t="shared" si="2"/>
        <v> No Issue</v>
      </c>
      <c r="L13" s="3" t="str">
        <f t="shared" si="3"/>
        <v>No Issue</v>
      </c>
      <c r="M13" s="3" t="str">
        <f t="shared" si="4"/>
        <v>No Issue</v>
      </c>
      <c r="N13" s="3" t="str">
        <f t="shared" si="5"/>
        <v>No Issue</v>
      </c>
      <c r="O13" s="3" t="str">
        <f t="shared" si="6"/>
        <v>No Issue</v>
      </c>
      <c r="P13" s="3" t="str">
        <f t="shared" si="7"/>
        <v>NoIssue</v>
      </c>
    </row>
    <row r="14">
      <c r="A14" s="28">
        <v>10.0</v>
      </c>
      <c r="B14" s="29" t="s">
        <v>31</v>
      </c>
      <c r="C14" s="30">
        <v>8.51</v>
      </c>
      <c r="D14" s="3"/>
      <c r="E14" s="31"/>
      <c r="F14" s="3"/>
      <c r="G14" s="3"/>
      <c r="H14" s="3"/>
      <c r="I14" s="3"/>
      <c r="J14" s="3" t="str">
        <f t="shared" si="1"/>
        <v>0</v>
      </c>
      <c r="K14" s="27" t="str">
        <f t="shared" si="2"/>
        <v> No Issue</v>
      </c>
      <c r="L14" s="3" t="str">
        <f t="shared" si="3"/>
        <v>No Issue</v>
      </c>
      <c r="M14" s="3" t="str">
        <f t="shared" si="4"/>
        <v>No Issue</v>
      </c>
      <c r="N14" s="3" t="str">
        <f t="shared" si="5"/>
        <v>No Issue</v>
      </c>
      <c r="O14" s="3" t="str">
        <f t="shared" si="6"/>
        <v>No Issue</v>
      </c>
      <c r="P14" s="3" t="str">
        <f t="shared" si="7"/>
        <v>NoIssue</v>
      </c>
    </row>
    <row r="15">
      <c r="A15" s="28">
        <v>11.0</v>
      </c>
      <c r="B15" s="29" t="s">
        <v>32</v>
      </c>
      <c r="C15" s="30">
        <v>102.17</v>
      </c>
      <c r="D15" s="3"/>
      <c r="E15" s="31"/>
      <c r="F15" s="3"/>
      <c r="G15" s="3"/>
      <c r="H15" s="3"/>
      <c r="I15" s="3"/>
      <c r="J15" s="3" t="str">
        <f t="shared" si="1"/>
        <v>0</v>
      </c>
      <c r="K15" s="27" t="str">
        <f t="shared" si="2"/>
        <v> No Issue</v>
      </c>
      <c r="L15" s="3" t="str">
        <f t="shared" si="3"/>
        <v>No Issue</v>
      </c>
      <c r="M15" s="3" t="str">
        <f t="shared" si="4"/>
        <v>No Issue</v>
      </c>
      <c r="N15" s="3" t="str">
        <f t="shared" si="5"/>
        <v>No Issue</v>
      </c>
      <c r="O15" s="3" t="str">
        <f t="shared" si="6"/>
        <v>No Issue</v>
      </c>
      <c r="P15" s="3" t="str">
        <f t="shared" si="7"/>
        <v>NoIssue</v>
      </c>
    </row>
    <row r="16">
      <c r="A16" s="28">
        <v>12.0</v>
      </c>
      <c r="B16" s="29" t="s">
        <v>33</v>
      </c>
      <c r="C16" s="30">
        <v>59.93</v>
      </c>
      <c r="D16" s="3"/>
      <c r="E16" s="31"/>
      <c r="F16" s="3"/>
      <c r="G16" s="3"/>
      <c r="H16" s="3"/>
      <c r="I16" s="3"/>
      <c r="J16" s="3" t="str">
        <f t="shared" si="1"/>
        <v>0</v>
      </c>
      <c r="K16" s="27" t="str">
        <f t="shared" si="2"/>
        <v> No Issue</v>
      </c>
      <c r="L16" s="3" t="str">
        <f t="shared" si="3"/>
        <v>No Issue</v>
      </c>
      <c r="M16" s="3" t="str">
        <f t="shared" si="4"/>
        <v>No Issue</v>
      </c>
      <c r="N16" s="3" t="str">
        <f t="shared" si="5"/>
        <v>No Issue</v>
      </c>
      <c r="O16" s="3" t="str">
        <f t="shared" si="6"/>
        <v>No Issue</v>
      </c>
      <c r="P16" s="3" t="str">
        <f t="shared" si="7"/>
        <v>NoIssue</v>
      </c>
    </row>
    <row r="17">
      <c r="A17" s="28">
        <v>13.0</v>
      </c>
      <c r="B17" s="29" t="s">
        <v>34</v>
      </c>
      <c r="C17" s="30">
        <v>118.0</v>
      </c>
      <c r="D17" s="3"/>
      <c r="E17" s="31"/>
      <c r="F17" s="3"/>
      <c r="G17" s="3"/>
      <c r="H17" s="3"/>
      <c r="I17" s="3"/>
      <c r="J17" s="3" t="str">
        <f t="shared" si="1"/>
        <v>0</v>
      </c>
      <c r="K17" s="27" t="str">
        <f t="shared" si="2"/>
        <v> No Issue</v>
      </c>
      <c r="L17" s="3" t="str">
        <f t="shared" si="3"/>
        <v>No Issue</v>
      </c>
      <c r="M17" s="3" t="str">
        <f t="shared" si="4"/>
        <v>No Issue</v>
      </c>
      <c r="N17" s="3" t="str">
        <f t="shared" si="5"/>
        <v>No Issue</v>
      </c>
      <c r="O17" s="3" t="str">
        <f t="shared" si="6"/>
        <v>No Issue</v>
      </c>
      <c r="P17" s="3" t="str">
        <f t="shared" si="7"/>
        <v>NoIssue</v>
      </c>
    </row>
    <row r="18">
      <c r="A18" s="28">
        <v>14.0</v>
      </c>
      <c r="B18" s="29" t="s">
        <v>35</v>
      </c>
      <c r="C18" s="30">
        <v>52.83</v>
      </c>
      <c r="D18" s="3"/>
      <c r="E18" s="31"/>
      <c r="F18" s="3"/>
      <c r="G18" s="3"/>
      <c r="H18" s="3"/>
      <c r="I18" s="3"/>
      <c r="J18" s="3" t="str">
        <f t="shared" si="1"/>
        <v>0</v>
      </c>
      <c r="K18" s="27" t="str">
        <f t="shared" si="2"/>
        <v> No Issue</v>
      </c>
      <c r="L18" s="3" t="str">
        <f t="shared" si="3"/>
        <v>No Issue</v>
      </c>
      <c r="M18" s="3" t="str">
        <f t="shared" si="4"/>
        <v>No Issue</v>
      </c>
      <c r="N18" s="3" t="str">
        <f t="shared" si="5"/>
        <v>No Issue</v>
      </c>
      <c r="O18" s="3" t="str">
        <f t="shared" si="6"/>
        <v>No Issue</v>
      </c>
      <c r="P18" s="3" t="str">
        <f t="shared" si="7"/>
        <v>NoIssue</v>
      </c>
    </row>
    <row r="19">
      <c r="A19" s="28">
        <v>15.0</v>
      </c>
      <c r="B19" s="29" t="s">
        <v>36</v>
      </c>
      <c r="C19" s="30">
        <v>93.2</v>
      </c>
      <c r="D19" s="3"/>
      <c r="E19" s="31"/>
      <c r="F19" s="3"/>
      <c r="G19" s="3"/>
      <c r="H19" s="3"/>
      <c r="I19" s="3"/>
      <c r="J19" s="3" t="str">
        <f t="shared" si="1"/>
        <v>0</v>
      </c>
      <c r="K19" s="27" t="str">
        <f t="shared" si="2"/>
        <v> No Issue</v>
      </c>
      <c r="L19" s="3" t="str">
        <f t="shared" si="3"/>
        <v>No Issue</v>
      </c>
      <c r="M19" s="3" t="str">
        <f t="shared" si="4"/>
        <v>No Issue</v>
      </c>
      <c r="N19" s="3" t="str">
        <f t="shared" si="5"/>
        <v>No Issue</v>
      </c>
      <c r="O19" s="3" t="str">
        <f t="shared" si="6"/>
        <v>No Issue</v>
      </c>
      <c r="P19" s="3" t="str">
        <f t="shared" si="7"/>
        <v>NoIssue</v>
      </c>
    </row>
    <row r="20">
      <c r="A20" s="28">
        <v>16.0</v>
      </c>
      <c r="B20" s="29" t="s">
        <v>37</v>
      </c>
      <c r="C20" s="30">
        <v>61.02</v>
      </c>
      <c r="D20" s="3"/>
      <c r="E20" s="31"/>
      <c r="F20" s="3"/>
      <c r="G20" s="3"/>
      <c r="H20" s="3"/>
      <c r="I20" s="3"/>
      <c r="J20" s="3" t="str">
        <f t="shared" si="1"/>
        <v>0</v>
      </c>
      <c r="K20" s="27" t="str">
        <f t="shared" si="2"/>
        <v> No Issue</v>
      </c>
      <c r="L20" s="3" t="str">
        <f t="shared" si="3"/>
        <v>No Issue</v>
      </c>
      <c r="M20" s="3" t="str">
        <f t="shared" si="4"/>
        <v>No Issue</v>
      </c>
      <c r="N20" s="3" t="str">
        <f t="shared" si="5"/>
        <v>No Issue</v>
      </c>
      <c r="O20" s="3" t="str">
        <f t="shared" si="6"/>
        <v>No Issue</v>
      </c>
      <c r="P20" s="3" t="str">
        <f t="shared" si="7"/>
        <v>NoIssue</v>
      </c>
    </row>
    <row r="21" ht="15.75" customHeight="1">
      <c r="A21" s="28">
        <v>17.0</v>
      </c>
      <c r="B21" s="29" t="s">
        <v>38</v>
      </c>
      <c r="C21" s="30">
        <v>36.62</v>
      </c>
      <c r="D21" s="3"/>
      <c r="E21" s="31"/>
      <c r="F21" s="3"/>
      <c r="G21" s="3"/>
      <c r="H21" s="3"/>
      <c r="I21" s="3"/>
      <c r="J21" s="3" t="str">
        <f t="shared" si="1"/>
        <v>0</v>
      </c>
      <c r="K21" s="27" t="str">
        <f t="shared" si="2"/>
        <v> No Issue</v>
      </c>
      <c r="L21" s="3" t="str">
        <f t="shared" si="3"/>
        <v>No Issue</v>
      </c>
      <c r="M21" s="3" t="str">
        <f t="shared" si="4"/>
        <v>No Issue</v>
      </c>
      <c r="N21" s="3" t="str">
        <f t="shared" si="5"/>
        <v>No Issue</v>
      </c>
      <c r="O21" s="3" t="str">
        <f t="shared" si="6"/>
        <v>No Issue</v>
      </c>
      <c r="P21" s="3" t="str">
        <f t="shared" si="7"/>
        <v>NoIssue</v>
      </c>
    </row>
    <row r="22" ht="15.75" customHeight="1">
      <c r="A22" s="28">
        <v>18.0</v>
      </c>
      <c r="B22" s="29" t="s">
        <v>39</v>
      </c>
      <c r="C22" s="30">
        <v>80.36</v>
      </c>
      <c r="D22" s="3"/>
      <c r="E22" s="31"/>
      <c r="F22" s="3"/>
      <c r="G22" s="3"/>
      <c r="H22" s="3"/>
      <c r="I22" s="3"/>
      <c r="J22" s="3" t="str">
        <f t="shared" si="1"/>
        <v>0</v>
      </c>
      <c r="K22" s="27" t="str">
        <f t="shared" si="2"/>
        <v> No Issue</v>
      </c>
      <c r="L22" s="3" t="str">
        <f t="shared" si="3"/>
        <v>No Issue</v>
      </c>
      <c r="M22" s="3" t="str">
        <f t="shared" si="4"/>
        <v>No Issue</v>
      </c>
      <c r="N22" s="3" t="str">
        <f t="shared" si="5"/>
        <v>No Issue</v>
      </c>
      <c r="O22" s="3" t="str">
        <f t="shared" si="6"/>
        <v>No Issue</v>
      </c>
      <c r="P22" s="3" t="str">
        <f t="shared" si="7"/>
        <v>NoIssue</v>
      </c>
    </row>
    <row r="23" ht="15.75" customHeight="1">
      <c r="A23" s="28">
        <v>19.0</v>
      </c>
      <c r="B23" s="29" t="s">
        <v>40</v>
      </c>
      <c r="C23" s="30">
        <v>160.56</v>
      </c>
      <c r="D23" s="3"/>
      <c r="E23" s="31"/>
      <c r="F23" s="3"/>
      <c r="G23" s="3"/>
      <c r="H23" s="3"/>
      <c r="I23" s="3"/>
      <c r="J23" s="3" t="str">
        <f t="shared" si="1"/>
        <v>0</v>
      </c>
      <c r="K23" s="27" t="str">
        <f t="shared" si="2"/>
        <v> No Issue</v>
      </c>
      <c r="L23" s="3" t="str">
        <f t="shared" si="3"/>
        <v>No Issue</v>
      </c>
      <c r="M23" s="3" t="str">
        <f t="shared" si="4"/>
        <v>No Issue</v>
      </c>
      <c r="N23" s="3" t="str">
        <f t="shared" si="5"/>
        <v>No Issue</v>
      </c>
      <c r="O23" s="3" t="str">
        <f t="shared" si="6"/>
        <v>No Issue</v>
      </c>
      <c r="P23" s="3" t="str">
        <f t="shared" si="7"/>
        <v>NoIssue</v>
      </c>
    </row>
    <row r="24" ht="15.75" customHeight="1">
      <c r="A24" s="28">
        <v>20.0</v>
      </c>
      <c r="B24" s="29" t="s">
        <v>41</v>
      </c>
      <c r="C24" s="30">
        <v>186.44</v>
      </c>
      <c r="D24" s="3"/>
      <c r="E24" s="31"/>
      <c r="F24" s="3"/>
      <c r="G24" s="3"/>
      <c r="H24" s="3"/>
      <c r="I24" s="3"/>
      <c r="J24" s="3" t="str">
        <f t="shared" si="1"/>
        <v>0</v>
      </c>
      <c r="K24" s="27" t="str">
        <f t="shared" si="2"/>
        <v> No Issue</v>
      </c>
      <c r="L24" s="3" t="str">
        <f t="shared" si="3"/>
        <v>No Issue</v>
      </c>
      <c r="M24" s="3" t="str">
        <f t="shared" si="4"/>
        <v>No Issue</v>
      </c>
      <c r="N24" s="3" t="str">
        <f t="shared" si="5"/>
        <v>No Issue</v>
      </c>
      <c r="O24" s="3" t="str">
        <f t="shared" si="6"/>
        <v>No Issue</v>
      </c>
      <c r="P24" s="3" t="str">
        <f t="shared" si="7"/>
        <v>NoIssue</v>
      </c>
    </row>
    <row r="25" ht="15.75" customHeight="1">
      <c r="A25" s="28">
        <v>21.0</v>
      </c>
      <c r="B25" s="29" t="s">
        <v>42</v>
      </c>
      <c r="C25" s="30">
        <v>92.59</v>
      </c>
      <c r="D25" s="3"/>
      <c r="E25" s="31"/>
      <c r="F25" s="3"/>
      <c r="G25" s="3"/>
      <c r="H25" s="3"/>
      <c r="I25" s="3"/>
      <c r="J25" s="3" t="str">
        <f t="shared" si="1"/>
        <v>0</v>
      </c>
      <c r="K25" s="27" t="str">
        <f t="shared" si="2"/>
        <v> No Issue</v>
      </c>
      <c r="L25" s="3" t="str">
        <f t="shared" si="3"/>
        <v>No Issue</v>
      </c>
      <c r="M25" s="3" t="str">
        <f t="shared" si="4"/>
        <v>No Issue</v>
      </c>
      <c r="N25" s="3" t="str">
        <f t="shared" si="5"/>
        <v>No Issue</v>
      </c>
      <c r="O25" s="3" t="str">
        <f t="shared" si="6"/>
        <v>No Issue</v>
      </c>
      <c r="P25" s="3" t="str">
        <f t="shared" si="7"/>
        <v>NoIssue</v>
      </c>
    </row>
    <row r="26" ht="15.75" customHeight="1">
      <c r="A26" s="28">
        <v>22.0</v>
      </c>
      <c r="B26" s="29" t="s">
        <v>43</v>
      </c>
      <c r="C26" s="30">
        <v>95.17</v>
      </c>
      <c r="D26" s="3"/>
      <c r="E26" s="31"/>
      <c r="F26" s="3"/>
      <c r="G26" s="3"/>
      <c r="H26" s="3"/>
      <c r="I26" s="3"/>
      <c r="J26" s="3" t="str">
        <f t="shared" si="1"/>
        <v>0</v>
      </c>
      <c r="K26" s="27" t="str">
        <f t="shared" si="2"/>
        <v> No Issue</v>
      </c>
      <c r="L26" s="3" t="str">
        <f t="shared" si="3"/>
        <v>No Issue</v>
      </c>
      <c r="M26" s="3" t="str">
        <f t="shared" si="4"/>
        <v>No Issue</v>
      </c>
      <c r="N26" s="3" t="str">
        <f t="shared" si="5"/>
        <v>No Issue</v>
      </c>
      <c r="O26" s="3" t="str">
        <f t="shared" si="6"/>
        <v>No Issue</v>
      </c>
      <c r="P26" s="3" t="str">
        <f t="shared" si="7"/>
        <v>NoIssue</v>
      </c>
    </row>
    <row r="27" ht="15.75" customHeight="1">
      <c r="A27" s="28">
        <v>23.0</v>
      </c>
      <c r="B27" s="29" t="s">
        <v>44</v>
      </c>
      <c r="C27" s="30">
        <v>92.94</v>
      </c>
      <c r="D27" s="3"/>
      <c r="E27" s="31"/>
      <c r="F27" s="3"/>
      <c r="G27" s="3"/>
      <c r="H27" s="3"/>
      <c r="I27" s="3"/>
      <c r="J27" s="3" t="str">
        <f t="shared" si="1"/>
        <v>0</v>
      </c>
      <c r="K27" s="27" t="str">
        <f t="shared" si="2"/>
        <v> No Issue</v>
      </c>
      <c r="L27" s="3" t="str">
        <f t="shared" si="3"/>
        <v>No Issue</v>
      </c>
      <c r="M27" s="3" t="str">
        <f t="shared" si="4"/>
        <v>No Issue</v>
      </c>
      <c r="N27" s="3" t="str">
        <f t="shared" si="5"/>
        <v>No Issue</v>
      </c>
      <c r="O27" s="3" t="str">
        <f t="shared" si="6"/>
        <v>No Issue</v>
      </c>
      <c r="P27" s="3" t="str">
        <f t="shared" si="7"/>
        <v>NoIssue</v>
      </c>
    </row>
    <row r="28" ht="15.75" customHeight="1">
      <c r="A28" s="28">
        <v>24.0</v>
      </c>
      <c r="B28" s="29" t="s">
        <v>45</v>
      </c>
      <c r="C28" s="30">
        <v>101.82</v>
      </c>
      <c r="D28" s="3"/>
      <c r="E28" s="31"/>
      <c r="F28" s="3"/>
      <c r="G28" s="3"/>
      <c r="H28" s="3"/>
      <c r="I28" s="3"/>
      <c r="J28" s="3" t="str">
        <f t="shared" si="1"/>
        <v>0</v>
      </c>
      <c r="K28" s="27" t="str">
        <f t="shared" si="2"/>
        <v> No Issue</v>
      </c>
      <c r="L28" s="3" t="str">
        <f t="shared" si="3"/>
        <v>No Issue</v>
      </c>
      <c r="M28" s="3" t="str">
        <f t="shared" si="4"/>
        <v>No Issue</v>
      </c>
      <c r="N28" s="3" t="str">
        <f t="shared" si="5"/>
        <v>No Issue</v>
      </c>
      <c r="O28" s="3" t="str">
        <f t="shared" si="6"/>
        <v>No Issue</v>
      </c>
      <c r="P28" s="3" t="str">
        <f t="shared" si="7"/>
        <v>NoIssue</v>
      </c>
    </row>
    <row r="29" ht="15.75" customHeight="1">
      <c r="A29" s="28">
        <v>25.0</v>
      </c>
      <c r="B29" s="29" t="s">
        <v>46</v>
      </c>
      <c r="C29" s="30">
        <v>53.49</v>
      </c>
      <c r="D29" s="3"/>
      <c r="E29" s="31"/>
      <c r="F29" s="3"/>
      <c r="G29" s="3"/>
      <c r="H29" s="3"/>
      <c r="I29" s="3"/>
      <c r="J29" s="3" t="str">
        <f t="shared" si="1"/>
        <v>0</v>
      </c>
      <c r="K29" s="27" t="str">
        <f t="shared" si="2"/>
        <v> No Issue</v>
      </c>
      <c r="L29" s="3" t="str">
        <f t="shared" si="3"/>
        <v>No Issue</v>
      </c>
      <c r="M29" s="3" t="str">
        <f t="shared" si="4"/>
        <v>No Issue</v>
      </c>
      <c r="N29" s="3" t="str">
        <f t="shared" si="5"/>
        <v>No Issue</v>
      </c>
      <c r="O29" s="3" t="str">
        <f t="shared" si="6"/>
        <v>No Issue</v>
      </c>
      <c r="P29" s="3" t="str">
        <f t="shared" si="7"/>
        <v>NoIssue</v>
      </c>
    </row>
    <row r="30" ht="15.75" customHeight="1">
      <c r="A30" s="28">
        <v>26.0</v>
      </c>
      <c r="B30" s="29" t="s">
        <v>47</v>
      </c>
      <c r="C30" s="30">
        <v>32.92</v>
      </c>
      <c r="D30" s="3"/>
      <c r="E30" s="31"/>
      <c r="F30" s="3"/>
      <c r="G30" s="3"/>
      <c r="H30" s="3"/>
      <c r="I30" s="3"/>
      <c r="J30" s="3" t="str">
        <f t="shared" si="1"/>
        <v>0</v>
      </c>
      <c r="K30" s="27" t="str">
        <f t="shared" si="2"/>
        <v> No Issue</v>
      </c>
      <c r="L30" s="3" t="str">
        <f t="shared" si="3"/>
        <v>No Issue</v>
      </c>
      <c r="M30" s="3" t="str">
        <f t="shared" si="4"/>
        <v>No Issue</v>
      </c>
      <c r="N30" s="3" t="str">
        <f t="shared" si="5"/>
        <v>No Issue</v>
      </c>
      <c r="O30" s="3" t="str">
        <f t="shared" si="6"/>
        <v>No Issue</v>
      </c>
      <c r="P30" s="3" t="str">
        <f t="shared" si="7"/>
        <v>NoIssue</v>
      </c>
    </row>
    <row r="31" ht="15.75" customHeight="1">
      <c r="A31" s="28">
        <v>27.0</v>
      </c>
      <c r="B31" s="29" t="s">
        <v>48</v>
      </c>
      <c r="C31" s="30">
        <v>116.68</v>
      </c>
      <c r="D31" s="3"/>
      <c r="E31" s="31"/>
      <c r="F31" s="3"/>
      <c r="G31" s="3"/>
      <c r="H31" s="3"/>
      <c r="I31" s="3"/>
      <c r="J31" s="3" t="str">
        <f t="shared" si="1"/>
        <v>0</v>
      </c>
      <c r="K31" s="27" t="str">
        <f t="shared" si="2"/>
        <v> No Issue</v>
      </c>
      <c r="L31" s="3" t="str">
        <f t="shared" si="3"/>
        <v>No Issue</v>
      </c>
      <c r="M31" s="3" t="str">
        <f t="shared" si="4"/>
        <v>No Issue</v>
      </c>
      <c r="N31" s="3" t="str">
        <f t="shared" si="5"/>
        <v>No Issue</v>
      </c>
      <c r="O31" s="3" t="str">
        <f t="shared" si="6"/>
        <v>No Issue</v>
      </c>
      <c r="P31" s="3" t="str">
        <f t="shared" si="7"/>
        <v>NoIssue</v>
      </c>
    </row>
    <row r="32" ht="15.75" customHeight="1">
      <c r="A32" s="28">
        <v>28.0</v>
      </c>
      <c r="B32" s="29" t="s">
        <v>49</v>
      </c>
      <c r="C32" s="30">
        <v>107.96</v>
      </c>
      <c r="D32" s="3"/>
      <c r="E32" s="31"/>
      <c r="F32" s="3"/>
      <c r="G32" s="3"/>
      <c r="H32" s="3"/>
      <c r="I32" s="3"/>
      <c r="J32" s="3" t="str">
        <f t="shared" si="1"/>
        <v>0</v>
      </c>
      <c r="K32" s="27" t="str">
        <f t="shared" si="2"/>
        <v> No Issue</v>
      </c>
      <c r="L32" s="3" t="str">
        <f t="shared" si="3"/>
        <v>No Issue</v>
      </c>
      <c r="M32" s="3" t="str">
        <f t="shared" si="4"/>
        <v>No Issue</v>
      </c>
      <c r="N32" s="3" t="str">
        <f t="shared" si="5"/>
        <v>No Issue</v>
      </c>
      <c r="O32" s="3" t="str">
        <f t="shared" si="6"/>
        <v>No Issue</v>
      </c>
      <c r="P32" s="3" t="str">
        <f t="shared" si="7"/>
        <v>NoIssue</v>
      </c>
    </row>
    <row r="33" ht="15.75" customHeight="1">
      <c r="A33" s="28">
        <v>29.0</v>
      </c>
      <c r="B33" s="29" t="s">
        <v>50</v>
      </c>
      <c r="C33" s="30">
        <v>248.89</v>
      </c>
      <c r="D33" s="3"/>
      <c r="E33" s="31"/>
      <c r="F33" s="3"/>
      <c r="G33" s="3"/>
      <c r="H33" s="3"/>
      <c r="I33" s="3"/>
      <c r="J33" s="3" t="str">
        <f t="shared" si="1"/>
        <v>0</v>
      </c>
      <c r="K33" s="27" t="str">
        <f t="shared" si="2"/>
        <v> No Issue</v>
      </c>
      <c r="L33" s="3" t="str">
        <f t="shared" si="3"/>
        <v>No Issue</v>
      </c>
      <c r="M33" s="3" t="str">
        <f t="shared" si="4"/>
        <v>No Issue</v>
      </c>
      <c r="N33" s="3" t="str">
        <f t="shared" si="5"/>
        <v>No Issue</v>
      </c>
      <c r="O33" s="3" t="str">
        <f t="shared" si="6"/>
        <v>No Issue</v>
      </c>
      <c r="P33" s="3" t="str">
        <f t="shared" si="7"/>
        <v>NoIssue</v>
      </c>
    </row>
    <row r="34" ht="15.75" customHeight="1">
      <c r="A34" s="28">
        <v>30.0</v>
      </c>
      <c r="B34" s="29" t="s">
        <v>51</v>
      </c>
      <c r="C34" s="30">
        <v>80.36</v>
      </c>
      <c r="D34" s="3"/>
      <c r="E34" s="31"/>
      <c r="F34" s="3"/>
      <c r="G34" s="3"/>
      <c r="H34" s="3"/>
      <c r="I34" s="3"/>
      <c r="J34" s="3" t="str">
        <f t="shared" si="1"/>
        <v>0</v>
      </c>
      <c r="K34" s="27" t="str">
        <f t="shared" si="2"/>
        <v> No Issue</v>
      </c>
      <c r="L34" s="3" t="str">
        <f t="shared" si="3"/>
        <v>No Issue</v>
      </c>
      <c r="M34" s="3" t="str">
        <f t="shared" si="4"/>
        <v>No Issue</v>
      </c>
      <c r="N34" s="3" t="str">
        <f t="shared" si="5"/>
        <v>No Issue</v>
      </c>
      <c r="O34" s="3" t="str">
        <f t="shared" si="6"/>
        <v>No Issue</v>
      </c>
      <c r="P34" s="3" t="str">
        <f t="shared" si="7"/>
        <v>NoIssue</v>
      </c>
    </row>
    <row r="35" ht="15.75" customHeight="1">
      <c r="A35" s="28">
        <v>31.0</v>
      </c>
      <c r="B35" s="29" t="s">
        <v>52</v>
      </c>
      <c r="C35" s="30">
        <v>52.46</v>
      </c>
      <c r="D35" s="3"/>
      <c r="E35" s="31"/>
      <c r="F35" s="27"/>
      <c r="G35" s="27"/>
      <c r="H35" s="27"/>
      <c r="I35" s="3"/>
      <c r="J35" s="3" t="str">
        <f t="shared" si="1"/>
        <v>0</v>
      </c>
      <c r="K35" s="27" t="str">
        <f t="shared" si="2"/>
        <v> No Issue</v>
      </c>
      <c r="L35" s="3" t="str">
        <f t="shared" si="3"/>
        <v>No Issue</v>
      </c>
      <c r="M35" s="3" t="str">
        <f t="shared" si="4"/>
        <v>No Issue</v>
      </c>
      <c r="N35" s="3" t="str">
        <f t="shared" si="5"/>
        <v>No Issue</v>
      </c>
      <c r="O35" s="3" t="str">
        <f t="shared" si="6"/>
        <v>No Issue</v>
      </c>
      <c r="P35" s="3" t="str">
        <f t="shared" si="7"/>
        <v>NoIssue</v>
      </c>
    </row>
    <row r="36" ht="15.75" customHeight="1">
      <c r="A36" s="28">
        <v>32.0</v>
      </c>
      <c r="B36" s="29" t="s">
        <v>53</v>
      </c>
      <c r="C36" s="30">
        <v>71.21</v>
      </c>
      <c r="D36" s="3"/>
      <c r="E36" s="31"/>
      <c r="F36" s="27"/>
      <c r="G36" s="27"/>
      <c r="H36" s="27"/>
      <c r="I36" s="3"/>
      <c r="J36" s="3" t="str">
        <f t="shared" si="1"/>
        <v>0</v>
      </c>
      <c r="K36" s="27" t="str">
        <f t="shared" si="2"/>
        <v> No Issue</v>
      </c>
      <c r="L36" s="3" t="str">
        <f t="shared" si="3"/>
        <v>No Issue</v>
      </c>
      <c r="M36" s="3" t="str">
        <f t="shared" si="4"/>
        <v>No Issue</v>
      </c>
      <c r="N36" s="3" t="str">
        <f t="shared" si="5"/>
        <v>No Issue</v>
      </c>
      <c r="O36" s="3" t="str">
        <f t="shared" si="6"/>
        <v>No Issue</v>
      </c>
      <c r="P36" s="3" t="str">
        <f t="shared" si="7"/>
        <v>NoIssue</v>
      </c>
    </row>
    <row r="37" ht="15.75" customHeight="1">
      <c r="A37" s="28">
        <v>33.0</v>
      </c>
      <c r="B37" s="29" t="s">
        <v>54</v>
      </c>
      <c r="C37" s="30">
        <v>80.35</v>
      </c>
      <c r="D37" s="3"/>
      <c r="E37" s="31"/>
      <c r="F37" s="27"/>
      <c r="G37" s="27"/>
      <c r="H37" s="27"/>
      <c r="I37" s="3"/>
      <c r="J37" s="3" t="str">
        <f t="shared" si="1"/>
        <v>0</v>
      </c>
      <c r="K37" s="27" t="str">
        <f t="shared" si="2"/>
        <v> No Issue</v>
      </c>
      <c r="L37" s="3" t="str">
        <f t="shared" si="3"/>
        <v>No Issue</v>
      </c>
      <c r="M37" s="3" t="str">
        <f t="shared" si="4"/>
        <v>No Issue</v>
      </c>
      <c r="N37" s="3" t="str">
        <f t="shared" si="5"/>
        <v>No Issue</v>
      </c>
      <c r="O37" s="3" t="str">
        <f t="shared" si="6"/>
        <v>No Issue</v>
      </c>
      <c r="P37" s="3" t="str">
        <f t="shared" si="7"/>
        <v>NoIssue</v>
      </c>
    </row>
    <row r="38" ht="15.75" customHeight="1">
      <c r="A38" s="28">
        <v>34.0</v>
      </c>
      <c r="B38" s="29" t="s">
        <v>55</v>
      </c>
      <c r="C38" s="30">
        <v>64.18</v>
      </c>
      <c r="D38" s="3"/>
      <c r="E38" s="31"/>
      <c r="F38" s="27"/>
      <c r="G38" s="27"/>
      <c r="H38" s="27"/>
      <c r="I38" s="3"/>
      <c r="J38" s="3" t="str">
        <f t="shared" si="1"/>
        <v>0</v>
      </c>
      <c r="K38" s="27" t="str">
        <f t="shared" si="2"/>
        <v> No Issue</v>
      </c>
      <c r="L38" s="3" t="str">
        <f t="shared" si="3"/>
        <v>No Issue</v>
      </c>
      <c r="M38" s="3" t="str">
        <f t="shared" si="4"/>
        <v>No Issue</v>
      </c>
      <c r="N38" s="3" t="str">
        <f t="shared" si="5"/>
        <v>No Issue</v>
      </c>
      <c r="O38" s="3" t="str">
        <f t="shared" si="6"/>
        <v>No Issue</v>
      </c>
      <c r="P38" s="3" t="str">
        <f t="shared" si="7"/>
        <v>NoIssue</v>
      </c>
    </row>
    <row r="39" ht="15.75" customHeight="1">
      <c r="A39" s="28">
        <v>35.0</v>
      </c>
      <c r="B39" s="29" t="s">
        <v>56</v>
      </c>
      <c r="C39" s="30">
        <v>36.9</v>
      </c>
      <c r="D39" s="3"/>
      <c r="E39" s="31"/>
      <c r="F39" s="27"/>
      <c r="G39" s="27"/>
      <c r="H39" s="27"/>
      <c r="I39" s="3"/>
      <c r="J39" s="3" t="str">
        <f t="shared" si="1"/>
        <v>0</v>
      </c>
      <c r="K39" s="27" t="str">
        <f t="shared" si="2"/>
        <v> No Issue</v>
      </c>
      <c r="L39" s="3" t="str">
        <f t="shared" si="3"/>
        <v>No Issue</v>
      </c>
      <c r="M39" s="3" t="str">
        <f t="shared" si="4"/>
        <v>No Issue</v>
      </c>
      <c r="N39" s="3" t="str">
        <f t="shared" si="5"/>
        <v>No Issue</v>
      </c>
      <c r="O39" s="3" t="str">
        <f t="shared" si="6"/>
        <v>No Issue</v>
      </c>
      <c r="P39" s="3" t="str">
        <f t="shared" si="7"/>
        <v>NoIssue</v>
      </c>
    </row>
    <row r="40" ht="15.75" customHeight="1">
      <c r="A40" s="28">
        <v>36.0</v>
      </c>
      <c r="B40" s="29" t="s">
        <v>57</v>
      </c>
      <c r="C40" s="30">
        <v>101.54</v>
      </c>
      <c r="D40" s="3"/>
      <c r="E40" s="31"/>
      <c r="F40" s="27"/>
      <c r="G40" s="27"/>
      <c r="H40" s="27"/>
      <c r="I40" s="3"/>
      <c r="J40" s="3" t="str">
        <f t="shared" si="1"/>
        <v>0</v>
      </c>
      <c r="K40" s="27" t="str">
        <f t="shared" si="2"/>
        <v> No Issue</v>
      </c>
      <c r="L40" s="3" t="str">
        <f t="shared" si="3"/>
        <v>No Issue</v>
      </c>
      <c r="M40" s="3" t="str">
        <f t="shared" si="4"/>
        <v>No Issue</v>
      </c>
      <c r="N40" s="3" t="str">
        <f t="shared" si="5"/>
        <v>No Issue</v>
      </c>
      <c r="O40" s="3" t="str">
        <f t="shared" si="6"/>
        <v>No Issue</v>
      </c>
      <c r="P40" s="3" t="str">
        <f t="shared" si="7"/>
        <v>NoIssue</v>
      </c>
    </row>
    <row r="41" ht="15.75" customHeight="1">
      <c r="A41" s="28">
        <v>37.0</v>
      </c>
      <c r="B41" s="29" t="s">
        <v>58</v>
      </c>
      <c r="C41" s="30">
        <v>40.5</v>
      </c>
      <c r="D41" s="3"/>
      <c r="E41" s="31"/>
      <c r="F41" s="27"/>
      <c r="G41" s="27"/>
      <c r="H41" s="27"/>
      <c r="I41" s="3"/>
      <c r="J41" s="3" t="str">
        <f t="shared" si="1"/>
        <v>0</v>
      </c>
      <c r="K41" s="27" t="str">
        <f t="shared" si="2"/>
        <v> No Issue</v>
      </c>
      <c r="L41" s="3" t="str">
        <f t="shared" si="3"/>
        <v>No Issue</v>
      </c>
      <c r="M41" s="3" t="str">
        <f t="shared" si="4"/>
        <v>No Issue</v>
      </c>
      <c r="N41" s="3" t="str">
        <f t="shared" si="5"/>
        <v>No Issue</v>
      </c>
      <c r="O41" s="3" t="str">
        <f t="shared" si="6"/>
        <v>No Issue</v>
      </c>
      <c r="P41" s="3" t="str">
        <f t="shared" si="7"/>
        <v>NoIssue</v>
      </c>
    </row>
    <row r="42" ht="15.75" customHeight="1">
      <c r="A42" s="28">
        <v>38.0</v>
      </c>
      <c r="B42" s="29" t="s">
        <v>59</v>
      </c>
      <c r="C42" s="30">
        <v>66.69</v>
      </c>
      <c r="D42" s="3"/>
      <c r="E42" s="31"/>
      <c r="F42" s="27"/>
      <c r="G42" s="27"/>
      <c r="H42" s="27"/>
      <c r="I42" s="3"/>
      <c r="J42" s="3" t="str">
        <f t="shared" si="1"/>
        <v>0</v>
      </c>
      <c r="K42" s="27" t="str">
        <f t="shared" si="2"/>
        <v> No Issue</v>
      </c>
      <c r="L42" s="3" t="str">
        <f t="shared" si="3"/>
        <v>No Issue</v>
      </c>
      <c r="M42" s="3" t="str">
        <f t="shared" si="4"/>
        <v>No Issue</v>
      </c>
      <c r="N42" s="3" t="str">
        <f t="shared" si="5"/>
        <v>No Issue</v>
      </c>
      <c r="O42" s="3" t="str">
        <f t="shared" si="6"/>
        <v>No Issue</v>
      </c>
      <c r="P42" s="3" t="str">
        <f t="shared" si="7"/>
        <v>NoIssue</v>
      </c>
    </row>
    <row r="43" ht="15.75" customHeight="1">
      <c r="A43" s="28">
        <v>39.0</v>
      </c>
      <c r="B43" s="29" t="s">
        <v>60</v>
      </c>
      <c r="C43" s="29">
        <v>150.85999999999999</v>
      </c>
      <c r="D43" s="3"/>
      <c r="E43" s="31"/>
      <c r="F43" s="27"/>
      <c r="G43" s="27"/>
      <c r="H43" s="27"/>
      <c r="I43" s="3"/>
      <c r="J43" s="3" t="str">
        <f t="shared" si="1"/>
        <v>0</v>
      </c>
      <c r="K43" s="27" t="str">
        <f t="shared" si="2"/>
        <v> No Issue</v>
      </c>
      <c r="L43" s="3" t="str">
        <f t="shared" si="3"/>
        <v>No Issue</v>
      </c>
      <c r="M43" s="3" t="str">
        <f t="shared" si="4"/>
        <v>No Issue</v>
      </c>
      <c r="N43" s="3" t="str">
        <f t="shared" si="5"/>
        <v>No Issue</v>
      </c>
      <c r="O43" s="3" t="str">
        <f t="shared" si="6"/>
        <v>No Issue</v>
      </c>
      <c r="P43" s="3" t="str">
        <f t="shared" si="7"/>
        <v>NoIssue</v>
      </c>
    </row>
    <row r="44" ht="15.75" customHeight="1">
      <c r="A44" s="28">
        <v>40.0</v>
      </c>
      <c r="B44" s="33" t="s">
        <v>61</v>
      </c>
      <c r="C44" s="30">
        <v>180.0</v>
      </c>
      <c r="D44" s="3"/>
      <c r="E44" s="31"/>
      <c r="F44" s="27"/>
      <c r="G44" s="27"/>
      <c r="H44" s="27"/>
      <c r="I44" s="3"/>
      <c r="J44" s="3" t="str">
        <f t="shared" si="1"/>
        <v>0</v>
      </c>
      <c r="K44" s="27" t="str">
        <f t="shared" si="2"/>
        <v> No Issue</v>
      </c>
      <c r="L44" s="3" t="str">
        <f t="shared" si="3"/>
        <v>No Issue</v>
      </c>
      <c r="M44" s="3" t="str">
        <f t="shared" si="4"/>
        <v>No Issue</v>
      </c>
      <c r="N44" s="3" t="str">
        <f t="shared" si="5"/>
        <v>No Issue</v>
      </c>
      <c r="O44" s="3" t="str">
        <f t="shared" si="6"/>
        <v>No Issue</v>
      </c>
      <c r="P44" s="3" t="str">
        <f t="shared" si="7"/>
        <v>NoIssue</v>
      </c>
    </row>
    <row r="45" ht="15.75" customHeight="1">
      <c r="A45" s="28">
        <v>41.0</v>
      </c>
      <c r="B45" s="33" t="s">
        <v>62</v>
      </c>
      <c r="C45" s="29">
        <v>128.57</v>
      </c>
      <c r="D45" s="3"/>
      <c r="E45" s="31"/>
      <c r="F45" s="27"/>
      <c r="G45" s="27"/>
      <c r="H45" s="27"/>
      <c r="I45" s="3"/>
      <c r="J45" s="3" t="str">
        <f t="shared" si="1"/>
        <v>0</v>
      </c>
      <c r="K45" s="27" t="str">
        <f t="shared" si="2"/>
        <v> No Issue</v>
      </c>
      <c r="L45" s="3" t="str">
        <f t="shared" si="3"/>
        <v>No Issue</v>
      </c>
      <c r="M45" s="3" t="str">
        <f t="shared" si="4"/>
        <v>No Issue</v>
      </c>
      <c r="N45" s="3" t="str">
        <f t="shared" si="5"/>
        <v>No Issue</v>
      </c>
      <c r="O45" s="3" t="str">
        <f t="shared" si="6"/>
        <v>No Issue</v>
      </c>
      <c r="P45" s="3" t="str">
        <f t="shared" si="7"/>
        <v>NoIssue</v>
      </c>
    </row>
    <row r="46" ht="15.75" customHeight="1">
      <c r="A46" s="28">
        <v>42.0</v>
      </c>
      <c r="B46" s="29"/>
      <c r="C46" s="29"/>
      <c r="D46" s="3"/>
      <c r="E46" s="31"/>
      <c r="F46" s="27"/>
      <c r="G46" s="27"/>
      <c r="H46" s="27"/>
      <c r="I46" s="3"/>
      <c r="J46" s="3" t="str">
        <f t="shared" si="1"/>
        <v>0</v>
      </c>
      <c r="K46" s="27" t="str">
        <f t="shared" si="2"/>
        <v> No Issue</v>
      </c>
      <c r="L46" s="3" t="str">
        <f t="shared" si="3"/>
        <v>No Issue</v>
      </c>
      <c r="M46" s="3" t="str">
        <f t="shared" si="4"/>
        <v>No Issue</v>
      </c>
      <c r="N46" s="3" t="str">
        <f t="shared" si="5"/>
        <v>No Issue</v>
      </c>
      <c r="O46" s="3" t="str">
        <f t="shared" si="6"/>
        <v>No Issue</v>
      </c>
      <c r="P46" s="3" t="str">
        <f t="shared" si="7"/>
        <v>NoIssue</v>
      </c>
    </row>
    <row r="47" ht="15.75" customHeight="1">
      <c r="A47" s="28">
        <v>43.0</v>
      </c>
      <c r="B47" s="34"/>
      <c r="C47" s="34"/>
      <c r="D47" s="3"/>
      <c r="E47" s="31"/>
      <c r="F47" s="27"/>
      <c r="G47" s="27"/>
      <c r="H47" s="27"/>
      <c r="I47" s="3"/>
      <c r="J47" s="3" t="str">
        <f t="shared" si="1"/>
        <v>0</v>
      </c>
      <c r="K47" s="27" t="str">
        <f t="shared" si="2"/>
        <v> No Issue</v>
      </c>
      <c r="L47" s="3" t="str">
        <f t="shared" si="3"/>
        <v>No Issue</v>
      </c>
      <c r="M47" s="3" t="str">
        <f t="shared" si="4"/>
        <v>No Issue</v>
      </c>
      <c r="N47" s="3" t="str">
        <f t="shared" si="5"/>
        <v>No Issue</v>
      </c>
      <c r="O47" s="3" t="str">
        <f t="shared" si="6"/>
        <v>No Issue</v>
      </c>
      <c r="P47" s="3" t="str">
        <f t="shared" si="7"/>
        <v>NoIssue</v>
      </c>
    </row>
    <row r="48" ht="15.75" customHeight="1">
      <c r="A48" s="28">
        <v>44.0</v>
      </c>
      <c r="B48" s="34"/>
      <c r="C48" s="34"/>
      <c r="D48" s="3"/>
      <c r="E48" s="31"/>
      <c r="F48" s="27"/>
      <c r="G48" s="27"/>
      <c r="H48" s="27"/>
      <c r="I48" s="3"/>
      <c r="J48" s="3" t="str">
        <f t="shared" si="1"/>
        <v>0</v>
      </c>
      <c r="K48" s="27" t="str">
        <f t="shared" si="2"/>
        <v> No Issue</v>
      </c>
      <c r="L48" s="3" t="str">
        <f t="shared" si="3"/>
        <v>No Issue</v>
      </c>
      <c r="M48" s="3" t="str">
        <f t="shared" si="4"/>
        <v>No Issue</v>
      </c>
      <c r="N48" s="3" t="str">
        <f t="shared" si="5"/>
        <v>No Issue</v>
      </c>
      <c r="O48" s="3" t="str">
        <f t="shared" si="6"/>
        <v>No Issue</v>
      </c>
      <c r="P48" s="3" t="str">
        <f t="shared" si="7"/>
        <v>NoIssue</v>
      </c>
    </row>
    <row r="49" ht="15.75" customHeight="1">
      <c r="A49" s="28">
        <v>45.0</v>
      </c>
      <c r="B49" s="34"/>
      <c r="C49" s="34"/>
      <c r="D49" s="3"/>
      <c r="E49" s="31"/>
      <c r="F49" s="27"/>
      <c r="G49" s="27"/>
      <c r="H49" s="27"/>
      <c r="I49" s="3"/>
      <c r="J49" s="3" t="str">
        <f t="shared" si="1"/>
        <v>0</v>
      </c>
      <c r="K49" s="27" t="str">
        <f t="shared" si="2"/>
        <v> No Issue</v>
      </c>
      <c r="L49" s="3" t="str">
        <f t="shared" si="3"/>
        <v>No Issue</v>
      </c>
      <c r="M49" s="3" t="str">
        <f t="shared" si="4"/>
        <v>No Issue</v>
      </c>
      <c r="N49" s="3" t="str">
        <f t="shared" si="5"/>
        <v>No Issue</v>
      </c>
      <c r="O49" s="3" t="str">
        <f t="shared" si="6"/>
        <v>No Issue</v>
      </c>
      <c r="P49" s="3" t="str">
        <f t="shared" si="7"/>
        <v>NoIssue</v>
      </c>
    </row>
    <row r="50" ht="15.75" customHeight="1">
      <c r="A50" s="28">
        <v>46.0</v>
      </c>
      <c r="B50" s="34"/>
      <c r="C50" s="34"/>
      <c r="D50" s="3"/>
      <c r="E50" s="31"/>
      <c r="F50" s="27"/>
      <c r="G50" s="27"/>
      <c r="H50" s="27"/>
      <c r="I50" s="3"/>
      <c r="J50" s="3" t="str">
        <f t="shared" si="1"/>
        <v>0</v>
      </c>
      <c r="K50" s="27" t="str">
        <f t="shared" si="2"/>
        <v> No Issue</v>
      </c>
      <c r="L50" s="3" t="str">
        <f t="shared" si="3"/>
        <v>No Issue</v>
      </c>
      <c r="M50" s="3" t="str">
        <f t="shared" si="4"/>
        <v>No Issue</v>
      </c>
      <c r="N50" s="3" t="str">
        <f t="shared" si="5"/>
        <v>No Issue</v>
      </c>
      <c r="O50" s="3" t="str">
        <f t="shared" si="6"/>
        <v>No Issue</v>
      </c>
      <c r="P50" s="3" t="str">
        <f t="shared" si="7"/>
        <v>NoIssue</v>
      </c>
    </row>
    <row r="51" ht="15.75" customHeight="1">
      <c r="A51" s="28">
        <v>47.0</v>
      </c>
      <c r="B51" s="35"/>
      <c r="C51" s="36"/>
      <c r="D51" s="3"/>
      <c r="E51" s="31"/>
      <c r="F51" s="27"/>
      <c r="G51" s="27"/>
      <c r="H51" s="27"/>
      <c r="I51" s="3"/>
      <c r="J51" s="3" t="str">
        <f t="shared" si="1"/>
        <v>0</v>
      </c>
      <c r="K51" s="27" t="str">
        <f t="shared" si="2"/>
        <v> No Issue</v>
      </c>
      <c r="L51" s="3" t="str">
        <f t="shared" si="3"/>
        <v>No Issue</v>
      </c>
      <c r="M51" s="3" t="str">
        <f t="shared" si="4"/>
        <v>No Issue</v>
      </c>
      <c r="N51" s="3" t="str">
        <f t="shared" si="5"/>
        <v>No Issue</v>
      </c>
      <c r="O51" s="3" t="str">
        <f t="shared" si="6"/>
        <v>No Issue</v>
      </c>
      <c r="P51" s="3" t="str">
        <f t="shared" si="7"/>
        <v>NoIssue</v>
      </c>
    </row>
    <row r="52" ht="15.75" customHeight="1">
      <c r="A52" s="28">
        <v>48.0</v>
      </c>
      <c r="B52" s="35"/>
      <c r="C52" s="36"/>
      <c r="D52" s="3"/>
      <c r="E52" s="31"/>
      <c r="F52" s="27"/>
      <c r="G52" s="27"/>
      <c r="H52" s="27"/>
      <c r="I52" s="3"/>
      <c r="J52" s="3" t="str">
        <f t="shared" si="1"/>
        <v>0</v>
      </c>
      <c r="K52" s="27" t="str">
        <f t="shared" si="2"/>
        <v> No Issue</v>
      </c>
      <c r="L52" s="3" t="str">
        <f t="shared" si="3"/>
        <v>No Issue</v>
      </c>
      <c r="M52" s="3" t="str">
        <f t="shared" si="4"/>
        <v>No Issue</v>
      </c>
      <c r="N52" s="3" t="str">
        <f t="shared" si="5"/>
        <v>No Issue</v>
      </c>
      <c r="O52" s="3" t="str">
        <f t="shared" si="6"/>
        <v>No Issue</v>
      </c>
      <c r="P52" s="3" t="str">
        <f t="shared" si="7"/>
        <v>NoIssue</v>
      </c>
    </row>
    <row r="53" ht="15.75" customHeight="1">
      <c r="A53" s="28">
        <v>49.0</v>
      </c>
      <c r="B53" s="35"/>
      <c r="C53" s="36"/>
      <c r="D53" s="3"/>
      <c r="E53" s="31"/>
      <c r="F53" s="27"/>
      <c r="G53" s="27"/>
      <c r="H53" s="27"/>
      <c r="I53" s="3"/>
      <c r="J53" s="3" t="str">
        <f t="shared" si="1"/>
        <v>0</v>
      </c>
      <c r="K53" s="27" t="str">
        <f t="shared" si="2"/>
        <v> No Issue</v>
      </c>
      <c r="L53" s="3" t="str">
        <f t="shared" si="3"/>
        <v>No Issue</v>
      </c>
      <c r="M53" s="3" t="str">
        <f t="shared" si="4"/>
        <v>No Issue</v>
      </c>
      <c r="N53" s="3" t="str">
        <f t="shared" si="5"/>
        <v>No Issue</v>
      </c>
      <c r="O53" s="3" t="str">
        <f t="shared" si="6"/>
        <v>No Issue</v>
      </c>
      <c r="P53" s="3" t="str">
        <f t="shared" si="7"/>
        <v>NoIssue</v>
      </c>
    </row>
    <row r="54" ht="15.75" customHeight="1">
      <c r="A54" s="28">
        <v>50.0</v>
      </c>
      <c r="B54" s="35"/>
      <c r="C54" s="36"/>
      <c r="D54" s="3"/>
      <c r="E54" s="31"/>
      <c r="F54" s="27"/>
      <c r="G54" s="27"/>
      <c r="H54" s="27"/>
      <c r="I54" s="3"/>
      <c r="J54" s="3" t="str">
        <f t="shared" si="1"/>
        <v>0</v>
      </c>
      <c r="K54" s="27" t="str">
        <f t="shared" si="2"/>
        <v> No Issue</v>
      </c>
      <c r="L54" s="3" t="str">
        <f t="shared" si="3"/>
        <v>No Issue</v>
      </c>
      <c r="M54" s="3" t="str">
        <f t="shared" si="4"/>
        <v>No Issue</v>
      </c>
      <c r="N54" s="3" t="str">
        <f t="shared" si="5"/>
        <v>No Issue</v>
      </c>
      <c r="O54" s="3" t="str">
        <f t="shared" si="6"/>
        <v>No Issue</v>
      </c>
      <c r="P54" s="3" t="str">
        <f t="shared" si="7"/>
        <v>NoIssue</v>
      </c>
    </row>
    <row r="55" ht="15.75" customHeight="1">
      <c r="A55" s="28">
        <v>51.0</v>
      </c>
      <c r="B55" s="35"/>
      <c r="C55" s="36"/>
      <c r="D55" s="3"/>
      <c r="E55" s="31"/>
      <c r="F55" s="27"/>
      <c r="G55" s="27"/>
      <c r="H55" s="27"/>
      <c r="I55" s="3"/>
      <c r="J55" s="3" t="str">
        <f t="shared" si="1"/>
        <v>0</v>
      </c>
      <c r="K55" s="27" t="str">
        <f t="shared" si="2"/>
        <v> No Issue</v>
      </c>
      <c r="L55" s="3" t="str">
        <f t="shared" si="3"/>
        <v>No Issue</v>
      </c>
      <c r="M55" s="3" t="str">
        <f t="shared" si="4"/>
        <v>No Issue</v>
      </c>
      <c r="N55" s="3" t="str">
        <f t="shared" si="5"/>
        <v>No Issue</v>
      </c>
      <c r="O55" s="3" t="str">
        <f t="shared" si="6"/>
        <v>No Issue</v>
      </c>
      <c r="P55" s="3" t="str">
        <f t="shared" si="7"/>
        <v>NoIssue</v>
      </c>
    </row>
    <row r="56" ht="15.75" customHeight="1">
      <c r="A56" s="28">
        <v>52.0</v>
      </c>
      <c r="B56" s="35"/>
      <c r="C56" s="36"/>
      <c r="D56" s="3"/>
      <c r="E56" s="31"/>
      <c r="F56" s="27"/>
      <c r="G56" s="27"/>
      <c r="H56" s="27"/>
      <c r="I56" s="3"/>
      <c r="J56" s="3" t="str">
        <f t="shared" si="1"/>
        <v>0</v>
      </c>
      <c r="K56" s="27" t="str">
        <f t="shared" si="2"/>
        <v> No Issue</v>
      </c>
      <c r="L56" s="3" t="str">
        <f t="shared" si="3"/>
        <v>No Issue</v>
      </c>
      <c r="M56" s="3" t="str">
        <f t="shared" si="4"/>
        <v>No Issue</v>
      </c>
      <c r="N56" s="3" t="str">
        <f t="shared" si="5"/>
        <v>No Issue</v>
      </c>
      <c r="O56" s="3" t="str">
        <f t="shared" si="6"/>
        <v>No Issue</v>
      </c>
      <c r="P56" s="3" t="str">
        <f t="shared" si="7"/>
        <v>NoIssue</v>
      </c>
    </row>
    <row r="57" ht="15.75" customHeight="1">
      <c r="A57" s="28">
        <v>53.0</v>
      </c>
      <c r="B57" s="35"/>
      <c r="C57" s="36"/>
      <c r="D57" s="3"/>
      <c r="E57" s="31"/>
      <c r="F57" s="27"/>
      <c r="G57" s="27"/>
      <c r="H57" s="27"/>
      <c r="I57" s="3"/>
      <c r="J57" s="3" t="str">
        <f t="shared" si="1"/>
        <v>0</v>
      </c>
      <c r="K57" s="27" t="str">
        <f t="shared" si="2"/>
        <v> No Issue</v>
      </c>
      <c r="L57" s="3" t="str">
        <f t="shared" si="3"/>
        <v>No Issue</v>
      </c>
      <c r="M57" s="3" t="str">
        <f t="shared" si="4"/>
        <v>No Issue</v>
      </c>
      <c r="N57" s="3" t="str">
        <f t="shared" si="5"/>
        <v>No Issue</v>
      </c>
      <c r="O57" s="3" t="str">
        <f t="shared" si="6"/>
        <v>No Issue</v>
      </c>
      <c r="P57" s="3" t="str">
        <f t="shared" si="7"/>
        <v>NoIssue</v>
      </c>
    </row>
    <row r="58" ht="15.75" customHeight="1">
      <c r="A58" s="28">
        <v>54.0</v>
      </c>
      <c r="B58" s="34"/>
      <c r="C58" s="34"/>
      <c r="D58" s="3"/>
      <c r="E58" s="31"/>
      <c r="F58" s="27"/>
      <c r="G58" s="27"/>
      <c r="H58" s="27"/>
      <c r="I58" s="3"/>
      <c r="J58" s="3" t="str">
        <f t="shared" si="1"/>
        <v>0</v>
      </c>
      <c r="K58" s="27" t="str">
        <f t="shared" si="2"/>
        <v> No Issue</v>
      </c>
      <c r="L58" s="3" t="str">
        <f t="shared" si="3"/>
        <v>No Issue</v>
      </c>
      <c r="M58" s="3" t="str">
        <f t="shared" si="4"/>
        <v>No Issue</v>
      </c>
      <c r="N58" s="3" t="str">
        <f t="shared" si="5"/>
        <v>No Issue</v>
      </c>
      <c r="O58" s="3" t="str">
        <f t="shared" si="6"/>
        <v>No Issue</v>
      </c>
      <c r="P58" s="3" t="str">
        <f t="shared" si="7"/>
        <v>NoIssue</v>
      </c>
    </row>
    <row r="59" ht="15.75" customHeight="1">
      <c r="A59" s="28">
        <v>55.0</v>
      </c>
      <c r="B59" s="35"/>
      <c r="C59" s="36"/>
      <c r="D59" s="3"/>
      <c r="E59" s="31"/>
      <c r="F59" s="27"/>
      <c r="G59" s="27"/>
      <c r="H59" s="27"/>
      <c r="I59" s="3"/>
      <c r="J59" s="3" t="str">
        <f t="shared" si="1"/>
        <v>0</v>
      </c>
      <c r="K59" s="27" t="str">
        <f t="shared" si="2"/>
        <v> No Issue</v>
      </c>
      <c r="L59" s="3" t="str">
        <f t="shared" si="3"/>
        <v>No Issue</v>
      </c>
      <c r="M59" s="3" t="str">
        <f t="shared" si="4"/>
        <v>No Issue</v>
      </c>
      <c r="N59" s="3" t="str">
        <f t="shared" si="5"/>
        <v>No Issue</v>
      </c>
      <c r="O59" s="3" t="str">
        <f t="shared" si="6"/>
        <v>No Issue</v>
      </c>
      <c r="P59" s="3" t="str">
        <f t="shared" si="7"/>
        <v>NoIssue</v>
      </c>
    </row>
    <row r="60" ht="15.75" customHeight="1">
      <c r="A60" s="28">
        <v>56.0</v>
      </c>
      <c r="B60" s="35"/>
      <c r="C60" s="36"/>
      <c r="D60" s="3"/>
      <c r="E60" s="31"/>
      <c r="F60" s="27"/>
      <c r="G60" s="27"/>
      <c r="H60" s="27"/>
      <c r="I60" s="3"/>
      <c r="J60" s="3" t="str">
        <f t="shared" si="1"/>
        <v>0</v>
      </c>
      <c r="K60" s="27" t="str">
        <f t="shared" si="2"/>
        <v> No Issue</v>
      </c>
      <c r="L60" s="3" t="str">
        <f t="shared" si="3"/>
        <v>No Issue</v>
      </c>
      <c r="M60" s="3" t="str">
        <f t="shared" si="4"/>
        <v>No Issue</v>
      </c>
      <c r="N60" s="3" t="str">
        <f t="shared" si="5"/>
        <v>No Issue</v>
      </c>
      <c r="O60" s="3" t="str">
        <f t="shared" si="6"/>
        <v>No Issue</v>
      </c>
      <c r="P60" s="3" t="str">
        <f t="shared" si="7"/>
        <v>NoIssue</v>
      </c>
    </row>
    <row r="61" ht="15.75" customHeight="1">
      <c r="A61" s="28"/>
      <c r="B61" s="37" t="s">
        <v>64</v>
      </c>
      <c r="C61" s="38"/>
      <c r="D61" s="37" t="str">
        <f t="shared" ref="D61:I61" si="8">SUMPRODUCT(D5:D60,$C5:$C60)</f>
        <v>0</v>
      </c>
      <c r="E61" s="3" t="str">
        <f t="shared" si="8"/>
        <v>0</v>
      </c>
      <c r="F61" s="3" t="str">
        <f t="shared" si="8"/>
        <v>0</v>
      </c>
      <c r="G61" s="3" t="str">
        <f t="shared" si="8"/>
        <v>0</v>
      </c>
      <c r="H61" s="3" t="str">
        <f t="shared" si="8"/>
        <v>0</v>
      </c>
      <c r="I61" s="3" t="str">
        <f t="shared" si="8"/>
        <v>0</v>
      </c>
      <c r="J61" s="3" t="str">
        <f t="shared" si="1"/>
        <v>0</v>
      </c>
      <c r="K61" s="27" t="str">
        <f t="shared" si="2"/>
        <v> No Issue</v>
      </c>
      <c r="L61" s="3" t="str">
        <f t="shared" si="3"/>
        <v>No Issue</v>
      </c>
      <c r="M61" s="3" t="str">
        <f t="shared" si="4"/>
        <v>No Issue</v>
      </c>
      <c r="N61" s="3" t="str">
        <f t="shared" si="5"/>
        <v>No Issue</v>
      </c>
      <c r="O61" s="3" t="str">
        <f t="shared" si="6"/>
        <v>No Issue</v>
      </c>
      <c r="P61" s="3" t="str">
        <f t="shared" si="7"/>
        <v>NoIssue</v>
      </c>
    </row>
    <row r="62" ht="15.75" customHeight="1">
      <c r="A62" s="10"/>
      <c r="B62" s="11" t="s">
        <v>3</v>
      </c>
      <c r="C62" s="39"/>
      <c r="D62" s="13"/>
      <c r="E62" s="11"/>
      <c r="F62" s="15"/>
      <c r="G62" s="16"/>
      <c r="H62" s="17"/>
      <c r="I62" s="15"/>
      <c r="J62" s="18"/>
      <c r="K62" s="19" t="s">
        <v>5</v>
      </c>
      <c r="L62" s="20"/>
      <c r="M62" s="20"/>
      <c r="N62" s="20"/>
      <c r="O62" s="20"/>
      <c r="P62" s="21"/>
    </row>
    <row r="63" ht="15.75" customHeight="1">
      <c r="A63" s="40" t="s">
        <v>6</v>
      </c>
      <c r="B63" s="27" t="s">
        <v>7</v>
      </c>
      <c r="C63" s="27" t="s">
        <v>8</v>
      </c>
      <c r="D63" s="26" t="s">
        <v>9</v>
      </c>
      <c r="E63" s="26" t="s">
        <v>10</v>
      </c>
      <c r="F63" s="26" t="s">
        <v>11</v>
      </c>
      <c r="G63" s="26" t="s">
        <v>12</v>
      </c>
      <c r="H63" s="26" t="s">
        <v>13</v>
      </c>
      <c r="I63" s="26" t="s">
        <v>14</v>
      </c>
      <c r="J63" s="26" t="s">
        <v>15</v>
      </c>
      <c r="K63" s="27" t="s">
        <v>16</v>
      </c>
      <c r="L63" s="27" t="s">
        <v>17</v>
      </c>
      <c r="M63" s="27" t="s">
        <v>18</v>
      </c>
      <c r="N63" s="27" t="s">
        <v>19</v>
      </c>
      <c r="O63" s="27" t="s">
        <v>20</v>
      </c>
      <c r="P63" s="27" t="s">
        <v>21</v>
      </c>
    </row>
    <row r="64" ht="15.75" customHeight="1">
      <c r="A64" s="28">
        <v>1.0</v>
      </c>
      <c r="B64" s="29" t="s">
        <v>22</v>
      </c>
      <c r="C64" s="30">
        <v>192.17</v>
      </c>
      <c r="D64" s="3"/>
      <c r="E64" s="3"/>
      <c r="F64" s="3"/>
      <c r="G64" s="3"/>
      <c r="H64" s="3"/>
      <c r="I64" s="3"/>
      <c r="J64" s="3" t="str">
        <f t="shared" ref="J64:J120" si="9">D64+E64-F64-G64+H64</f>
        <v>0</v>
      </c>
      <c r="K64" s="27" t="str">
        <f t="shared" ref="K64:K120" si="10">IF(I64&lt;&gt;(D64+E64-F64-G64+H64),"Closing stock Not Correct-Problem"," No Issue")</f>
        <v> No Issue</v>
      </c>
      <c r="L64" s="3" t="str">
        <f t="shared" ref="L64:L120" si="11">IF((D64+E64)&lt;F64,"High Sale and Less Stock-Problem","No Issue")</f>
        <v>No Issue</v>
      </c>
      <c r="M64" s="3" t="str">
        <f t="shared" ref="M64:M120" si="12">IF(AND((D64+E64+I64)=0,F64&gt;0),"No Stock Sale Present Problem","No Issue")</f>
        <v>No Issue</v>
      </c>
      <c r="N64" s="3" t="str">
        <f t="shared" ref="N64:N120" si="13">IF(AND(SUM(D64:H64)=0,I64&gt;0),"Only Closing Entered Other Parameters No Entired Problem","No Issue")</f>
        <v>No Issue</v>
      </c>
      <c r="O64" s="3" t="str">
        <f t="shared" ref="O64:O120" si="14">IF(F64&gt;5000,"Check Once Sales quantity or Value Problem","No Issue")</f>
        <v>No Issue</v>
      </c>
      <c r="P64" s="3" t="str">
        <f t="shared" ref="P64:P120" si="15">IF(I64&gt;5000,"Check Once Closing quantity or Value Problem","NoIssue")</f>
        <v>NoIssue</v>
      </c>
    </row>
    <row r="65" ht="15.75" customHeight="1">
      <c r="A65" s="28">
        <v>2.0</v>
      </c>
      <c r="B65" s="29" t="s">
        <v>23</v>
      </c>
      <c r="C65" s="30">
        <v>9.26</v>
      </c>
      <c r="D65" s="3"/>
      <c r="E65" s="3"/>
      <c r="F65" s="3"/>
      <c r="G65" s="3"/>
      <c r="H65" s="3"/>
      <c r="I65" s="3"/>
      <c r="J65" s="3" t="str">
        <f t="shared" si="9"/>
        <v>0</v>
      </c>
      <c r="K65" s="27" t="str">
        <f t="shared" si="10"/>
        <v> No Issue</v>
      </c>
      <c r="L65" s="3" t="str">
        <f t="shared" si="11"/>
        <v>No Issue</v>
      </c>
      <c r="M65" s="3" t="str">
        <f t="shared" si="12"/>
        <v>No Issue</v>
      </c>
      <c r="N65" s="3" t="str">
        <f t="shared" si="13"/>
        <v>No Issue</v>
      </c>
      <c r="O65" s="3" t="str">
        <f t="shared" si="14"/>
        <v>No Issue</v>
      </c>
      <c r="P65" s="3" t="str">
        <f t="shared" si="15"/>
        <v>NoIssue</v>
      </c>
    </row>
    <row r="66" ht="15.75" customHeight="1">
      <c r="A66" s="28">
        <v>3.0</v>
      </c>
      <c r="B66" s="29" t="s">
        <v>24</v>
      </c>
      <c r="C66" s="30">
        <v>87.79</v>
      </c>
      <c r="D66" s="3"/>
      <c r="E66" s="3"/>
      <c r="F66" s="3"/>
      <c r="G66" s="3"/>
      <c r="H66" s="3"/>
      <c r="I66" s="3"/>
      <c r="J66" s="3" t="str">
        <f t="shared" si="9"/>
        <v>0</v>
      </c>
      <c r="K66" s="27" t="str">
        <f t="shared" si="10"/>
        <v> No Issue</v>
      </c>
      <c r="L66" s="3" t="str">
        <f t="shared" si="11"/>
        <v>No Issue</v>
      </c>
      <c r="M66" s="3" t="str">
        <f t="shared" si="12"/>
        <v>No Issue</v>
      </c>
      <c r="N66" s="3" t="str">
        <f t="shared" si="13"/>
        <v>No Issue</v>
      </c>
      <c r="O66" s="3" t="str">
        <f t="shared" si="14"/>
        <v>No Issue</v>
      </c>
      <c r="P66" s="3" t="str">
        <f t="shared" si="15"/>
        <v>NoIssue</v>
      </c>
    </row>
    <row r="67" ht="15.75" customHeight="1">
      <c r="A67" s="28">
        <v>4.0</v>
      </c>
      <c r="B67" s="29" t="s">
        <v>25</v>
      </c>
      <c r="C67" s="30">
        <v>55.55</v>
      </c>
      <c r="D67" s="3"/>
      <c r="E67" s="3"/>
      <c r="F67" s="3"/>
      <c r="G67" s="3"/>
      <c r="H67" s="3"/>
      <c r="I67" s="3"/>
      <c r="J67" s="3" t="str">
        <f t="shared" si="9"/>
        <v>0</v>
      </c>
      <c r="K67" s="27" t="str">
        <f t="shared" si="10"/>
        <v> No Issue</v>
      </c>
      <c r="L67" s="3" t="str">
        <f t="shared" si="11"/>
        <v>No Issue</v>
      </c>
      <c r="M67" s="3" t="str">
        <f t="shared" si="12"/>
        <v>No Issue</v>
      </c>
      <c r="N67" s="3" t="str">
        <f t="shared" si="13"/>
        <v>No Issue</v>
      </c>
      <c r="O67" s="3" t="str">
        <f t="shared" si="14"/>
        <v>No Issue</v>
      </c>
      <c r="P67" s="3" t="str">
        <f t="shared" si="15"/>
        <v>NoIssue</v>
      </c>
    </row>
    <row r="68" ht="15.75" customHeight="1">
      <c r="A68" s="28">
        <v>5.0</v>
      </c>
      <c r="B68" s="29" t="s">
        <v>26</v>
      </c>
      <c r="C68" s="30">
        <v>70.01</v>
      </c>
      <c r="D68" s="3"/>
      <c r="E68" s="3"/>
      <c r="F68" s="3"/>
      <c r="G68" s="3"/>
      <c r="H68" s="3"/>
      <c r="I68" s="3"/>
      <c r="J68" s="3" t="str">
        <f t="shared" si="9"/>
        <v>0</v>
      </c>
      <c r="K68" s="27" t="str">
        <f t="shared" si="10"/>
        <v> No Issue</v>
      </c>
      <c r="L68" s="3" t="str">
        <f t="shared" si="11"/>
        <v>No Issue</v>
      </c>
      <c r="M68" s="3" t="str">
        <f t="shared" si="12"/>
        <v>No Issue</v>
      </c>
      <c r="N68" s="3" t="str">
        <f t="shared" si="13"/>
        <v>No Issue</v>
      </c>
      <c r="O68" s="3" t="str">
        <f t="shared" si="14"/>
        <v>No Issue</v>
      </c>
      <c r="P68" s="3" t="str">
        <f t="shared" si="15"/>
        <v>NoIssue</v>
      </c>
    </row>
    <row r="69" ht="15.75" customHeight="1">
      <c r="A69" s="28">
        <v>6.0</v>
      </c>
      <c r="B69" s="29" t="s">
        <v>27</v>
      </c>
      <c r="C69" s="30">
        <v>73.92999999999999</v>
      </c>
      <c r="D69" s="3"/>
      <c r="E69" s="3"/>
      <c r="F69" s="3"/>
      <c r="G69" s="3"/>
      <c r="H69" s="3"/>
      <c r="I69" s="3"/>
      <c r="J69" s="3" t="str">
        <f t="shared" si="9"/>
        <v>0</v>
      </c>
      <c r="K69" s="27" t="str">
        <f t="shared" si="10"/>
        <v> No Issue</v>
      </c>
      <c r="L69" s="3" t="str">
        <f t="shared" si="11"/>
        <v>No Issue</v>
      </c>
      <c r="M69" s="3" t="str">
        <f t="shared" si="12"/>
        <v>No Issue</v>
      </c>
      <c r="N69" s="3" t="str">
        <f t="shared" si="13"/>
        <v>No Issue</v>
      </c>
      <c r="O69" s="3" t="str">
        <f t="shared" si="14"/>
        <v>No Issue</v>
      </c>
      <c r="P69" s="3" t="str">
        <f t="shared" si="15"/>
        <v>NoIssue</v>
      </c>
    </row>
    <row r="70" ht="15.75" customHeight="1">
      <c r="A70" s="28">
        <v>7.0</v>
      </c>
      <c r="B70" s="29" t="s">
        <v>28</v>
      </c>
      <c r="C70" s="30">
        <v>13.91</v>
      </c>
      <c r="D70" s="3"/>
      <c r="E70" s="3"/>
      <c r="F70" s="3"/>
      <c r="G70" s="3"/>
      <c r="H70" s="3"/>
      <c r="I70" s="3"/>
      <c r="J70" s="3" t="str">
        <f t="shared" si="9"/>
        <v>0</v>
      </c>
      <c r="K70" s="27" t="str">
        <f t="shared" si="10"/>
        <v> No Issue</v>
      </c>
      <c r="L70" s="3" t="str">
        <f t="shared" si="11"/>
        <v>No Issue</v>
      </c>
      <c r="M70" s="3" t="str">
        <f t="shared" si="12"/>
        <v>No Issue</v>
      </c>
      <c r="N70" s="3" t="str">
        <f t="shared" si="13"/>
        <v>No Issue</v>
      </c>
      <c r="O70" s="3" t="str">
        <f t="shared" si="14"/>
        <v>No Issue</v>
      </c>
      <c r="P70" s="3" t="str">
        <f t="shared" si="15"/>
        <v>NoIssue</v>
      </c>
    </row>
    <row r="71" ht="15.75" customHeight="1">
      <c r="A71" s="28">
        <v>8.0</v>
      </c>
      <c r="B71" s="29" t="s">
        <v>29</v>
      </c>
      <c r="C71" s="30">
        <v>19.5</v>
      </c>
      <c r="D71" s="3"/>
      <c r="E71" s="3"/>
      <c r="F71" s="3"/>
      <c r="G71" s="3"/>
      <c r="H71" s="3"/>
      <c r="I71" s="3"/>
      <c r="J71" s="3" t="str">
        <f t="shared" si="9"/>
        <v>0</v>
      </c>
      <c r="K71" s="27" t="str">
        <f t="shared" si="10"/>
        <v> No Issue</v>
      </c>
      <c r="L71" s="3" t="str">
        <f t="shared" si="11"/>
        <v>No Issue</v>
      </c>
      <c r="M71" s="3" t="str">
        <f t="shared" si="12"/>
        <v>No Issue</v>
      </c>
      <c r="N71" s="3" t="str">
        <f t="shared" si="13"/>
        <v>No Issue</v>
      </c>
      <c r="O71" s="3" t="str">
        <f t="shared" si="14"/>
        <v>No Issue</v>
      </c>
      <c r="P71" s="3" t="str">
        <f t="shared" si="15"/>
        <v>NoIssue</v>
      </c>
    </row>
    <row r="72" ht="15.75" customHeight="1">
      <c r="A72" s="28">
        <v>9.0</v>
      </c>
      <c r="B72" s="29" t="s">
        <v>30</v>
      </c>
      <c r="C72" s="30">
        <v>28.83</v>
      </c>
      <c r="D72" s="3"/>
      <c r="E72" s="3"/>
      <c r="F72" s="3"/>
      <c r="G72" s="3"/>
      <c r="H72" s="3"/>
      <c r="I72" s="3"/>
      <c r="J72" s="3" t="str">
        <f t="shared" si="9"/>
        <v>0</v>
      </c>
      <c r="K72" s="27" t="str">
        <f t="shared" si="10"/>
        <v> No Issue</v>
      </c>
      <c r="L72" s="3" t="str">
        <f t="shared" si="11"/>
        <v>No Issue</v>
      </c>
      <c r="M72" s="3" t="str">
        <f t="shared" si="12"/>
        <v>No Issue</v>
      </c>
      <c r="N72" s="3" t="str">
        <f t="shared" si="13"/>
        <v>No Issue</v>
      </c>
      <c r="O72" s="3" t="str">
        <f t="shared" si="14"/>
        <v>No Issue</v>
      </c>
      <c r="P72" s="3" t="str">
        <f t="shared" si="15"/>
        <v>NoIssue</v>
      </c>
    </row>
    <row r="73" ht="15.75" customHeight="1">
      <c r="A73" s="28">
        <v>10.0</v>
      </c>
      <c r="B73" s="29" t="s">
        <v>31</v>
      </c>
      <c r="C73" s="30">
        <v>8.51</v>
      </c>
      <c r="D73" s="3"/>
      <c r="E73" s="3"/>
      <c r="F73" s="3"/>
      <c r="G73" s="3"/>
      <c r="H73" s="3"/>
      <c r="I73" s="3"/>
      <c r="J73" s="3" t="str">
        <f t="shared" si="9"/>
        <v>0</v>
      </c>
      <c r="K73" s="27" t="str">
        <f t="shared" si="10"/>
        <v> No Issue</v>
      </c>
      <c r="L73" s="3" t="str">
        <f t="shared" si="11"/>
        <v>No Issue</v>
      </c>
      <c r="M73" s="3" t="str">
        <f t="shared" si="12"/>
        <v>No Issue</v>
      </c>
      <c r="N73" s="3" t="str">
        <f t="shared" si="13"/>
        <v>No Issue</v>
      </c>
      <c r="O73" s="3" t="str">
        <f t="shared" si="14"/>
        <v>No Issue</v>
      </c>
      <c r="P73" s="3" t="str">
        <f t="shared" si="15"/>
        <v>NoIssue</v>
      </c>
    </row>
    <row r="74" ht="15.75" customHeight="1">
      <c r="A74" s="28">
        <v>11.0</v>
      </c>
      <c r="B74" s="29" t="s">
        <v>32</v>
      </c>
      <c r="C74" s="30">
        <v>102.17</v>
      </c>
      <c r="D74" s="3"/>
      <c r="E74" s="3"/>
      <c r="F74" s="3"/>
      <c r="G74" s="3"/>
      <c r="H74" s="3"/>
      <c r="I74" s="3"/>
      <c r="J74" s="3" t="str">
        <f t="shared" si="9"/>
        <v>0</v>
      </c>
      <c r="K74" s="27" t="str">
        <f t="shared" si="10"/>
        <v> No Issue</v>
      </c>
      <c r="L74" s="3" t="str">
        <f t="shared" si="11"/>
        <v>No Issue</v>
      </c>
      <c r="M74" s="3" t="str">
        <f t="shared" si="12"/>
        <v>No Issue</v>
      </c>
      <c r="N74" s="3" t="str">
        <f t="shared" si="13"/>
        <v>No Issue</v>
      </c>
      <c r="O74" s="3" t="str">
        <f t="shared" si="14"/>
        <v>No Issue</v>
      </c>
      <c r="P74" s="3" t="str">
        <f t="shared" si="15"/>
        <v>NoIssue</v>
      </c>
    </row>
    <row r="75" ht="15.75" customHeight="1">
      <c r="A75" s="28">
        <v>12.0</v>
      </c>
      <c r="B75" s="29" t="s">
        <v>33</v>
      </c>
      <c r="C75" s="30">
        <v>59.93</v>
      </c>
      <c r="D75" s="3"/>
      <c r="E75" s="3"/>
      <c r="F75" s="3"/>
      <c r="G75" s="3"/>
      <c r="H75" s="3"/>
      <c r="I75" s="3"/>
      <c r="J75" s="3" t="str">
        <f t="shared" si="9"/>
        <v>0</v>
      </c>
      <c r="K75" s="27" t="str">
        <f t="shared" si="10"/>
        <v> No Issue</v>
      </c>
      <c r="L75" s="3" t="str">
        <f t="shared" si="11"/>
        <v>No Issue</v>
      </c>
      <c r="M75" s="3" t="str">
        <f t="shared" si="12"/>
        <v>No Issue</v>
      </c>
      <c r="N75" s="3" t="str">
        <f t="shared" si="13"/>
        <v>No Issue</v>
      </c>
      <c r="O75" s="3" t="str">
        <f t="shared" si="14"/>
        <v>No Issue</v>
      </c>
      <c r="P75" s="3" t="str">
        <f t="shared" si="15"/>
        <v>NoIssue</v>
      </c>
    </row>
    <row r="76" ht="15.75" customHeight="1">
      <c r="A76" s="28">
        <v>13.0</v>
      </c>
      <c r="B76" s="29" t="s">
        <v>34</v>
      </c>
      <c r="C76" s="30">
        <v>118.0</v>
      </c>
      <c r="D76" s="3"/>
      <c r="E76" s="3"/>
      <c r="F76" s="3"/>
      <c r="G76" s="3"/>
      <c r="H76" s="3"/>
      <c r="I76" s="3"/>
      <c r="J76" s="3" t="str">
        <f t="shared" si="9"/>
        <v>0</v>
      </c>
      <c r="K76" s="27" t="str">
        <f t="shared" si="10"/>
        <v> No Issue</v>
      </c>
      <c r="L76" s="3" t="str">
        <f t="shared" si="11"/>
        <v>No Issue</v>
      </c>
      <c r="M76" s="3" t="str">
        <f t="shared" si="12"/>
        <v>No Issue</v>
      </c>
      <c r="N76" s="3" t="str">
        <f t="shared" si="13"/>
        <v>No Issue</v>
      </c>
      <c r="O76" s="3" t="str">
        <f t="shared" si="14"/>
        <v>No Issue</v>
      </c>
      <c r="P76" s="3" t="str">
        <f t="shared" si="15"/>
        <v>NoIssue</v>
      </c>
    </row>
    <row r="77" ht="15.75" customHeight="1">
      <c r="A77" s="28">
        <v>14.0</v>
      </c>
      <c r="B77" s="29" t="s">
        <v>35</v>
      </c>
      <c r="C77" s="30">
        <v>52.83</v>
      </c>
      <c r="D77" s="3"/>
      <c r="E77" s="3"/>
      <c r="F77" s="3"/>
      <c r="G77" s="3"/>
      <c r="H77" s="3"/>
      <c r="I77" s="3"/>
      <c r="J77" s="3" t="str">
        <f t="shared" si="9"/>
        <v>0</v>
      </c>
      <c r="K77" s="27" t="str">
        <f t="shared" si="10"/>
        <v> No Issue</v>
      </c>
      <c r="L77" s="3" t="str">
        <f t="shared" si="11"/>
        <v>No Issue</v>
      </c>
      <c r="M77" s="3" t="str">
        <f t="shared" si="12"/>
        <v>No Issue</v>
      </c>
      <c r="N77" s="3" t="str">
        <f t="shared" si="13"/>
        <v>No Issue</v>
      </c>
      <c r="O77" s="3" t="str">
        <f t="shared" si="14"/>
        <v>No Issue</v>
      </c>
      <c r="P77" s="3" t="str">
        <f t="shared" si="15"/>
        <v>NoIssue</v>
      </c>
    </row>
    <row r="78" ht="15.75" customHeight="1">
      <c r="A78" s="28">
        <v>15.0</v>
      </c>
      <c r="B78" s="29" t="s">
        <v>36</v>
      </c>
      <c r="C78" s="30">
        <v>93.2</v>
      </c>
      <c r="D78" s="3"/>
      <c r="E78" s="3"/>
      <c r="F78" s="3"/>
      <c r="G78" s="3"/>
      <c r="H78" s="3"/>
      <c r="I78" s="3"/>
      <c r="J78" s="3" t="str">
        <f t="shared" si="9"/>
        <v>0</v>
      </c>
      <c r="K78" s="27" t="str">
        <f t="shared" si="10"/>
        <v> No Issue</v>
      </c>
      <c r="L78" s="3" t="str">
        <f t="shared" si="11"/>
        <v>No Issue</v>
      </c>
      <c r="M78" s="3" t="str">
        <f t="shared" si="12"/>
        <v>No Issue</v>
      </c>
      <c r="N78" s="3" t="str">
        <f t="shared" si="13"/>
        <v>No Issue</v>
      </c>
      <c r="O78" s="3" t="str">
        <f t="shared" si="14"/>
        <v>No Issue</v>
      </c>
      <c r="P78" s="3" t="str">
        <f t="shared" si="15"/>
        <v>NoIssue</v>
      </c>
    </row>
    <row r="79" ht="15.75" customHeight="1">
      <c r="A79" s="28">
        <v>16.0</v>
      </c>
      <c r="B79" s="29" t="s">
        <v>37</v>
      </c>
      <c r="C79" s="30">
        <v>61.02</v>
      </c>
      <c r="D79" s="3"/>
      <c r="E79" s="3"/>
      <c r="F79" s="3"/>
      <c r="G79" s="3"/>
      <c r="H79" s="3"/>
      <c r="I79" s="3"/>
      <c r="J79" s="3" t="str">
        <f t="shared" si="9"/>
        <v>0</v>
      </c>
      <c r="K79" s="27" t="str">
        <f t="shared" si="10"/>
        <v> No Issue</v>
      </c>
      <c r="L79" s="3" t="str">
        <f t="shared" si="11"/>
        <v>No Issue</v>
      </c>
      <c r="M79" s="3" t="str">
        <f t="shared" si="12"/>
        <v>No Issue</v>
      </c>
      <c r="N79" s="3" t="str">
        <f t="shared" si="13"/>
        <v>No Issue</v>
      </c>
      <c r="O79" s="3" t="str">
        <f t="shared" si="14"/>
        <v>No Issue</v>
      </c>
      <c r="P79" s="3" t="str">
        <f t="shared" si="15"/>
        <v>NoIssue</v>
      </c>
    </row>
    <row r="80" ht="15.75" customHeight="1">
      <c r="A80" s="28">
        <v>17.0</v>
      </c>
      <c r="B80" s="29" t="s">
        <v>38</v>
      </c>
      <c r="C80" s="30">
        <v>36.62</v>
      </c>
      <c r="D80" s="3"/>
      <c r="E80" s="3"/>
      <c r="F80" s="3"/>
      <c r="G80" s="3"/>
      <c r="H80" s="3"/>
      <c r="I80" s="3"/>
      <c r="J80" s="3" t="str">
        <f t="shared" si="9"/>
        <v>0</v>
      </c>
      <c r="K80" s="27" t="str">
        <f t="shared" si="10"/>
        <v> No Issue</v>
      </c>
      <c r="L80" s="3" t="str">
        <f t="shared" si="11"/>
        <v>No Issue</v>
      </c>
      <c r="M80" s="3" t="str">
        <f t="shared" si="12"/>
        <v>No Issue</v>
      </c>
      <c r="N80" s="3" t="str">
        <f t="shared" si="13"/>
        <v>No Issue</v>
      </c>
      <c r="O80" s="3" t="str">
        <f t="shared" si="14"/>
        <v>No Issue</v>
      </c>
      <c r="P80" s="3" t="str">
        <f t="shared" si="15"/>
        <v>NoIssue</v>
      </c>
    </row>
    <row r="81" ht="15.75" customHeight="1">
      <c r="A81" s="28">
        <v>18.0</v>
      </c>
      <c r="B81" s="29" t="s">
        <v>39</v>
      </c>
      <c r="C81" s="30">
        <v>80.36</v>
      </c>
      <c r="D81" s="3"/>
      <c r="E81" s="3"/>
      <c r="F81" s="3"/>
      <c r="G81" s="3"/>
      <c r="H81" s="3"/>
      <c r="I81" s="3"/>
      <c r="J81" s="3" t="str">
        <f t="shared" si="9"/>
        <v>0</v>
      </c>
      <c r="K81" s="27" t="str">
        <f t="shared" si="10"/>
        <v> No Issue</v>
      </c>
      <c r="L81" s="3" t="str">
        <f t="shared" si="11"/>
        <v>No Issue</v>
      </c>
      <c r="M81" s="3" t="str">
        <f t="shared" si="12"/>
        <v>No Issue</v>
      </c>
      <c r="N81" s="3" t="str">
        <f t="shared" si="13"/>
        <v>No Issue</v>
      </c>
      <c r="O81" s="3" t="str">
        <f t="shared" si="14"/>
        <v>No Issue</v>
      </c>
      <c r="P81" s="3" t="str">
        <f t="shared" si="15"/>
        <v>NoIssue</v>
      </c>
    </row>
    <row r="82" ht="15.75" customHeight="1">
      <c r="A82" s="28">
        <v>19.0</v>
      </c>
      <c r="B82" s="29" t="s">
        <v>40</v>
      </c>
      <c r="C82" s="30">
        <v>160.56</v>
      </c>
      <c r="D82" s="3"/>
      <c r="E82" s="3"/>
      <c r="F82" s="3"/>
      <c r="G82" s="3"/>
      <c r="H82" s="3"/>
      <c r="I82" s="3"/>
      <c r="J82" s="3" t="str">
        <f t="shared" si="9"/>
        <v>0</v>
      </c>
      <c r="K82" s="27" t="str">
        <f t="shared" si="10"/>
        <v> No Issue</v>
      </c>
      <c r="L82" s="3" t="str">
        <f t="shared" si="11"/>
        <v>No Issue</v>
      </c>
      <c r="M82" s="3" t="str">
        <f t="shared" si="12"/>
        <v>No Issue</v>
      </c>
      <c r="N82" s="3" t="str">
        <f t="shared" si="13"/>
        <v>No Issue</v>
      </c>
      <c r="O82" s="3" t="str">
        <f t="shared" si="14"/>
        <v>No Issue</v>
      </c>
      <c r="P82" s="3" t="str">
        <f t="shared" si="15"/>
        <v>NoIssue</v>
      </c>
    </row>
    <row r="83" ht="15.75" customHeight="1">
      <c r="A83" s="28">
        <v>20.0</v>
      </c>
      <c r="B83" s="29" t="s">
        <v>41</v>
      </c>
      <c r="C83" s="30">
        <v>186.44</v>
      </c>
      <c r="D83" s="3"/>
      <c r="E83" s="3"/>
      <c r="F83" s="3"/>
      <c r="G83" s="3"/>
      <c r="H83" s="3"/>
      <c r="I83" s="3"/>
      <c r="J83" s="3" t="str">
        <f t="shared" si="9"/>
        <v>0</v>
      </c>
      <c r="K83" s="27" t="str">
        <f t="shared" si="10"/>
        <v> No Issue</v>
      </c>
      <c r="L83" s="3" t="str">
        <f t="shared" si="11"/>
        <v>No Issue</v>
      </c>
      <c r="M83" s="3" t="str">
        <f t="shared" si="12"/>
        <v>No Issue</v>
      </c>
      <c r="N83" s="3" t="str">
        <f t="shared" si="13"/>
        <v>No Issue</v>
      </c>
      <c r="O83" s="3" t="str">
        <f t="shared" si="14"/>
        <v>No Issue</v>
      </c>
      <c r="P83" s="3" t="str">
        <f t="shared" si="15"/>
        <v>NoIssue</v>
      </c>
    </row>
    <row r="84" ht="15.75" customHeight="1">
      <c r="A84" s="28">
        <v>21.0</v>
      </c>
      <c r="B84" s="29" t="s">
        <v>42</v>
      </c>
      <c r="C84" s="30">
        <v>92.59</v>
      </c>
      <c r="D84" s="3"/>
      <c r="E84" s="3"/>
      <c r="F84" s="3"/>
      <c r="G84" s="3"/>
      <c r="H84" s="3"/>
      <c r="I84" s="3"/>
      <c r="J84" s="3" t="str">
        <f t="shared" si="9"/>
        <v>0</v>
      </c>
      <c r="K84" s="27" t="str">
        <f t="shared" si="10"/>
        <v> No Issue</v>
      </c>
      <c r="L84" s="3" t="str">
        <f t="shared" si="11"/>
        <v>No Issue</v>
      </c>
      <c r="M84" s="3" t="str">
        <f t="shared" si="12"/>
        <v>No Issue</v>
      </c>
      <c r="N84" s="3" t="str">
        <f t="shared" si="13"/>
        <v>No Issue</v>
      </c>
      <c r="O84" s="3" t="str">
        <f t="shared" si="14"/>
        <v>No Issue</v>
      </c>
      <c r="P84" s="3" t="str">
        <f t="shared" si="15"/>
        <v>NoIssue</v>
      </c>
    </row>
    <row r="85" ht="15.75" customHeight="1">
      <c r="A85" s="28">
        <v>22.0</v>
      </c>
      <c r="B85" s="29" t="s">
        <v>43</v>
      </c>
      <c r="C85" s="30">
        <v>95.17</v>
      </c>
      <c r="D85" s="3"/>
      <c r="E85" s="3"/>
      <c r="F85" s="3"/>
      <c r="G85" s="3"/>
      <c r="H85" s="3"/>
      <c r="I85" s="3"/>
      <c r="J85" s="3" t="str">
        <f t="shared" si="9"/>
        <v>0</v>
      </c>
      <c r="K85" s="27" t="str">
        <f t="shared" si="10"/>
        <v> No Issue</v>
      </c>
      <c r="L85" s="3" t="str">
        <f t="shared" si="11"/>
        <v>No Issue</v>
      </c>
      <c r="M85" s="3" t="str">
        <f t="shared" si="12"/>
        <v>No Issue</v>
      </c>
      <c r="N85" s="3" t="str">
        <f t="shared" si="13"/>
        <v>No Issue</v>
      </c>
      <c r="O85" s="3" t="str">
        <f t="shared" si="14"/>
        <v>No Issue</v>
      </c>
      <c r="P85" s="3" t="str">
        <f t="shared" si="15"/>
        <v>NoIssue</v>
      </c>
    </row>
    <row r="86" ht="15.75" customHeight="1">
      <c r="A86" s="28">
        <v>23.0</v>
      </c>
      <c r="B86" s="29" t="s">
        <v>44</v>
      </c>
      <c r="C86" s="30">
        <v>92.94</v>
      </c>
      <c r="D86" s="3"/>
      <c r="E86" s="3"/>
      <c r="F86" s="3"/>
      <c r="G86" s="3"/>
      <c r="H86" s="3"/>
      <c r="I86" s="3"/>
      <c r="J86" s="3" t="str">
        <f t="shared" si="9"/>
        <v>0</v>
      </c>
      <c r="K86" s="27" t="str">
        <f t="shared" si="10"/>
        <v> No Issue</v>
      </c>
      <c r="L86" s="3" t="str">
        <f t="shared" si="11"/>
        <v>No Issue</v>
      </c>
      <c r="M86" s="3" t="str">
        <f t="shared" si="12"/>
        <v>No Issue</v>
      </c>
      <c r="N86" s="3" t="str">
        <f t="shared" si="13"/>
        <v>No Issue</v>
      </c>
      <c r="O86" s="3" t="str">
        <f t="shared" si="14"/>
        <v>No Issue</v>
      </c>
      <c r="P86" s="3" t="str">
        <f t="shared" si="15"/>
        <v>NoIssue</v>
      </c>
    </row>
    <row r="87" ht="15.75" customHeight="1">
      <c r="A87" s="28">
        <v>24.0</v>
      </c>
      <c r="B87" s="29" t="s">
        <v>45</v>
      </c>
      <c r="C87" s="30">
        <v>101.82</v>
      </c>
      <c r="D87" s="3"/>
      <c r="E87" s="3"/>
      <c r="F87" s="3"/>
      <c r="G87" s="3"/>
      <c r="H87" s="3"/>
      <c r="I87" s="3"/>
      <c r="J87" s="3" t="str">
        <f t="shared" si="9"/>
        <v>0</v>
      </c>
      <c r="K87" s="27" t="str">
        <f t="shared" si="10"/>
        <v> No Issue</v>
      </c>
      <c r="L87" s="3" t="str">
        <f t="shared" si="11"/>
        <v>No Issue</v>
      </c>
      <c r="M87" s="3" t="str">
        <f t="shared" si="12"/>
        <v>No Issue</v>
      </c>
      <c r="N87" s="3" t="str">
        <f t="shared" si="13"/>
        <v>No Issue</v>
      </c>
      <c r="O87" s="3" t="str">
        <f t="shared" si="14"/>
        <v>No Issue</v>
      </c>
      <c r="P87" s="3" t="str">
        <f t="shared" si="15"/>
        <v>NoIssue</v>
      </c>
    </row>
    <row r="88" ht="15.75" customHeight="1">
      <c r="A88" s="28">
        <v>25.0</v>
      </c>
      <c r="B88" s="29" t="s">
        <v>46</v>
      </c>
      <c r="C88" s="30">
        <v>53.49</v>
      </c>
      <c r="D88" s="3"/>
      <c r="E88" s="3"/>
      <c r="F88" s="3"/>
      <c r="G88" s="3"/>
      <c r="H88" s="3"/>
      <c r="I88" s="3"/>
      <c r="J88" s="3" t="str">
        <f t="shared" si="9"/>
        <v>0</v>
      </c>
      <c r="K88" s="27" t="str">
        <f t="shared" si="10"/>
        <v> No Issue</v>
      </c>
      <c r="L88" s="3" t="str">
        <f t="shared" si="11"/>
        <v>No Issue</v>
      </c>
      <c r="M88" s="3" t="str">
        <f t="shared" si="12"/>
        <v>No Issue</v>
      </c>
      <c r="N88" s="3" t="str">
        <f t="shared" si="13"/>
        <v>No Issue</v>
      </c>
      <c r="O88" s="3" t="str">
        <f t="shared" si="14"/>
        <v>No Issue</v>
      </c>
      <c r="P88" s="3" t="str">
        <f t="shared" si="15"/>
        <v>NoIssue</v>
      </c>
    </row>
    <row r="89" ht="15.75" customHeight="1">
      <c r="A89" s="28">
        <v>26.0</v>
      </c>
      <c r="B89" s="29" t="s">
        <v>47</v>
      </c>
      <c r="C89" s="30">
        <v>32.92</v>
      </c>
      <c r="D89" s="3"/>
      <c r="E89" s="3"/>
      <c r="F89" s="3"/>
      <c r="G89" s="3"/>
      <c r="H89" s="3"/>
      <c r="I89" s="3"/>
      <c r="J89" s="3" t="str">
        <f t="shared" si="9"/>
        <v>0</v>
      </c>
      <c r="K89" s="27" t="str">
        <f t="shared" si="10"/>
        <v> No Issue</v>
      </c>
      <c r="L89" s="3" t="str">
        <f t="shared" si="11"/>
        <v>No Issue</v>
      </c>
      <c r="M89" s="3" t="str">
        <f t="shared" si="12"/>
        <v>No Issue</v>
      </c>
      <c r="N89" s="3" t="str">
        <f t="shared" si="13"/>
        <v>No Issue</v>
      </c>
      <c r="O89" s="3" t="str">
        <f t="shared" si="14"/>
        <v>No Issue</v>
      </c>
      <c r="P89" s="3" t="str">
        <f t="shared" si="15"/>
        <v>NoIssue</v>
      </c>
    </row>
    <row r="90" ht="15.75" customHeight="1">
      <c r="A90" s="28">
        <v>27.0</v>
      </c>
      <c r="B90" s="29" t="s">
        <v>48</v>
      </c>
      <c r="C90" s="30">
        <v>116.68</v>
      </c>
      <c r="D90" s="3"/>
      <c r="E90" s="3"/>
      <c r="F90" s="3"/>
      <c r="G90" s="3"/>
      <c r="H90" s="3"/>
      <c r="I90" s="3"/>
      <c r="J90" s="3" t="str">
        <f t="shared" si="9"/>
        <v>0</v>
      </c>
      <c r="K90" s="27" t="str">
        <f t="shared" si="10"/>
        <v> No Issue</v>
      </c>
      <c r="L90" s="3" t="str">
        <f t="shared" si="11"/>
        <v>No Issue</v>
      </c>
      <c r="M90" s="3" t="str">
        <f t="shared" si="12"/>
        <v>No Issue</v>
      </c>
      <c r="N90" s="3" t="str">
        <f t="shared" si="13"/>
        <v>No Issue</v>
      </c>
      <c r="O90" s="3" t="str">
        <f t="shared" si="14"/>
        <v>No Issue</v>
      </c>
      <c r="P90" s="3" t="str">
        <f t="shared" si="15"/>
        <v>NoIssue</v>
      </c>
    </row>
    <row r="91" ht="15.75" customHeight="1">
      <c r="A91" s="28">
        <v>28.0</v>
      </c>
      <c r="B91" s="29" t="s">
        <v>49</v>
      </c>
      <c r="C91" s="30">
        <v>107.96</v>
      </c>
      <c r="D91" s="3"/>
      <c r="E91" s="3"/>
      <c r="F91" s="3"/>
      <c r="G91" s="3"/>
      <c r="H91" s="3"/>
      <c r="I91" s="3"/>
      <c r="J91" s="3" t="str">
        <f t="shared" si="9"/>
        <v>0</v>
      </c>
      <c r="K91" s="27" t="str">
        <f t="shared" si="10"/>
        <v> No Issue</v>
      </c>
      <c r="L91" s="3" t="str">
        <f t="shared" si="11"/>
        <v>No Issue</v>
      </c>
      <c r="M91" s="3" t="str">
        <f t="shared" si="12"/>
        <v>No Issue</v>
      </c>
      <c r="N91" s="3" t="str">
        <f t="shared" si="13"/>
        <v>No Issue</v>
      </c>
      <c r="O91" s="3" t="str">
        <f t="shared" si="14"/>
        <v>No Issue</v>
      </c>
      <c r="P91" s="3" t="str">
        <f t="shared" si="15"/>
        <v>NoIssue</v>
      </c>
    </row>
    <row r="92" ht="15.75" customHeight="1">
      <c r="A92" s="28">
        <v>29.0</v>
      </c>
      <c r="B92" s="29" t="s">
        <v>50</v>
      </c>
      <c r="C92" s="30">
        <v>248.89</v>
      </c>
      <c r="D92" s="3"/>
      <c r="E92" s="3"/>
      <c r="F92" s="3"/>
      <c r="G92" s="3"/>
      <c r="H92" s="3"/>
      <c r="I92" s="3"/>
      <c r="J92" s="3" t="str">
        <f t="shared" si="9"/>
        <v>0</v>
      </c>
      <c r="K92" s="27" t="str">
        <f t="shared" si="10"/>
        <v> No Issue</v>
      </c>
      <c r="L92" s="3" t="str">
        <f t="shared" si="11"/>
        <v>No Issue</v>
      </c>
      <c r="M92" s="3" t="str">
        <f t="shared" si="12"/>
        <v>No Issue</v>
      </c>
      <c r="N92" s="3" t="str">
        <f t="shared" si="13"/>
        <v>No Issue</v>
      </c>
      <c r="O92" s="3" t="str">
        <f t="shared" si="14"/>
        <v>No Issue</v>
      </c>
      <c r="P92" s="3" t="str">
        <f t="shared" si="15"/>
        <v>NoIssue</v>
      </c>
    </row>
    <row r="93" ht="15.75" customHeight="1">
      <c r="A93" s="28">
        <v>30.0</v>
      </c>
      <c r="B93" s="29" t="s">
        <v>51</v>
      </c>
      <c r="C93" s="30">
        <v>80.36</v>
      </c>
      <c r="D93" s="3"/>
      <c r="E93" s="3"/>
      <c r="F93" s="27"/>
      <c r="G93" s="27"/>
      <c r="H93" s="27"/>
      <c r="I93" s="3"/>
      <c r="J93" s="3" t="str">
        <f t="shared" si="9"/>
        <v>0</v>
      </c>
      <c r="K93" s="27" t="str">
        <f t="shared" si="10"/>
        <v> No Issue</v>
      </c>
      <c r="L93" s="3" t="str">
        <f t="shared" si="11"/>
        <v>No Issue</v>
      </c>
      <c r="M93" s="3" t="str">
        <f t="shared" si="12"/>
        <v>No Issue</v>
      </c>
      <c r="N93" s="3" t="str">
        <f t="shared" si="13"/>
        <v>No Issue</v>
      </c>
      <c r="O93" s="3" t="str">
        <f t="shared" si="14"/>
        <v>No Issue</v>
      </c>
      <c r="P93" s="3" t="str">
        <f t="shared" si="15"/>
        <v>NoIssue</v>
      </c>
    </row>
    <row r="94" ht="15.75" customHeight="1">
      <c r="A94" s="28">
        <v>31.0</v>
      </c>
      <c r="B94" s="29" t="s">
        <v>52</v>
      </c>
      <c r="C94" s="30">
        <v>52.46</v>
      </c>
      <c r="D94" s="3"/>
      <c r="E94" s="3"/>
      <c r="F94" s="27"/>
      <c r="G94" s="27"/>
      <c r="H94" s="27"/>
      <c r="I94" s="3"/>
      <c r="J94" s="3" t="str">
        <f t="shared" si="9"/>
        <v>0</v>
      </c>
      <c r="K94" s="27" t="str">
        <f t="shared" si="10"/>
        <v> No Issue</v>
      </c>
      <c r="L94" s="3" t="str">
        <f t="shared" si="11"/>
        <v>No Issue</v>
      </c>
      <c r="M94" s="3" t="str">
        <f t="shared" si="12"/>
        <v>No Issue</v>
      </c>
      <c r="N94" s="3" t="str">
        <f t="shared" si="13"/>
        <v>No Issue</v>
      </c>
      <c r="O94" s="3" t="str">
        <f t="shared" si="14"/>
        <v>No Issue</v>
      </c>
      <c r="P94" s="3" t="str">
        <f t="shared" si="15"/>
        <v>NoIssue</v>
      </c>
    </row>
    <row r="95" ht="15.75" customHeight="1">
      <c r="A95" s="28">
        <v>32.0</v>
      </c>
      <c r="B95" s="29" t="s">
        <v>53</v>
      </c>
      <c r="C95" s="30">
        <v>71.21</v>
      </c>
      <c r="D95" s="3"/>
      <c r="E95" s="3"/>
      <c r="F95" s="27"/>
      <c r="G95" s="27"/>
      <c r="H95" s="27"/>
      <c r="I95" s="3"/>
      <c r="J95" s="3" t="str">
        <f t="shared" si="9"/>
        <v>0</v>
      </c>
      <c r="K95" s="27" t="str">
        <f t="shared" si="10"/>
        <v> No Issue</v>
      </c>
      <c r="L95" s="3" t="str">
        <f t="shared" si="11"/>
        <v>No Issue</v>
      </c>
      <c r="M95" s="3" t="str">
        <f t="shared" si="12"/>
        <v>No Issue</v>
      </c>
      <c r="N95" s="3" t="str">
        <f t="shared" si="13"/>
        <v>No Issue</v>
      </c>
      <c r="O95" s="3" t="str">
        <f t="shared" si="14"/>
        <v>No Issue</v>
      </c>
      <c r="P95" s="3" t="str">
        <f t="shared" si="15"/>
        <v>NoIssue</v>
      </c>
    </row>
    <row r="96" ht="15.75" customHeight="1">
      <c r="A96" s="28">
        <v>33.0</v>
      </c>
      <c r="B96" s="29" t="s">
        <v>54</v>
      </c>
      <c r="C96" s="30">
        <v>80.35</v>
      </c>
      <c r="D96" s="3"/>
      <c r="E96" s="3"/>
      <c r="F96" s="27"/>
      <c r="G96" s="27"/>
      <c r="H96" s="27"/>
      <c r="I96" s="3"/>
      <c r="J96" s="3" t="str">
        <f t="shared" si="9"/>
        <v>0</v>
      </c>
      <c r="K96" s="27" t="str">
        <f t="shared" si="10"/>
        <v> No Issue</v>
      </c>
      <c r="L96" s="3" t="str">
        <f t="shared" si="11"/>
        <v>No Issue</v>
      </c>
      <c r="M96" s="3" t="str">
        <f t="shared" si="12"/>
        <v>No Issue</v>
      </c>
      <c r="N96" s="3" t="str">
        <f t="shared" si="13"/>
        <v>No Issue</v>
      </c>
      <c r="O96" s="3" t="str">
        <f t="shared" si="14"/>
        <v>No Issue</v>
      </c>
      <c r="P96" s="3" t="str">
        <f t="shared" si="15"/>
        <v>NoIssue</v>
      </c>
    </row>
    <row r="97" ht="15.75" customHeight="1">
      <c r="A97" s="28">
        <v>34.0</v>
      </c>
      <c r="B97" s="29" t="s">
        <v>55</v>
      </c>
      <c r="C97" s="30">
        <v>64.18</v>
      </c>
      <c r="D97" s="3"/>
      <c r="E97" s="3"/>
      <c r="F97" s="27"/>
      <c r="G97" s="27"/>
      <c r="H97" s="27"/>
      <c r="I97" s="3"/>
      <c r="J97" s="3" t="str">
        <f t="shared" si="9"/>
        <v>0</v>
      </c>
      <c r="K97" s="27" t="str">
        <f t="shared" si="10"/>
        <v> No Issue</v>
      </c>
      <c r="L97" s="3" t="str">
        <f t="shared" si="11"/>
        <v>No Issue</v>
      </c>
      <c r="M97" s="3" t="str">
        <f t="shared" si="12"/>
        <v>No Issue</v>
      </c>
      <c r="N97" s="3" t="str">
        <f t="shared" si="13"/>
        <v>No Issue</v>
      </c>
      <c r="O97" s="3" t="str">
        <f t="shared" si="14"/>
        <v>No Issue</v>
      </c>
      <c r="P97" s="3" t="str">
        <f t="shared" si="15"/>
        <v>NoIssue</v>
      </c>
    </row>
    <row r="98" ht="15.75" customHeight="1">
      <c r="A98" s="28">
        <v>35.0</v>
      </c>
      <c r="B98" s="29" t="s">
        <v>56</v>
      </c>
      <c r="C98" s="30">
        <v>36.9</v>
      </c>
      <c r="D98" s="3"/>
      <c r="E98" s="3"/>
      <c r="F98" s="27"/>
      <c r="G98" s="27"/>
      <c r="H98" s="27"/>
      <c r="I98" s="3"/>
      <c r="J98" s="3" t="str">
        <f t="shared" si="9"/>
        <v>0</v>
      </c>
      <c r="K98" s="27" t="str">
        <f t="shared" si="10"/>
        <v> No Issue</v>
      </c>
      <c r="L98" s="3" t="str">
        <f t="shared" si="11"/>
        <v>No Issue</v>
      </c>
      <c r="M98" s="3" t="str">
        <f t="shared" si="12"/>
        <v>No Issue</v>
      </c>
      <c r="N98" s="3" t="str">
        <f t="shared" si="13"/>
        <v>No Issue</v>
      </c>
      <c r="O98" s="3" t="str">
        <f t="shared" si="14"/>
        <v>No Issue</v>
      </c>
      <c r="P98" s="3" t="str">
        <f t="shared" si="15"/>
        <v>NoIssue</v>
      </c>
    </row>
    <row r="99" ht="15.75" customHeight="1">
      <c r="A99" s="28">
        <v>36.0</v>
      </c>
      <c r="B99" s="29" t="s">
        <v>57</v>
      </c>
      <c r="C99" s="30">
        <v>101.54</v>
      </c>
      <c r="D99" s="3"/>
      <c r="E99" s="3"/>
      <c r="F99" s="27"/>
      <c r="G99" s="27"/>
      <c r="H99" s="27"/>
      <c r="I99" s="3"/>
      <c r="J99" s="3" t="str">
        <f t="shared" si="9"/>
        <v>0</v>
      </c>
      <c r="K99" s="27" t="str">
        <f t="shared" si="10"/>
        <v> No Issue</v>
      </c>
      <c r="L99" s="3" t="str">
        <f t="shared" si="11"/>
        <v>No Issue</v>
      </c>
      <c r="M99" s="3" t="str">
        <f t="shared" si="12"/>
        <v>No Issue</v>
      </c>
      <c r="N99" s="3" t="str">
        <f t="shared" si="13"/>
        <v>No Issue</v>
      </c>
      <c r="O99" s="3" t="str">
        <f t="shared" si="14"/>
        <v>No Issue</v>
      </c>
      <c r="P99" s="3" t="str">
        <f t="shared" si="15"/>
        <v>NoIssue</v>
      </c>
    </row>
    <row r="100" ht="15.75" customHeight="1">
      <c r="A100" s="28">
        <v>37.0</v>
      </c>
      <c r="B100" s="29" t="s">
        <v>58</v>
      </c>
      <c r="C100" s="30">
        <v>40.5</v>
      </c>
      <c r="D100" s="3"/>
      <c r="E100" s="3"/>
      <c r="F100" s="27"/>
      <c r="G100" s="27"/>
      <c r="H100" s="27"/>
      <c r="I100" s="3"/>
      <c r="J100" s="3" t="str">
        <f t="shared" si="9"/>
        <v>0</v>
      </c>
      <c r="K100" s="27" t="str">
        <f t="shared" si="10"/>
        <v> No Issue</v>
      </c>
      <c r="L100" s="3" t="str">
        <f t="shared" si="11"/>
        <v>No Issue</v>
      </c>
      <c r="M100" s="3" t="str">
        <f t="shared" si="12"/>
        <v>No Issue</v>
      </c>
      <c r="N100" s="3" t="str">
        <f t="shared" si="13"/>
        <v>No Issue</v>
      </c>
      <c r="O100" s="3" t="str">
        <f t="shared" si="14"/>
        <v>No Issue</v>
      </c>
      <c r="P100" s="3" t="str">
        <f t="shared" si="15"/>
        <v>NoIssue</v>
      </c>
    </row>
    <row r="101" ht="15.75" customHeight="1">
      <c r="A101" s="28">
        <v>38.0</v>
      </c>
      <c r="B101" s="29" t="s">
        <v>59</v>
      </c>
      <c r="C101" s="30">
        <v>66.69</v>
      </c>
      <c r="D101" s="3"/>
      <c r="E101" s="3"/>
      <c r="F101" s="27"/>
      <c r="G101" s="27"/>
      <c r="H101" s="27"/>
      <c r="I101" s="3"/>
      <c r="J101" s="3" t="str">
        <f t="shared" si="9"/>
        <v>0</v>
      </c>
      <c r="K101" s="27" t="str">
        <f t="shared" si="10"/>
        <v> No Issue</v>
      </c>
      <c r="L101" s="3" t="str">
        <f t="shared" si="11"/>
        <v>No Issue</v>
      </c>
      <c r="M101" s="3" t="str">
        <f t="shared" si="12"/>
        <v>No Issue</v>
      </c>
      <c r="N101" s="3" t="str">
        <f t="shared" si="13"/>
        <v>No Issue</v>
      </c>
      <c r="O101" s="3" t="str">
        <f t="shared" si="14"/>
        <v>No Issue</v>
      </c>
      <c r="P101" s="3" t="str">
        <f t="shared" si="15"/>
        <v>NoIssue</v>
      </c>
    </row>
    <row r="102" ht="15.75" customHeight="1">
      <c r="A102" s="28">
        <v>39.0</v>
      </c>
      <c r="B102" s="29" t="s">
        <v>60</v>
      </c>
      <c r="C102" s="29">
        <v>150.85999999999999</v>
      </c>
      <c r="D102" s="3"/>
      <c r="E102" s="3"/>
      <c r="F102" s="27"/>
      <c r="G102" s="27"/>
      <c r="H102" s="27"/>
      <c r="I102" s="3"/>
      <c r="J102" s="3" t="str">
        <f t="shared" si="9"/>
        <v>0</v>
      </c>
      <c r="K102" s="27" t="str">
        <f t="shared" si="10"/>
        <v> No Issue</v>
      </c>
      <c r="L102" s="3" t="str">
        <f t="shared" si="11"/>
        <v>No Issue</v>
      </c>
      <c r="M102" s="3" t="str">
        <f t="shared" si="12"/>
        <v>No Issue</v>
      </c>
      <c r="N102" s="3" t="str">
        <f t="shared" si="13"/>
        <v>No Issue</v>
      </c>
      <c r="O102" s="3" t="str">
        <f t="shared" si="14"/>
        <v>No Issue</v>
      </c>
      <c r="P102" s="3" t="str">
        <f t="shared" si="15"/>
        <v>NoIssue</v>
      </c>
    </row>
    <row r="103" ht="15.75" customHeight="1">
      <c r="A103" s="28">
        <v>40.0</v>
      </c>
      <c r="B103" s="33" t="s">
        <v>61</v>
      </c>
      <c r="C103" s="30">
        <v>180.0</v>
      </c>
      <c r="D103" s="3"/>
      <c r="E103" s="3"/>
      <c r="F103" s="27"/>
      <c r="G103" s="27"/>
      <c r="H103" s="27"/>
      <c r="I103" s="3"/>
      <c r="J103" s="3" t="str">
        <f t="shared" si="9"/>
        <v>0</v>
      </c>
      <c r="K103" s="27" t="str">
        <f t="shared" si="10"/>
        <v> No Issue</v>
      </c>
      <c r="L103" s="3" t="str">
        <f t="shared" si="11"/>
        <v>No Issue</v>
      </c>
      <c r="M103" s="3" t="str">
        <f t="shared" si="12"/>
        <v>No Issue</v>
      </c>
      <c r="N103" s="3" t="str">
        <f t="shared" si="13"/>
        <v>No Issue</v>
      </c>
      <c r="O103" s="3" t="str">
        <f t="shared" si="14"/>
        <v>No Issue</v>
      </c>
      <c r="P103" s="3" t="str">
        <f t="shared" si="15"/>
        <v>NoIssue</v>
      </c>
    </row>
    <row r="104" ht="15.75" customHeight="1">
      <c r="A104" s="28">
        <v>41.0</v>
      </c>
      <c r="B104" s="33" t="s">
        <v>62</v>
      </c>
      <c r="C104" s="29">
        <v>128.57</v>
      </c>
      <c r="D104" s="3"/>
      <c r="E104" s="3"/>
      <c r="F104" s="27"/>
      <c r="G104" s="27"/>
      <c r="H104" s="27"/>
      <c r="I104" s="3"/>
      <c r="J104" s="3" t="str">
        <f t="shared" si="9"/>
        <v>0</v>
      </c>
      <c r="K104" s="27" t="str">
        <f t="shared" si="10"/>
        <v> No Issue</v>
      </c>
      <c r="L104" s="3" t="str">
        <f t="shared" si="11"/>
        <v>No Issue</v>
      </c>
      <c r="M104" s="3" t="str">
        <f t="shared" si="12"/>
        <v>No Issue</v>
      </c>
      <c r="N104" s="3" t="str">
        <f t="shared" si="13"/>
        <v>No Issue</v>
      </c>
      <c r="O104" s="3" t="str">
        <f t="shared" si="14"/>
        <v>No Issue</v>
      </c>
      <c r="P104" s="3" t="str">
        <f t="shared" si="15"/>
        <v>NoIssue</v>
      </c>
    </row>
    <row r="105" ht="15.75" customHeight="1">
      <c r="A105" s="28">
        <v>42.0</v>
      </c>
      <c r="B105" s="29"/>
      <c r="C105" s="29"/>
      <c r="D105" s="3"/>
      <c r="E105" s="3"/>
      <c r="F105" s="27"/>
      <c r="G105" s="27"/>
      <c r="H105" s="27"/>
      <c r="I105" s="3"/>
      <c r="J105" s="3" t="str">
        <f t="shared" si="9"/>
        <v>0</v>
      </c>
      <c r="K105" s="27" t="str">
        <f t="shared" si="10"/>
        <v> No Issue</v>
      </c>
      <c r="L105" s="3" t="str">
        <f t="shared" si="11"/>
        <v>No Issue</v>
      </c>
      <c r="M105" s="3" t="str">
        <f t="shared" si="12"/>
        <v>No Issue</v>
      </c>
      <c r="N105" s="3" t="str">
        <f t="shared" si="13"/>
        <v>No Issue</v>
      </c>
      <c r="O105" s="3" t="str">
        <f t="shared" si="14"/>
        <v>No Issue</v>
      </c>
      <c r="P105" s="3" t="str">
        <f t="shared" si="15"/>
        <v>NoIssue</v>
      </c>
    </row>
    <row r="106" ht="15.75" customHeight="1">
      <c r="A106" s="28">
        <v>43.0</v>
      </c>
      <c r="B106" s="34"/>
      <c r="C106" s="34"/>
      <c r="D106" s="3"/>
      <c r="E106" s="3"/>
      <c r="F106" s="27"/>
      <c r="G106" s="27"/>
      <c r="H106" s="27"/>
      <c r="I106" s="3"/>
      <c r="J106" s="3" t="str">
        <f t="shared" si="9"/>
        <v>0</v>
      </c>
      <c r="K106" s="27" t="str">
        <f t="shared" si="10"/>
        <v> No Issue</v>
      </c>
      <c r="L106" s="3" t="str">
        <f t="shared" si="11"/>
        <v>No Issue</v>
      </c>
      <c r="M106" s="3" t="str">
        <f t="shared" si="12"/>
        <v>No Issue</v>
      </c>
      <c r="N106" s="3" t="str">
        <f t="shared" si="13"/>
        <v>No Issue</v>
      </c>
      <c r="O106" s="3" t="str">
        <f t="shared" si="14"/>
        <v>No Issue</v>
      </c>
      <c r="P106" s="3" t="str">
        <f t="shared" si="15"/>
        <v>NoIssue</v>
      </c>
    </row>
    <row r="107" ht="15.75" customHeight="1">
      <c r="A107" s="28">
        <v>44.0</v>
      </c>
      <c r="B107" s="34"/>
      <c r="C107" s="34"/>
      <c r="D107" s="3"/>
      <c r="E107" s="3"/>
      <c r="F107" s="27"/>
      <c r="G107" s="27"/>
      <c r="H107" s="27"/>
      <c r="I107" s="3"/>
      <c r="J107" s="3" t="str">
        <f t="shared" si="9"/>
        <v>0</v>
      </c>
      <c r="K107" s="27" t="str">
        <f t="shared" si="10"/>
        <v> No Issue</v>
      </c>
      <c r="L107" s="3" t="str">
        <f t="shared" si="11"/>
        <v>No Issue</v>
      </c>
      <c r="M107" s="3" t="str">
        <f t="shared" si="12"/>
        <v>No Issue</v>
      </c>
      <c r="N107" s="3" t="str">
        <f t="shared" si="13"/>
        <v>No Issue</v>
      </c>
      <c r="O107" s="3" t="str">
        <f t="shared" si="14"/>
        <v>No Issue</v>
      </c>
      <c r="P107" s="3" t="str">
        <f t="shared" si="15"/>
        <v>NoIssue</v>
      </c>
    </row>
    <row r="108" ht="15.75" customHeight="1">
      <c r="A108" s="28">
        <v>45.0</v>
      </c>
      <c r="B108" s="34"/>
      <c r="C108" s="34"/>
      <c r="D108" s="3"/>
      <c r="E108" s="3"/>
      <c r="F108" s="27"/>
      <c r="G108" s="27"/>
      <c r="H108" s="27"/>
      <c r="I108" s="3"/>
      <c r="J108" s="3" t="str">
        <f t="shared" si="9"/>
        <v>0</v>
      </c>
      <c r="K108" s="27" t="str">
        <f t="shared" si="10"/>
        <v> No Issue</v>
      </c>
      <c r="L108" s="3" t="str">
        <f t="shared" si="11"/>
        <v>No Issue</v>
      </c>
      <c r="M108" s="3" t="str">
        <f t="shared" si="12"/>
        <v>No Issue</v>
      </c>
      <c r="N108" s="3" t="str">
        <f t="shared" si="13"/>
        <v>No Issue</v>
      </c>
      <c r="O108" s="3" t="str">
        <f t="shared" si="14"/>
        <v>No Issue</v>
      </c>
      <c r="P108" s="3" t="str">
        <f t="shared" si="15"/>
        <v>NoIssue</v>
      </c>
    </row>
    <row r="109" ht="15.75" customHeight="1">
      <c r="A109" s="28">
        <v>46.0</v>
      </c>
      <c r="B109" s="34"/>
      <c r="C109" s="34"/>
      <c r="D109" s="3"/>
      <c r="E109" s="3"/>
      <c r="F109" s="27"/>
      <c r="G109" s="27"/>
      <c r="H109" s="27"/>
      <c r="I109" s="3"/>
      <c r="J109" s="3" t="str">
        <f t="shared" si="9"/>
        <v>0</v>
      </c>
      <c r="K109" s="27" t="str">
        <f t="shared" si="10"/>
        <v> No Issue</v>
      </c>
      <c r="L109" s="3" t="str">
        <f t="shared" si="11"/>
        <v>No Issue</v>
      </c>
      <c r="M109" s="3" t="str">
        <f t="shared" si="12"/>
        <v>No Issue</v>
      </c>
      <c r="N109" s="3" t="str">
        <f t="shared" si="13"/>
        <v>No Issue</v>
      </c>
      <c r="O109" s="3" t="str">
        <f t="shared" si="14"/>
        <v>No Issue</v>
      </c>
      <c r="P109" s="3" t="str">
        <f t="shared" si="15"/>
        <v>NoIssue</v>
      </c>
    </row>
    <row r="110" ht="15.75" customHeight="1">
      <c r="A110" s="28">
        <v>47.0</v>
      </c>
      <c r="B110" s="35"/>
      <c r="C110" s="36"/>
      <c r="D110" s="3"/>
      <c r="E110" s="3"/>
      <c r="F110" s="27"/>
      <c r="G110" s="27"/>
      <c r="H110" s="27"/>
      <c r="I110" s="3"/>
      <c r="J110" s="3" t="str">
        <f t="shared" si="9"/>
        <v>0</v>
      </c>
      <c r="K110" s="27" t="str">
        <f t="shared" si="10"/>
        <v> No Issue</v>
      </c>
      <c r="L110" s="3" t="str">
        <f t="shared" si="11"/>
        <v>No Issue</v>
      </c>
      <c r="M110" s="3" t="str">
        <f t="shared" si="12"/>
        <v>No Issue</v>
      </c>
      <c r="N110" s="3" t="str">
        <f t="shared" si="13"/>
        <v>No Issue</v>
      </c>
      <c r="O110" s="3" t="str">
        <f t="shared" si="14"/>
        <v>No Issue</v>
      </c>
      <c r="P110" s="3" t="str">
        <f t="shared" si="15"/>
        <v>NoIssue</v>
      </c>
    </row>
    <row r="111" ht="15.75" customHeight="1">
      <c r="A111" s="28">
        <v>48.0</v>
      </c>
      <c r="B111" s="35"/>
      <c r="C111" s="36"/>
      <c r="D111" s="3"/>
      <c r="E111" s="3"/>
      <c r="F111" s="27"/>
      <c r="G111" s="27"/>
      <c r="H111" s="27"/>
      <c r="I111" s="3"/>
      <c r="J111" s="3" t="str">
        <f t="shared" si="9"/>
        <v>0</v>
      </c>
      <c r="K111" s="27" t="str">
        <f t="shared" si="10"/>
        <v> No Issue</v>
      </c>
      <c r="L111" s="3" t="str">
        <f t="shared" si="11"/>
        <v>No Issue</v>
      </c>
      <c r="M111" s="3" t="str">
        <f t="shared" si="12"/>
        <v>No Issue</v>
      </c>
      <c r="N111" s="3" t="str">
        <f t="shared" si="13"/>
        <v>No Issue</v>
      </c>
      <c r="O111" s="3" t="str">
        <f t="shared" si="14"/>
        <v>No Issue</v>
      </c>
      <c r="P111" s="3" t="str">
        <f t="shared" si="15"/>
        <v>NoIssue</v>
      </c>
    </row>
    <row r="112" ht="15.75" customHeight="1">
      <c r="A112" s="28">
        <v>49.0</v>
      </c>
      <c r="B112" s="35"/>
      <c r="C112" s="36"/>
      <c r="D112" s="3"/>
      <c r="E112" s="3"/>
      <c r="F112" s="27"/>
      <c r="G112" s="27"/>
      <c r="H112" s="27"/>
      <c r="I112" s="3"/>
      <c r="J112" s="3" t="str">
        <f t="shared" si="9"/>
        <v>0</v>
      </c>
      <c r="K112" s="27" t="str">
        <f t="shared" si="10"/>
        <v> No Issue</v>
      </c>
      <c r="L112" s="3" t="str">
        <f t="shared" si="11"/>
        <v>No Issue</v>
      </c>
      <c r="M112" s="3" t="str">
        <f t="shared" si="12"/>
        <v>No Issue</v>
      </c>
      <c r="N112" s="3" t="str">
        <f t="shared" si="13"/>
        <v>No Issue</v>
      </c>
      <c r="O112" s="3" t="str">
        <f t="shared" si="14"/>
        <v>No Issue</v>
      </c>
      <c r="P112" s="3" t="str">
        <f t="shared" si="15"/>
        <v>NoIssue</v>
      </c>
    </row>
    <row r="113" ht="15.75" customHeight="1">
      <c r="A113" s="28">
        <v>50.0</v>
      </c>
      <c r="B113" s="35"/>
      <c r="C113" s="36"/>
      <c r="D113" s="3"/>
      <c r="E113" s="3"/>
      <c r="F113" s="27"/>
      <c r="G113" s="27"/>
      <c r="H113" s="27"/>
      <c r="I113" s="3"/>
      <c r="J113" s="3" t="str">
        <f t="shared" si="9"/>
        <v>0</v>
      </c>
      <c r="K113" s="27" t="str">
        <f t="shared" si="10"/>
        <v> No Issue</v>
      </c>
      <c r="L113" s="3" t="str">
        <f t="shared" si="11"/>
        <v>No Issue</v>
      </c>
      <c r="M113" s="3" t="str">
        <f t="shared" si="12"/>
        <v>No Issue</v>
      </c>
      <c r="N113" s="3" t="str">
        <f t="shared" si="13"/>
        <v>No Issue</v>
      </c>
      <c r="O113" s="3" t="str">
        <f t="shared" si="14"/>
        <v>No Issue</v>
      </c>
      <c r="P113" s="3" t="str">
        <f t="shared" si="15"/>
        <v>NoIssue</v>
      </c>
    </row>
    <row r="114" ht="15.75" customHeight="1">
      <c r="A114" s="28">
        <v>51.0</v>
      </c>
      <c r="B114" s="35"/>
      <c r="C114" s="36"/>
      <c r="D114" s="3"/>
      <c r="E114" s="3"/>
      <c r="F114" s="27"/>
      <c r="G114" s="27"/>
      <c r="H114" s="27"/>
      <c r="I114" s="3"/>
      <c r="J114" s="3" t="str">
        <f t="shared" si="9"/>
        <v>0</v>
      </c>
      <c r="K114" s="27" t="str">
        <f t="shared" si="10"/>
        <v> No Issue</v>
      </c>
      <c r="L114" s="3" t="str">
        <f t="shared" si="11"/>
        <v>No Issue</v>
      </c>
      <c r="M114" s="3" t="str">
        <f t="shared" si="12"/>
        <v>No Issue</v>
      </c>
      <c r="N114" s="3" t="str">
        <f t="shared" si="13"/>
        <v>No Issue</v>
      </c>
      <c r="O114" s="3" t="str">
        <f t="shared" si="14"/>
        <v>No Issue</v>
      </c>
      <c r="P114" s="3" t="str">
        <f t="shared" si="15"/>
        <v>NoIssue</v>
      </c>
    </row>
    <row r="115" ht="15.75" customHeight="1">
      <c r="A115" s="28">
        <v>52.0</v>
      </c>
      <c r="B115" s="35"/>
      <c r="C115" s="36"/>
      <c r="D115" s="3"/>
      <c r="E115" s="3"/>
      <c r="F115" s="27"/>
      <c r="G115" s="27"/>
      <c r="H115" s="27"/>
      <c r="I115" s="3"/>
      <c r="J115" s="3" t="str">
        <f t="shared" si="9"/>
        <v>0</v>
      </c>
      <c r="K115" s="27" t="str">
        <f t="shared" si="10"/>
        <v> No Issue</v>
      </c>
      <c r="L115" s="3" t="str">
        <f t="shared" si="11"/>
        <v>No Issue</v>
      </c>
      <c r="M115" s="3" t="str">
        <f t="shared" si="12"/>
        <v>No Issue</v>
      </c>
      <c r="N115" s="3" t="str">
        <f t="shared" si="13"/>
        <v>No Issue</v>
      </c>
      <c r="O115" s="3" t="str">
        <f t="shared" si="14"/>
        <v>No Issue</v>
      </c>
      <c r="P115" s="3" t="str">
        <f t="shared" si="15"/>
        <v>NoIssue</v>
      </c>
    </row>
    <row r="116" ht="15.75" customHeight="1">
      <c r="A116" s="28">
        <v>53.0</v>
      </c>
      <c r="B116" s="35"/>
      <c r="C116" s="36"/>
      <c r="D116" s="3"/>
      <c r="E116" s="3"/>
      <c r="F116" s="27"/>
      <c r="G116" s="27"/>
      <c r="H116" s="27"/>
      <c r="I116" s="3"/>
      <c r="J116" s="3" t="str">
        <f t="shared" si="9"/>
        <v>0</v>
      </c>
      <c r="K116" s="27" t="str">
        <f t="shared" si="10"/>
        <v> No Issue</v>
      </c>
      <c r="L116" s="3" t="str">
        <f t="shared" si="11"/>
        <v>No Issue</v>
      </c>
      <c r="M116" s="3" t="str">
        <f t="shared" si="12"/>
        <v>No Issue</v>
      </c>
      <c r="N116" s="3" t="str">
        <f t="shared" si="13"/>
        <v>No Issue</v>
      </c>
      <c r="O116" s="3" t="str">
        <f t="shared" si="14"/>
        <v>No Issue</v>
      </c>
      <c r="P116" s="3" t="str">
        <f t="shared" si="15"/>
        <v>NoIssue</v>
      </c>
    </row>
    <row r="117" ht="15.75" customHeight="1">
      <c r="A117" s="28">
        <v>54.0</v>
      </c>
      <c r="B117" s="34"/>
      <c r="C117" s="34"/>
      <c r="D117" s="3"/>
      <c r="E117" s="3"/>
      <c r="F117" s="27"/>
      <c r="G117" s="27"/>
      <c r="H117" s="27"/>
      <c r="I117" s="3"/>
      <c r="J117" s="3" t="str">
        <f t="shared" si="9"/>
        <v>0</v>
      </c>
      <c r="K117" s="27" t="str">
        <f t="shared" si="10"/>
        <v> No Issue</v>
      </c>
      <c r="L117" s="3" t="str">
        <f t="shared" si="11"/>
        <v>No Issue</v>
      </c>
      <c r="M117" s="3" t="str">
        <f t="shared" si="12"/>
        <v>No Issue</v>
      </c>
      <c r="N117" s="3" t="str">
        <f t="shared" si="13"/>
        <v>No Issue</v>
      </c>
      <c r="O117" s="3" t="str">
        <f t="shared" si="14"/>
        <v>No Issue</v>
      </c>
      <c r="P117" s="3" t="str">
        <f t="shared" si="15"/>
        <v>NoIssue</v>
      </c>
    </row>
    <row r="118" ht="15.75" customHeight="1">
      <c r="A118" s="28">
        <v>55.0</v>
      </c>
      <c r="B118" s="35"/>
      <c r="C118" s="36"/>
      <c r="D118" s="3"/>
      <c r="E118" s="3"/>
      <c r="F118" s="27"/>
      <c r="G118" s="27"/>
      <c r="H118" s="27"/>
      <c r="I118" s="3"/>
      <c r="J118" s="3" t="str">
        <f t="shared" si="9"/>
        <v>0</v>
      </c>
      <c r="K118" s="27" t="str">
        <f t="shared" si="10"/>
        <v> No Issue</v>
      </c>
      <c r="L118" s="3" t="str">
        <f t="shared" si="11"/>
        <v>No Issue</v>
      </c>
      <c r="M118" s="3" t="str">
        <f t="shared" si="12"/>
        <v>No Issue</v>
      </c>
      <c r="N118" s="3" t="str">
        <f t="shared" si="13"/>
        <v>No Issue</v>
      </c>
      <c r="O118" s="3" t="str">
        <f t="shared" si="14"/>
        <v>No Issue</v>
      </c>
      <c r="P118" s="3" t="str">
        <f t="shared" si="15"/>
        <v>NoIssue</v>
      </c>
    </row>
    <row r="119" ht="15.75" customHeight="1">
      <c r="A119" s="28">
        <v>56.0</v>
      </c>
      <c r="B119" s="35"/>
      <c r="C119" s="36"/>
      <c r="D119" s="3"/>
      <c r="E119" s="3"/>
      <c r="F119" s="27"/>
      <c r="G119" s="27"/>
      <c r="H119" s="27"/>
      <c r="I119" s="3"/>
      <c r="J119" s="3" t="str">
        <f t="shared" si="9"/>
        <v>0</v>
      </c>
      <c r="K119" s="27" t="str">
        <f t="shared" si="10"/>
        <v> No Issue</v>
      </c>
      <c r="L119" s="3" t="str">
        <f t="shared" si="11"/>
        <v>No Issue</v>
      </c>
      <c r="M119" s="3" t="str">
        <f t="shared" si="12"/>
        <v>No Issue</v>
      </c>
      <c r="N119" s="3" t="str">
        <f t="shared" si="13"/>
        <v>No Issue</v>
      </c>
      <c r="O119" s="3" t="str">
        <f t="shared" si="14"/>
        <v>No Issue</v>
      </c>
      <c r="P119" s="3" t="str">
        <f t="shared" si="15"/>
        <v>NoIssue</v>
      </c>
    </row>
    <row r="120" ht="15.75" customHeight="1">
      <c r="A120" s="28"/>
      <c r="B120" s="3" t="s">
        <v>64</v>
      </c>
      <c r="C120" s="35"/>
      <c r="D120" s="3" t="str">
        <f t="shared" ref="D120:I120" si="16">SUMPRODUCT(D64:D119,$C64:$C119)</f>
        <v>0</v>
      </c>
      <c r="E120" s="3" t="str">
        <f t="shared" si="16"/>
        <v>0</v>
      </c>
      <c r="F120" s="3" t="str">
        <f t="shared" si="16"/>
        <v>0</v>
      </c>
      <c r="G120" s="3" t="str">
        <f t="shared" si="16"/>
        <v>0</v>
      </c>
      <c r="H120" s="3" t="str">
        <f t="shared" si="16"/>
        <v>0</v>
      </c>
      <c r="I120" s="3" t="str">
        <f t="shared" si="16"/>
        <v>0</v>
      </c>
      <c r="J120" s="3" t="str">
        <f t="shared" si="9"/>
        <v>0</v>
      </c>
      <c r="K120" s="27" t="str">
        <f t="shared" si="10"/>
        <v> No Issue</v>
      </c>
      <c r="L120" s="3" t="str">
        <f t="shared" si="11"/>
        <v>No Issue</v>
      </c>
      <c r="M120" s="3" t="str">
        <f t="shared" si="12"/>
        <v>No Issue</v>
      </c>
      <c r="N120" s="3" t="str">
        <f t="shared" si="13"/>
        <v>No Issue</v>
      </c>
      <c r="O120" s="3" t="str">
        <f t="shared" si="14"/>
        <v>No Issue</v>
      </c>
      <c r="P120" s="3" t="str">
        <f t="shared" si="15"/>
        <v>NoIssue</v>
      </c>
    </row>
    <row r="121" ht="15.75" customHeight="1">
      <c r="A121" s="10"/>
      <c r="B121" s="11" t="s">
        <v>3</v>
      </c>
      <c r="C121" s="39"/>
      <c r="D121" s="13"/>
      <c r="E121" s="11"/>
      <c r="F121" s="15"/>
      <c r="G121" s="16"/>
      <c r="H121" s="17"/>
      <c r="I121" s="15"/>
      <c r="J121" s="18"/>
      <c r="K121" s="19" t="s">
        <v>5</v>
      </c>
      <c r="L121" s="20"/>
      <c r="M121" s="20"/>
      <c r="N121" s="20"/>
      <c r="O121" s="20"/>
      <c r="P121" s="21"/>
    </row>
    <row r="122" ht="15.75" customHeight="1">
      <c r="A122" s="40" t="s">
        <v>6</v>
      </c>
      <c r="B122" s="27" t="s">
        <v>7</v>
      </c>
      <c r="C122" s="27" t="s">
        <v>8</v>
      </c>
      <c r="D122" s="26" t="s">
        <v>9</v>
      </c>
      <c r="E122" s="26" t="s">
        <v>10</v>
      </c>
      <c r="F122" s="26" t="s">
        <v>11</v>
      </c>
      <c r="G122" s="26" t="s">
        <v>12</v>
      </c>
      <c r="H122" s="26" t="s">
        <v>13</v>
      </c>
      <c r="I122" s="26" t="s">
        <v>14</v>
      </c>
      <c r="J122" s="26" t="s">
        <v>15</v>
      </c>
      <c r="K122" s="27" t="s">
        <v>16</v>
      </c>
      <c r="L122" s="27" t="s">
        <v>17</v>
      </c>
      <c r="M122" s="27" t="s">
        <v>18</v>
      </c>
      <c r="N122" s="27" t="s">
        <v>19</v>
      </c>
      <c r="O122" s="27" t="s">
        <v>20</v>
      </c>
      <c r="P122" s="27" t="s">
        <v>21</v>
      </c>
    </row>
    <row r="123" ht="15.75" customHeight="1">
      <c r="A123" s="28">
        <v>1.0</v>
      </c>
      <c r="B123" s="29" t="s">
        <v>22</v>
      </c>
      <c r="C123" s="30">
        <v>192.17</v>
      </c>
      <c r="D123" s="3"/>
      <c r="E123" s="3"/>
      <c r="F123" s="3"/>
      <c r="G123" s="3"/>
      <c r="H123" s="3"/>
      <c r="I123" s="3"/>
      <c r="J123" s="3" t="str">
        <f t="shared" ref="J123:J179" si="17">D123+E123-F123-G123+H123</f>
        <v>0</v>
      </c>
      <c r="K123" s="27" t="str">
        <f t="shared" ref="K123:K179" si="18">IF(I123&lt;&gt;(D123+E123-F123-G123+H123),"Closing stock Not Correct-Problem"," No Issue")</f>
        <v> No Issue</v>
      </c>
      <c r="L123" s="3" t="str">
        <f t="shared" ref="L123:L179" si="19">IF((D123+E123)&lt;F123,"High Sale and Less Stock-Problem","No Issue")</f>
        <v>No Issue</v>
      </c>
      <c r="M123" s="3" t="str">
        <f t="shared" ref="M123:M179" si="20">IF(AND((D123+E123+I123)=0,F123&gt;0),"No Stock Sale Present Problem","No Issue")</f>
        <v>No Issue</v>
      </c>
      <c r="N123" s="3" t="str">
        <f t="shared" ref="N123:N179" si="21">IF(AND(SUM(D123:H123)=0,I123&gt;0),"Only Closing Entered Other Parameters No Entired Problem","No Issue")</f>
        <v>No Issue</v>
      </c>
      <c r="O123" s="3" t="str">
        <f t="shared" ref="O123:O179" si="22">IF(F123&gt;5000,"Check Once Sales quantity or Value Problem","No Issue")</f>
        <v>No Issue</v>
      </c>
      <c r="P123" s="3" t="str">
        <f t="shared" ref="P123:P179" si="23">IF(I123&gt;5000,"Check Once Closing quantity or Value Problem","NoIssue")</f>
        <v>NoIssue</v>
      </c>
    </row>
    <row r="124" ht="15.75" customHeight="1">
      <c r="A124" s="28">
        <v>2.0</v>
      </c>
      <c r="B124" s="29" t="s">
        <v>23</v>
      </c>
      <c r="C124" s="30">
        <v>9.26</v>
      </c>
      <c r="D124" s="3"/>
      <c r="E124" s="3"/>
      <c r="F124" s="3"/>
      <c r="G124" s="3"/>
      <c r="H124" s="3"/>
      <c r="I124" s="3"/>
      <c r="J124" s="3" t="str">
        <f t="shared" si="17"/>
        <v>0</v>
      </c>
      <c r="K124" s="27" t="str">
        <f t="shared" si="18"/>
        <v> No Issue</v>
      </c>
      <c r="L124" s="3" t="str">
        <f t="shared" si="19"/>
        <v>No Issue</v>
      </c>
      <c r="M124" s="3" t="str">
        <f t="shared" si="20"/>
        <v>No Issue</v>
      </c>
      <c r="N124" s="3" t="str">
        <f t="shared" si="21"/>
        <v>No Issue</v>
      </c>
      <c r="O124" s="3" t="str">
        <f t="shared" si="22"/>
        <v>No Issue</v>
      </c>
      <c r="P124" s="3" t="str">
        <f t="shared" si="23"/>
        <v>NoIssue</v>
      </c>
    </row>
    <row r="125" ht="15.75" customHeight="1">
      <c r="A125" s="28">
        <v>3.0</v>
      </c>
      <c r="B125" s="29" t="s">
        <v>24</v>
      </c>
      <c r="C125" s="30">
        <v>87.79</v>
      </c>
      <c r="D125" s="3"/>
      <c r="E125" s="3"/>
      <c r="F125" s="3"/>
      <c r="G125" s="3"/>
      <c r="H125" s="3"/>
      <c r="I125" s="3"/>
      <c r="J125" s="3" t="str">
        <f t="shared" si="17"/>
        <v>0</v>
      </c>
      <c r="K125" s="27" t="str">
        <f t="shared" si="18"/>
        <v> No Issue</v>
      </c>
      <c r="L125" s="3" t="str">
        <f t="shared" si="19"/>
        <v>No Issue</v>
      </c>
      <c r="M125" s="3" t="str">
        <f t="shared" si="20"/>
        <v>No Issue</v>
      </c>
      <c r="N125" s="3" t="str">
        <f t="shared" si="21"/>
        <v>No Issue</v>
      </c>
      <c r="O125" s="3" t="str">
        <f t="shared" si="22"/>
        <v>No Issue</v>
      </c>
      <c r="P125" s="3" t="str">
        <f t="shared" si="23"/>
        <v>NoIssue</v>
      </c>
    </row>
    <row r="126" ht="15.75" customHeight="1">
      <c r="A126" s="28">
        <v>4.0</v>
      </c>
      <c r="B126" s="29" t="s">
        <v>25</v>
      </c>
      <c r="C126" s="30">
        <v>55.55</v>
      </c>
      <c r="D126" s="3"/>
      <c r="E126" s="3"/>
      <c r="F126" s="3"/>
      <c r="G126" s="3"/>
      <c r="H126" s="3"/>
      <c r="I126" s="3"/>
      <c r="J126" s="3" t="str">
        <f t="shared" si="17"/>
        <v>0</v>
      </c>
      <c r="K126" s="27" t="str">
        <f t="shared" si="18"/>
        <v> No Issue</v>
      </c>
      <c r="L126" s="3" t="str">
        <f t="shared" si="19"/>
        <v>No Issue</v>
      </c>
      <c r="M126" s="3" t="str">
        <f t="shared" si="20"/>
        <v>No Issue</v>
      </c>
      <c r="N126" s="3" t="str">
        <f t="shared" si="21"/>
        <v>No Issue</v>
      </c>
      <c r="O126" s="3" t="str">
        <f t="shared" si="22"/>
        <v>No Issue</v>
      </c>
      <c r="P126" s="3" t="str">
        <f t="shared" si="23"/>
        <v>NoIssue</v>
      </c>
    </row>
    <row r="127" ht="15.75" customHeight="1">
      <c r="A127" s="28">
        <v>5.0</v>
      </c>
      <c r="B127" s="29" t="s">
        <v>26</v>
      </c>
      <c r="C127" s="30">
        <v>70.01</v>
      </c>
      <c r="D127" s="3"/>
      <c r="E127" s="3"/>
      <c r="F127" s="3"/>
      <c r="G127" s="3"/>
      <c r="H127" s="3"/>
      <c r="I127" s="3"/>
      <c r="J127" s="3" t="str">
        <f t="shared" si="17"/>
        <v>0</v>
      </c>
      <c r="K127" s="27" t="str">
        <f t="shared" si="18"/>
        <v> No Issue</v>
      </c>
      <c r="L127" s="3" t="str">
        <f t="shared" si="19"/>
        <v>No Issue</v>
      </c>
      <c r="M127" s="3" t="str">
        <f t="shared" si="20"/>
        <v>No Issue</v>
      </c>
      <c r="N127" s="3" t="str">
        <f t="shared" si="21"/>
        <v>No Issue</v>
      </c>
      <c r="O127" s="3" t="str">
        <f t="shared" si="22"/>
        <v>No Issue</v>
      </c>
      <c r="P127" s="3" t="str">
        <f t="shared" si="23"/>
        <v>NoIssue</v>
      </c>
    </row>
    <row r="128" ht="15.75" customHeight="1">
      <c r="A128" s="28">
        <v>6.0</v>
      </c>
      <c r="B128" s="29" t="s">
        <v>27</v>
      </c>
      <c r="C128" s="30">
        <v>73.92999999999999</v>
      </c>
      <c r="D128" s="3"/>
      <c r="E128" s="3"/>
      <c r="F128" s="3"/>
      <c r="G128" s="3"/>
      <c r="H128" s="3"/>
      <c r="I128" s="3"/>
      <c r="J128" s="3" t="str">
        <f t="shared" si="17"/>
        <v>0</v>
      </c>
      <c r="K128" s="27" t="str">
        <f t="shared" si="18"/>
        <v> No Issue</v>
      </c>
      <c r="L128" s="3" t="str">
        <f t="shared" si="19"/>
        <v>No Issue</v>
      </c>
      <c r="M128" s="3" t="str">
        <f t="shared" si="20"/>
        <v>No Issue</v>
      </c>
      <c r="N128" s="3" t="str">
        <f t="shared" si="21"/>
        <v>No Issue</v>
      </c>
      <c r="O128" s="3" t="str">
        <f t="shared" si="22"/>
        <v>No Issue</v>
      </c>
      <c r="P128" s="3" t="str">
        <f t="shared" si="23"/>
        <v>NoIssue</v>
      </c>
    </row>
    <row r="129" ht="15.75" customHeight="1">
      <c r="A129" s="28">
        <v>7.0</v>
      </c>
      <c r="B129" s="29" t="s">
        <v>28</v>
      </c>
      <c r="C129" s="30">
        <v>13.91</v>
      </c>
      <c r="D129" s="3"/>
      <c r="E129" s="3"/>
      <c r="F129" s="3"/>
      <c r="G129" s="3"/>
      <c r="H129" s="3"/>
      <c r="I129" s="3"/>
      <c r="J129" s="3" t="str">
        <f t="shared" si="17"/>
        <v>0</v>
      </c>
      <c r="K129" s="27" t="str">
        <f t="shared" si="18"/>
        <v> No Issue</v>
      </c>
      <c r="L129" s="3" t="str">
        <f t="shared" si="19"/>
        <v>No Issue</v>
      </c>
      <c r="M129" s="3" t="str">
        <f t="shared" si="20"/>
        <v>No Issue</v>
      </c>
      <c r="N129" s="3" t="str">
        <f t="shared" si="21"/>
        <v>No Issue</v>
      </c>
      <c r="O129" s="3" t="str">
        <f t="shared" si="22"/>
        <v>No Issue</v>
      </c>
      <c r="P129" s="3" t="str">
        <f t="shared" si="23"/>
        <v>NoIssue</v>
      </c>
    </row>
    <row r="130" ht="15.75" customHeight="1">
      <c r="A130" s="28">
        <v>8.0</v>
      </c>
      <c r="B130" s="29" t="s">
        <v>29</v>
      </c>
      <c r="C130" s="30">
        <v>19.5</v>
      </c>
      <c r="D130" s="3"/>
      <c r="E130" s="3"/>
      <c r="F130" s="3"/>
      <c r="G130" s="3"/>
      <c r="H130" s="3"/>
      <c r="I130" s="3"/>
      <c r="J130" s="3" t="str">
        <f t="shared" si="17"/>
        <v>0</v>
      </c>
      <c r="K130" s="27" t="str">
        <f t="shared" si="18"/>
        <v> No Issue</v>
      </c>
      <c r="L130" s="3" t="str">
        <f t="shared" si="19"/>
        <v>No Issue</v>
      </c>
      <c r="M130" s="3" t="str">
        <f t="shared" si="20"/>
        <v>No Issue</v>
      </c>
      <c r="N130" s="3" t="str">
        <f t="shared" si="21"/>
        <v>No Issue</v>
      </c>
      <c r="O130" s="3" t="str">
        <f t="shared" si="22"/>
        <v>No Issue</v>
      </c>
      <c r="P130" s="3" t="str">
        <f t="shared" si="23"/>
        <v>NoIssue</v>
      </c>
    </row>
    <row r="131" ht="15.75" customHeight="1">
      <c r="A131" s="28">
        <v>9.0</v>
      </c>
      <c r="B131" s="29" t="s">
        <v>30</v>
      </c>
      <c r="C131" s="30">
        <v>28.83</v>
      </c>
      <c r="D131" s="3"/>
      <c r="E131" s="3"/>
      <c r="F131" s="3"/>
      <c r="G131" s="3"/>
      <c r="H131" s="3"/>
      <c r="I131" s="3"/>
      <c r="J131" s="3" t="str">
        <f t="shared" si="17"/>
        <v>0</v>
      </c>
      <c r="K131" s="27" t="str">
        <f t="shared" si="18"/>
        <v> No Issue</v>
      </c>
      <c r="L131" s="3" t="str">
        <f t="shared" si="19"/>
        <v>No Issue</v>
      </c>
      <c r="M131" s="3" t="str">
        <f t="shared" si="20"/>
        <v>No Issue</v>
      </c>
      <c r="N131" s="3" t="str">
        <f t="shared" si="21"/>
        <v>No Issue</v>
      </c>
      <c r="O131" s="3" t="str">
        <f t="shared" si="22"/>
        <v>No Issue</v>
      </c>
      <c r="P131" s="3" t="str">
        <f t="shared" si="23"/>
        <v>NoIssue</v>
      </c>
    </row>
    <row r="132" ht="15.75" customHeight="1">
      <c r="A132" s="28">
        <v>10.0</v>
      </c>
      <c r="B132" s="29" t="s">
        <v>31</v>
      </c>
      <c r="C132" s="30">
        <v>8.51</v>
      </c>
      <c r="D132" s="3"/>
      <c r="E132" s="3"/>
      <c r="F132" s="3"/>
      <c r="G132" s="3"/>
      <c r="H132" s="3"/>
      <c r="I132" s="3"/>
      <c r="J132" s="3" t="str">
        <f t="shared" si="17"/>
        <v>0</v>
      </c>
      <c r="K132" s="27" t="str">
        <f t="shared" si="18"/>
        <v> No Issue</v>
      </c>
      <c r="L132" s="3" t="str">
        <f t="shared" si="19"/>
        <v>No Issue</v>
      </c>
      <c r="M132" s="3" t="str">
        <f t="shared" si="20"/>
        <v>No Issue</v>
      </c>
      <c r="N132" s="3" t="str">
        <f t="shared" si="21"/>
        <v>No Issue</v>
      </c>
      <c r="O132" s="3" t="str">
        <f t="shared" si="22"/>
        <v>No Issue</v>
      </c>
      <c r="P132" s="3" t="str">
        <f t="shared" si="23"/>
        <v>NoIssue</v>
      </c>
    </row>
    <row r="133" ht="15.75" customHeight="1">
      <c r="A133" s="28">
        <v>11.0</v>
      </c>
      <c r="B133" s="29" t="s">
        <v>32</v>
      </c>
      <c r="C133" s="30">
        <v>102.17</v>
      </c>
      <c r="D133" s="3"/>
      <c r="E133" s="3"/>
      <c r="F133" s="3"/>
      <c r="G133" s="3"/>
      <c r="H133" s="3"/>
      <c r="I133" s="3"/>
      <c r="J133" s="3" t="str">
        <f t="shared" si="17"/>
        <v>0</v>
      </c>
      <c r="K133" s="27" t="str">
        <f t="shared" si="18"/>
        <v> No Issue</v>
      </c>
      <c r="L133" s="3" t="str">
        <f t="shared" si="19"/>
        <v>No Issue</v>
      </c>
      <c r="M133" s="3" t="str">
        <f t="shared" si="20"/>
        <v>No Issue</v>
      </c>
      <c r="N133" s="3" t="str">
        <f t="shared" si="21"/>
        <v>No Issue</v>
      </c>
      <c r="O133" s="3" t="str">
        <f t="shared" si="22"/>
        <v>No Issue</v>
      </c>
      <c r="P133" s="3" t="str">
        <f t="shared" si="23"/>
        <v>NoIssue</v>
      </c>
    </row>
    <row r="134" ht="15.75" customHeight="1">
      <c r="A134" s="28">
        <v>12.0</v>
      </c>
      <c r="B134" s="29" t="s">
        <v>33</v>
      </c>
      <c r="C134" s="30">
        <v>59.93</v>
      </c>
      <c r="D134" s="3"/>
      <c r="E134" s="3"/>
      <c r="F134" s="3"/>
      <c r="G134" s="3"/>
      <c r="H134" s="3"/>
      <c r="I134" s="3"/>
      <c r="J134" s="3" t="str">
        <f t="shared" si="17"/>
        <v>0</v>
      </c>
      <c r="K134" s="27" t="str">
        <f t="shared" si="18"/>
        <v> No Issue</v>
      </c>
      <c r="L134" s="3" t="str">
        <f t="shared" si="19"/>
        <v>No Issue</v>
      </c>
      <c r="M134" s="3" t="str">
        <f t="shared" si="20"/>
        <v>No Issue</v>
      </c>
      <c r="N134" s="3" t="str">
        <f t="shared" si="21"/>
        <v>No Issue</v>
      </c>
      <c r="O134" s="3" t="str">
        <f t="shared" si="22"/>
        <v>No Issue</v>
      </c>
      <c r="P134" s="3" t="str">
        <f t="shared" si="23"/>
        <v>NoIssue</v>
      </c>
    </row>
    <row r="135" ht="15.75" customHeight="1">
      <c r="A135" s="28">
        <v>13.0</v>
      </c>
      <c r="B135" s="29" t="s">
        <v>34</v>
      </c>
      <c r="C135" s="30">
        <v>118.0</v>
      </c>
      <c r="D135" s="3"/>
      <c r="E135" s="3"/>
      <c r="F135" s="3"/>
      <c r="G135" s="3"/>
      <c r="H135" s="3"/>
      <c r="I135" s="3"/>
      <c r="J135" s="3" t="str">
        <f t="shared" si="17"/>
        <v>0</v>
      </c>
      <c r="K135" s="27" t="str">
        <f t="shared" si="18"/>
        <v> No Issue</v>
      </c>
      <c r="L135" s="3" t="str">
        <f t="shared" si="19"/>
        <v>No Issue</v>
      </c>
      <c r="M135" s="3" t="str">
        <f t="shared" si="20"/>
        <v>No Issue</v>
      </c>
      <c r="N135" s="3" t="str">
        <f t="shared" si="21"/>
        <v>No Issue</v>
      </c>
      <c r="O135" s="3" t="str">
        <f t="shared" si="22"/>
        <v>No Issue</v>
      </c>
      <c r="P135" s="3" t="str">
        <f t="shared" si="23"/>
        <v>NoIssue</v>
      </c>
    </row>
    <row r="136" ht="15.75" customHeight="1">
      <c r="A136" s="28">
        <v>14.0</v>
      </c>
      <c r="B136" s="29" t="s">
        <v>35</v>
      </c>
      <c r="C136" s="30">
        <v>52.83</v>
      </c>
      <c r="D136" s="3"/>
      <c r="E136" s="3"/>
      <c r="F136" s="3"/>
      <c r="G136" s="3"/>
      <c r="H136" s="3"/>
      <c r="I136" s="3"/>
      <c r="J136" s="3" t="str">
        <f t="shared" si="17"/>
        <v>0</v>
      </c>
      <c r="K136" s="27" t="str">
        <f t="shared" si="18"/>
        <v> No Issue</v>
      </c>
      <c r="L136" s="3" t="str">
        <f t="shared" si="19"/>
        <v>No Issue</v>
      </c>
      <c r="M136" s="3" t="str">
        <f t="shared" si="20"/>
        <v>No Issue</v>
      </c>
      <c r="N136" s="3" t="str">
        <f t="shared" si="21"/>
        <v>No Issue</v>
      </c>
      <c r="O136" s="3" t="str">
        <f t="shared" si="22"/>
        <v>No Issue</v>
      </c>
      <c r="P136" s="3" t="str">
        <f t="shared" si="23"/>
        <v>NoIssue</v>
      </c>
    </row>
    <row r="137" ht="15.75" customHeight="1">
      <c r="A137" s="28">
        <v>15.0</v>
      </c>
      <c r="B137" s="29" t="s">
        <v>36</v>
      </c>
      <c r="C137" s="30">
        <v>93.2</v>
      </c>
      <c r="D137" s="3"/>
      <c r="E137" s="3"/>
      <c r="F137" s="3"/>
      <c r="G137" s="3"/>
      <c r="H137" s="3"/>
      <c r="I137" s="3"/>
      <c r="J137" s="3" t="str">
        <f t="shared" si="17"/>
        <v>0</v>
      </c>
      <c r="K137" s="27" t="str">
        <f t="shared" si="18"/>
        <v> No Issue</v>
      </c>
      <c r="L137" s="3" t="str">
        <f t="shared" si="19"/>
        <v>No Issue</v>
      </c>
      <c r="M137" s="3" t="str">
        <f t="shared" si="20"/>
        <v>No Issue</v>
      </c>
      <c r="N137" s="3" t="str">
        <f t="shared" si="21"/>
        <v>No Issue</v>
      </c>
      <c r="O137" s="3" t="str">
        <f t="shared" si="22"/>
        <v>No Issue</v>
      </c>
      <c r="P137" s="3" t="str">
        <f t="shared" si="23"/>
        <v>NoIssue</v>
      </c>
    </row>
    <row r="138" ht="15.75" customHeight="1">
      <c r="A138" s="28">
        <v>16.0</v>
      </c>
      <c r="B138" s="29" t="s">
        <v>37</v>
      </c>
      <c r="C138" s="30">
        <v>61.02</v>
      </c>
      <c r="D138" s="3"/>
      <c r="E138" s="3"/>
      <c r="F138" s="3"/>
      <c r="G138" s="3"/>
      <c r="H138" s="3"/>
      <c r="I138" s="3"/>
      <c r="J138" s="3" t="str">
        <f t="shared" si="17"/>
        <v>0</v>
      </c>
      <c r="K138" s="27" t="str">
        <f t="shared" si="18"/>
        <v> No Issue</v>
      </c>
      <c r="L138" s="3" t="str">
        <f t="shared" si="19"/>
        <v>No Issue</v>
      </c>
      <c r="M138" s="3" t="str">
        <f t="shared" si="20"/>
        <v>No Issue</v>
      </c>
      <c r="N138" s="3" t="str">
        <f t="shared" si="21"/>
        <v>No Issue</v>
      </c>
      <c r="O138" s="3" t="str">
        <f t="shared" si="22"/>
        <v>No Issue</v>
      </c>
      <c r="P138" s="3" t="str">
        <f t="shared" si="23"/>
        <v>NoIssue</v>
      </c>
    </row>
    <row r="139" ht="15.75" customHeight="1">
      <c r="A139" s="28">
        <v>17.0</v>
      </c>
      <c r="B139" s="29" t="s">
        <v>38</v>
      </c>
      <c r="C139" s="30">
        <v>36.62</v>
      </c>
      <c r="D139" s="3"/>
      <c r="E139" s="3"/>
      <c r="F139" s="3"/>
      <c r="G139" s="3"/>
      <c r="H139" s="3"/>
      <c r="I139" s="3"/>
      <c r="J139" s="3" t="str">
        <f t="shared" si="17"/>
        <v>0</v>
      </c>
      <c r="K139" s="27" t="str">
        <f t="shared" si="18"/>
        <v> No Issue</v>
      </c>
      <c r="L139" s="3" t="str">
        <f t="shared" si="19"/>
        <v>No Issue</v>
      </c>
      <c r="M139" s="3" t="str">
        <f t="shared" si="20"/>
        <v>No Issue</v>
      </c>
      <c r="N139" s="3" t="str">
        <f t="shared" si="21"/>
        <v>No Issue</v>
      </c>
      <c r="O139" s="3" t="str">
        <f t="shared" si="22"/>
        <v>No Issue</v>
      </c>
      <c r="P139" s="3" t="str">
        <f t="shared" si="23"/>
        <v>NoIssue</v>
      </c>
    </row>
    <row r="140" ht="15.75" customHeight="1">
      <c r="A140" s="28">
        <v>18.0</v>
      </c>
      <c r="B140" s="29" t="s">
        <v>39</v>
      </c>
      <c r="C140" s="30">
        <v>80.36</v>
      </c>
      <c r="D140" s="3"/>
      <c r="E140" s="3"/>
      <c r="F140" s="3"/>
      <c r="G140" s="3"/>
      <c r="H140" s="3"/>
      <c r="I140" s="3"/>
      <c r="J140" s="3" t="str">
        <f t="shared" si="17"/>
        <v>0</v>
      </c>
      <c r="K140" s="27" t="str">
        <f t="shared" si="18"/>
        <v> No Issue</v>
      </c>
      <c r="L140" s="3" t="str">
        <f t="shared" si="19"/>
        <v>No Issue</v>
      </c>
      <c r="M140" s="3" t="str">
        <f t="shared" si="20"/>
        <v>No Issue</v>
      </c>
      <c r="N140" s="3" t="str">
        <f t="shared" si="21"/>
        <v>No Issue</v>
      </c>
      <c r="O140" s="3" t="str">
        <f t="shared" si="22"/>
        <v>No Issue</v>
      </c>
      <c r="P140" s="3" t="str">
        <f t="shared" si="23"/>
        <v>NoIssue</v>
      </c>
    </row>
    <row r="141" ht="15.75" customHeight="1">
      <c r="A141" s="28">
        <v>19.0</v>
      </c>
      <c r="B141" s="29" t="s">
        <v>40</v>
      </c>
      <c r="C141" s="30">
        <v>160.56</v>
      </c>
      <c r="D141" s="3"/>
      <c r="E141" s="3"/>
      <c r="F141" s="3"/>
      <c r="G141" s="3"/>
      <c r="H141" s="3"/>
      <c r="I141" s="3"/>
      <c r="J141" s="3" t="str">
        <f t="shared" si="17"/>
        <v>0</v>
      </c>
      <c r="K141" s="27" t="str">
        <f t="shared" si="18"/>
        <v> No Issue</v>
      </c>
      <c r="L141" s="3" t="str">
        <f t="shared" si="19"/>
        <v>No Issue</v>
      </c>
      <c r="M141" s="3" t="str">
        <f t="shared" si="20"/>
        <v>No Issue</v>
      </c>
      <c r="N141" s="3" t="str">
        <f t="shared" si="21"/>
        <v>No Issue</v>
      </c>
      <c r="O141" s="3" t="str">
        <f t="shared" si="22"/>
        <v>No Issue</v>
      </c>
      <c r="P141" s="3" t="str">
        <f t="shared" si="23"/>
        <v>NoIssue</v>
      </c>
    </row>
    <row r="142" ht="15.75" customHeight="1">
      <c r="A142" s="28">
        <v>20.0</v>
      </c>
      <c r="B142" s="29" t="s">
        <v>41</v>
      </c>
      <c r="C142" s="30">
        <v>186.44</v>
      </c>
      <c r="D142" s="3"/>
      <c r="E142" s="3"/>
      <c r="F142" s="3"/>
      <c r="G142" s="3"/>
      <c r="H142" s="3"/>
      <c r="I142" s="3"/>
      <c r="J142" s="3" t="str">
        <f t="shared" si="17"/>
        <v>0</v>
      </c>
      <c r="K142" s="27" t="str">
        <f t="shared" si="18"/>
        <v> No Issue</v>
      </c>
      <c r="L142" s="3" t="str">
        <f t="shared" si="19"/>
        <v>No Issue</v>
      </c>
      <c r="M142" s="3" t="str">
        <f t="shared" si="20"/>
        <v>No Issue</v>
      </c>
      <c r="N142" s="3" t="str">
        <f t="shared" si="21"/>
        <v>No Issue</v>
      </c>
      <c r="O142" s="3" t="str">
        <f t="shared" si="22"/>
        <v>No Issue</v>
      </c>
      <c r="P142" s="3" t="str">
        <f t="shared" si="23"/>
        <v>NoIssue</v>
      </c>
    </row>
    <row r="143" ht="15.75" customHeight="1">
      <c r="A143" s="28">
        <v>21.0</v>
      </c>
      <c r="B143" s="29" t="s">
        <v>42</v>
      </c>
      <c r="C143" s="30">
        <v>92.59</v>
      </c>
      <c r="D143" s="3"/>
      <c r="E143" s="3"/>
      <c r="F143" s="3"/>
      <c r="G143" s="3"/>
      <c r="H143" s="3"/>
      <c r="I143" s="3"/>
      <c r="J143" s="3" t="str">
        <f t="shared" si="17"/>
        <v>0</v>
      </c>
      <c r="K143" s="27" t="str">
        <f t="shared" si="18"/>
        <v> No Issue</v>
      </c>
      <c r="L143" s="3" t="str">
        <f t="shared" si="19"/>
        <v>No Issue</v>
      </c>
      <c r="M143" s="3" t="str">
        <f t="shared" si="20"/>
        <v>No Issue</v>
      </c>
      <c r="N143" s="3" t="str">
        <f t="shared" si="21"/>
        <v>No Issue</v>
      </c>
      <c r="O143" s="3" t="str">
        <f t="shared" si="22"/>
        <v>No Issue</v>
      </c>
      <c r="P143" s="3" t="str">
        <f t="shared" si="23"/>
        <v>NoIssue</v>
      </c>
    </row>
    <row r="144" ht="15.75" customHeight="1">
      <c r="A144" s="28">
        <v>22.0</v>
      </c>
      <c r="B144" s="29" t="s">
        <v>43</v>
      </c>
      <c r="C144" s="30">
        <v>95.17</v>
      </c>
      <c r="D144" s="3"/>
      <c r="E144" s="3"/>
      <c r="F144" s="3"/>
      <c r="G144" s="3"/>
      <c r="H144" s="3"/>
      <c r="I144" s="3"/>
      <c r="J144" s="3" t="str">
        <f t="shared" si="17"/>
        <v>0</v>
      </c>
      <c r="K144" s="27" t="str">
        <f t="shared" si="18"/>
        <v> No Issue</v>
      </c>
      <c r="L144" s="3" t="str">
        <f t="shared" si="19"/>
        <v>No Issue</v>
      </c>
      <c r="M144" s="3" t="str">
        <f t="shared" si="20"/>
        <v>No Issue</v>
      </c>
      <c r="N144" s="3" t="str">
        <f t="shared" si="21"/>
        <v>No Issue</v>
      </c>
      <c r="O144" s="3" t="str">
        <f t="shared" si="22"/>
        <v>No Issue</v>
      </c>
      <c r="P144" s="3" t="str">
        <f t="shared" si="23"/>
        <v>NoIssue</v>
      </c>
    </row>
    <row r="145" ht="15.75" customHeight="1">
      <c r="A145" s="28">
        <v>23.0</v>
      </c>
      <c r="B145" s="29" t="s">
        <v>44</v>
      </c>
      <c r="C145" s="30">
        <v>92.94</v>
      </c>
      <c r="D145" s="3"/>
      <c r="E145" s="3"/>
      <c r="F145" s="3"/>
      <c r="G145" s="3"/>
      <c r="H145" s="3"/>
      <c r="I145" s="3"/>
      <c r="J145" s="3" t="str">
        <f t="shared" si="17"/>
        <v>0</v>
      </c>
      <c r="K145" s="27" t="str">
        <f t="shared" si="18"/>
        <v> No Issue</v>
      </c>
      <c r="L145" s="3" t="str">
        <f t="shared" si="19"/>
        <v>No Issue</v>
      </c>
      <c r="M145" s="3" t="str">
        <f t="shared" si="20"/>
        <v>No Issue</v>
      </c>
      <c r="N145" s="3" t="str">
        <f t="shared" si="21"/>
        <v>No Issue</v>
      </c>
      <c r="O145" s="3" t="str">
        <f t="shared" si="22"/>
        <v>No Issue</v>
      </c>
      <c r="P145" s="3" t="str">
        <f t="shared" si="23"/>
        <v>NoIssue</v>
      </c>
    </row>
    <row r="146" ht="15.75" customHeight="1">
      <c r="A146" s="28">
        <v>24.0</v>
      </c>
      <c r="B146" s="29" t="s">
        <v>45</v>
      </c>
      <c r="C146" s="30">
        <v>101.82</v>
      </c>
      <c r="D146" s="3"/>
      <c r="E146" s="3"/>
      <c r="F146" s="3"/>
      <c r="G146" s="3"/>
      <c r="H146" s="3"/>
      <c r="I146" s="3"/>
      <c r="J146" s="3" t="str">
        <f t="shared" si="17"/>
        <v>0</v>
      </c>
      <c r="K146" s="27" t="str">
        <f t="shared" si="18"/>
        <v> No Issue</v>
      </c>
      <c r="L146" s="3" t="str">
        <f t="shared" si="19"/>
        <v>No Issue</v>
      </c>
      <c r="M146" s="3" t="str">
        <f t="shared" si="20"/>
        <v>No Issue</v>
      </c>
      <c r="N146" s="3" t="str">
        <f t="shared" si="21"/>
        <v>No Issue</v>
      </c>
      <c r="O146" s="3" t="str">
        <f t="shared" si="22"/>
        <v>No Issue</v>
      </c>
      <c r="P146" s="3" t="str">
        <f t="shared" si="23"/>
        <v>NoIssue</v>
      </c>
    </row>
    <row r="147" ht="15.75" customHeight="1">
      <c r="A147" s="28">
        <v>25.0</v>
      </c>
      <c r="B147" s="29" t="s">
        <v>46</v>
      </c>
      <c r="C147" s="30">
        <v>53.49</v>
      </c>
      <c r="D147" s="3"/>
      <c r="E147" s="3"/>
      <c r="F147" s="3"/>
      <c r="G147" s="3"/>
      <c r="H147" s="3"/>
      <c r="I147" s="3"/>
      <c r="J147" s="3" t="str">
        <f t="shared" si="17"/>
        <v>0</v>
      </c>
      <c r="K147" s="27" t="str">
        <f t="shared" si="18"/>
        <v> No Issue</v>
      </c>
      <c r="L147" s="3" t="str">
        <f t="shared" si="19"/>
        <v>No Issue</v>
      </c>
      <c r="M147" s="3" t="str">
        <f t="shared" si="20"/>
        <v>No Issue</v>
      </c>
      <c r="N147" s="3" t="str">
        <f t="shared" si="21"/>
        <v>No Issue</v>
      </c>
      <c r="O147" s="3" t="str">
        <f t="shared" si="22"/>
        <v>No Issue</v>
      </c>
      <c r="P147" s="3" t="str">
        <f t="shared" si="23"/>
        <v>NoIssue</v>
      </c>
    </row>
    <row r="148" ht="15.75" customHeight="1">
      <c r="A148" s="28">
        <v>26.0</v>
      </c>
      <c r="B148" s="29" t="s">
        <v>47</v>
      </c>
      <c r="C148" s="30">
        <v>32.92</v>
      </c>
      <c r="D148" s="3"/>
      <c r="E148" s="3"/>
      <c r="F148" s="3"/>
      <c r="G148" s="3"/>
      <c r="H148" s="3"/>
      <c r="I148" s="3"/>
      <c r="J148" s="3" t="str">
        <f t="shared" si="17"/>
        <v>0</v>
      </c>
      <c r="K148" s="27" t="str">
        <f t="shared" si="18"/>
        <v> No Issue</v>
      </c>
      <c r="L148" s="3" t="str">
        <f t="shared" si="19"/>
        <v>No Issue</v>
      </c>
      <c r="M148" s="3" t="str">
        <f t="shared" si="20"/>
        <v>No Issue</v>
      </c>
      <c r="N148" s="3" t="str">
        <f t="shared" si="21"/>
        <v>No Issue</v>
      </c>
      <c r="O148" s="3" t="str">
        <f t="shared" si="22"/>
        <v>No Issue</v>
      </c>
      <c r="P148" s="3" t="str">
        <f t="shared" si="23"/>
        <v>NoIssue</v>
      </c>
    </row>
    <row r="149" ht="15.75" customHeight="1">
      <c r="A149" s="28">
        <v>27.0</v>
      </c>
      <c r="B149" s="29" t="s">
        <v>48</v>
      </c>
      <c r="C149" s="30">
        <v>116.68</v>
      </c>
      <c r="D149" s="3"/>
      <c r="E149" s="3"/>
      <c r="F149" s="3"/>
      <c r="G149" s="3"/>
      <c r="H149" s="3"/>
      <c r="I149" s="3"/>
      <c r="J149" s="3" t="str">
        <f t="shared" si="17"/>
        <v>0</v>
      </c>
      <c r="K149" s="27" t="str">
        <f t="shared" si="18"/>
        <v> No Issue</v>
      </c>
      <c r="L149" s="3" t="str">
        <f t="shared" si="19"/>
        <v>No Issue</v>
      </c>
      <c r="M149" s="3" t="str">
        <f t="shared" si="20"/>
        <v>No Issue</v>
      </c>
      <c r="N149" s="3" t="str">
        <f t="shared" si="21"/>
        <v>No Issue</v>
      </c>
      <c r="O149" s="3" t="str">
        <f t="shared" si="22"/>
        <v>No Issue</v>
      </c>
      <c r="P149" s="3" t="str">
        <f t="shared" si="23"/>
        <v>NoIssue</v>
      </c>
    </row>
    <row r="150" ht="15.75" customHeight="1">
      <c r="A150" s="28">
        <v>28.0</v>
      </c>
      <c r="B150" s="29" t="s">
        <v>49</v>
      </c>
      <c r="C150" s="30">
        <v>107.96</v>
      </c>
      <c r="D150" s="3"/>
      <c r="E150" s="3"/>
      <c r="F150" s="3"/>
      <c r="G150" s="3"/>
      <c r="H150" s="3"/>
      <c r="I150" s="3"/>
      <c r="J150" s="3" t="str">
        <f t="shared" si="17"/>
        <v>0</v>
      </c>
      <c r="K150" s="27" t="str">
        <f t="shared" si="18"/>
        <v> No Issue</v>
      </c>
      <c r="L150" s="3" t="str">
        <f t="shared" si="19"/>
        <v>No Issue</v>
      </c>
      <c r="M150" s="3" t="str">
        <f t="shared" si="20"/>
        <v>No Issue</v>
      </c>
      <c r="N150" s="3" t="str">
        <f t="shared" si="21"/>
        <v>No Issue</v>
      </c>
      <c r="O150" s="3" t="str">
        <f t="shared" si="22"/>
        <v>No Issue</v>
      </c>
      <c r="P150" s="3" t="str">
        <f t="shared" si="23"/>
        <v>NoIssue</v>
      </c>
    </row>
    <row r="151" ht="15.75" customHeight="1">
      <c r="A151" s="28">
        <v>29.0</v>
      </c>
      <c r="B151" s="29" t="s">
        <v>50</v>
      </c>
      <c r="C151" s="30">
        <v>248.89</v>
      </c>
      <c r="D151" s="3"/>
      <c r="E151" s="3"/>
      <c r="F151" s="3"/>
      <c r="G151" s="3"/>
      <c r="H151" s="3"/>
      <c r="I151" s="3"/>
      <c r="J151" s="3" t="str">
        <f t="shared" si="17"/>
        <v>0</v>
      </c>
      <c r="K151" s="27" t="str">
        <f t="shared" si="18"/>
        <v> No Issue</v>
      </c>
      <c r="L151" s="3" t="str">
        <f t="shared" si="19"/>
        <v>No Issue</v>
      </c>
      <c r="M151" s="3" t="str">
        <f t="shared" si="20"/>
        <v>No Issue</v>
      </c>
      <c r="N151" s="3" t="str">
        <f t="shared" si="21"/>
        <v>No Issue</v>
      </c>
      <c r="O151" s="3" t="str">
        <f t="shared" si="22"/>
        <v>No Issue</v>
      </c>
      <c r="P151" s="3" t="str">
        <f t="shared" si="23"/>
        <v>NoIssue</v>
      </c>
    </row>
    <row r="152" ht="15.75" customHeight="1">
      <c r="A152" s="28">
        <v>30.0</v>
      </c>
      <c r="B152" s="29" t="s">
        <v>51</v>
      </c>
      <c r="C152" s="30">
        <v>80.36</v>
      </c>
      <c r="D152" s="3"/>
      <c r="E152" s="3"/>
      <c r="F152" s="27"/>
      <c r="G152" s="27"/>
      <c r="H152" s="27"/>
      <c r="I152" s="3"/>
      <c r="J152" s="3" t="str">
        <f t="shared" si="17"/>
        <v>0</v>
      </c>
      <c r="K152" s="27" t="str">
        <f t="shared" si="18"/>
        <v> No Issue</v>
      </c>
      <c r="L152" s="3" t="str">
        <f t="shared" si="19"/>
        <v>No Issue</v>
      </c>
      <c r="M152" s="3" t="str">
        <f t="shared" si="20"/>
        <v>No Issue</v>
      </c>
      <c r="N152" s="3" t="str">
        <f t="shared" si="21"/>
        <v>No Issue</v>
      </c>
      <c r="O152" s="3" t="str">
        <f t="shared" si="22"/>
        <v>No Issue</v>
      </c>
      <c r="P152" s="3" t="str">
        <f t="shared" si="23"/>
        <v>NoIssue</v>
      </c>
    </row>
    <row r="153" ht="15.75" customHeight="1">
      <c r="A153" s="28">
        <v>31.0</v>
      </c>
      <c r="B153" s="29" t="s">
        <v>52</v>
      </c>
      <c r="C153" s="30">
        <v>52.46</v>
      </c>
      <c r="D153" s="3"/>
      <c r="E153" s="3"/>
      <c r="F153" s="27"/>
      <c r="G153" s="27"/>
      <c r="H153" s="27"/>
      <c r="I153" s="3"/>
      <c r="J153" s="3" t="str">
        <f t="shared" si="17"/>
        <v>0</v>
      </c>
      <c r="K153" s="27" t="str">
        <f t="shared" si="18"/>
        <v> No Issue</v>
      </c>
      <c r="L153" s="3" t="str">
        <f t="shared" si="19"/>
        <v>No Issue</v>
      </c>
      <c r="M153" s="3" t="str">
        <f t="shared" si="20"/>
        <v>No Issue</v>
      </c>
      <c r="N153" s="3" t="str">
        <f t="shared" si="21"/>
        <v>No Issue</v>
      </c>
      <c r="O153" s="3" t="str">
        <f t="shared" si="22"/>
        <v>No Issue</v>
      </c>
      <c r="P153" s="3" t="str">
        <f t="shared" si="23"/>
        <v>NoIssue</v>
      </c>
    </row>
    <row r="154" ht="15.75" customHeight="1">
      <c r="A154" s="28">
        <v>32.0</v>
      </c>
      <c r="B154" s="29" t="s">
        <v>53</v>
      </c>
      <c r="C154" s="30">
        <v>71.21</v>
      </c>
      <c r="D154" s="3"/>
      <c r="E154" s="3"/>
      <c r="F154" s="27"/>
      <c r="G154" s="27"/>
      <c r="H154" s="27"/>
      <c r="I154" s="3"/>
      <c r="J154" s="3" t="str">
        <f t="shared" si="17"/>
        <v>0</v>
      </c>
      <c r="K154" s="27" t="str">
        <f t="shared" si="18"/>
        <v> No Issue</v>
      </c>
      <c r="L154" s="3" t="str">
        <f t="shared" si="19"/>
        <v>No Issue</v>
      </c>
      <c r="M154" s="3" t="str">
        <f t="shared" si="20"/>
        <v>No Issue</v>
      </c>
      <c r="N154" s="3" t="str">
        <f t="shared" si="21"/>
        <v>No Issue</v>
      </c>
      <c r="O154" s="3" t="str">
        <f t="shared" si="22"/>
        <v>No Issue</v>
      </c>
      <c r="P154" s="3" t="str">
        <f t="shared" si="23"/>
        <v>NoIssue</v>
      </c>
    </row>
    <row r="155" ht="15.75" customHeight="1">
      <c r="A155" s="28">
        <v>33.0</v>
      </c>
      <c r="B155" s="29" t="s">
        <v>54</v>
      </c>
      <c r="C155" s="30">
        <v>80.35</v>
      </c>
      <c r="D155" s="3"/>
      <c r="E155" s="3"/>
      <c r="F155" s="27"/>
      <c r="G155" s="27"/>
      <c r="H155" s="27"/>
      <c r="I155" s="3"/>
      <c r="J155" s="3" t="str">
        <f t="shared" si="17"/>
        <v>0</v>
      </c>
      <c r="K155" s="27" t="str">
        <f t="shared" si="18"/>
        <v> No Issue</v>
      </c>
      <c r="L155" s="3" t="str">
        <f t="shared" si="19"/>
        <v>No Issue</v>
      </c>
      <c r="M155" s="3" t="str">
        <f t="shared" si="20"/>
        <v>No Issue</v>
      </c>
      <c r="N155" s="3" t="str">
        <f t="shared" si="21"/>
        <v>No Issue</v>
      </c>
      <c r="O155" s="3" t="str">
        <f t="shared" si="22"/>
        <v>No Issue</v>
      </c>
      <c r="P155" s="3" t="str">
        <f t="shared" si="23"/>
        <v>NoIssue</v>
      </c>
    </row>
    <row r="156" ht="15.75" customHeight="1">
      <c r="A156" s="28">
        <v>34.0</v>
      </c>
      <c r="B156" s="29" t="s">
        <v>55</v>
      </c>
      <c r="C156" s="30">
        <v>64.18</v>
      </c>
      <c r="D156" s="3"/>
      <c r="E156" s="3"/>
      <c r="F156" s="27"/>
      <c r="G156" s="27"/>
      <c r="H156" s="27"/>
      <c r="I156" s="3"/>
      <c r="J156" s="3" t="str">
        <f t="shared" si="17"/>
        <v>0</v>
      </c>
      <c r="K156" s="27" t="str">
        <f t="shared" si="18"/>
        <v> No Issue</v>
      </c>
      <c r="L156" s="3" t="str">
        <f t="shared" si="19"/>
        <v>No Issue</v>
      </c>
      <c r="M156" s="3" t="str">
        <f t="shared" si="20"/>
        <v>No Issue</v>
      </c>
      <c r="N156" s="3" t="str">
        <f t="shared" si="21"/>
        <v>No Issue</v>
      </c>
      <c r="O156" s="3" t="str">
        <f t="shared" si="22"/>
        <v>No Issue</v>
      </c>
      <c r="P156" s="3" t="str">
        <f t="shared" si="23"/>
        <v>NoIssue</v>
      </c>
    </row>
    <row r="157" ht="15.75" customHeight="1">
      <c r="A157" s="28">
        <v>35.0</v>
      </c>
      <c r="B157" s="29" t="s">
        <v>56</v>
      </c>
      <c r="C157" s="30">
        <v>36.9</v>
      </c>
      <c r="D157" s="3"/>
      <c r="E157" s="3"/>
      <c r="F157" s="27"/>
      <c r="G157" s="27"/>
      <c r="H157" s="27"/>
      <c r="I157" s="3"/>
      <c r="J157" s="3" t="str">
        <f t="shared" si="17"/>
        <v>0</v>
      </c>
      <c r="K157" s="27" t="str">
        <f t="shared" si="18"/>
        <v> No Issue</v>
      </c>
      <c r="L157" s="3" t="str">
        <f t="shared" si="19"/>
        <v>No Issue</v>
      </c>
      <c r="M157" s="3" t="str">
        <f t="shared" si="20"/>
        <v>No Issue</v>
      </c>
      <c r="N157" s="3" t="str">
        <f t="shared" si="21"/>
        <v>No Issue</v>
      </c>
      <c r="O157" s="3" t="str">
        <f t="shared" si="22"/>
        <v>No Issue</v>
      </c>
      <c r="P157" s="3" t="str">
        <f t="shared" si="23"/>
        <v>NoIssue</v>
      </c>
    </row>
    <row r="158" ht="15.75" customHeight="1">
      <c r="A158" s="28">
        <v>36.0</v>
      </c>
      <c r="B158" s="29" t="s">
        <v>57</v>
      </c>
      <c r="C158" s="30">
        <v>101.54</v>
      </c>
      <c r="D158" s="3"/>
      <c r="E158" s="3"/>
      <c r="F158" s="27"/>
      <c r="G158" s="27"/>
      <c r="H158" s="27"/>
      <c r="I158" s="3"/>
      <c r="J158" s="3" t="str">
        <f t="shared" si="17"/>
        <v>0</v>
      </c>
      <c r="K158" s="27" t="str">
        <f t="shared" si="18"/>
        <v> No Issue</v>
      </c>
      <c r="L158" s="3" t="str">
        <f t="shared" si="19"/>
        <v>No Issue</v>
      </c>
      <c r="M158" s="3" t="str">
        <f t="shared" si="20"/>
        <v>No Issue</v>
      </c>
      <c r="N158" s="3" t="str">
        <f t="shared" si="21"/>
        <v>No Issue</v>
      </c>
      <c r="O158" s="3" t="str">
        <f t="shared" si="22"/>
        <v>No Issue</v>
      </c>
      <c r="P158" s="3" t="str">
        <f t="shared" si="23"/>
        <v>NoIssue</v>
      </c>
    </row>
    <row r="159" ht="15.75" customHeight="1">
      <c r="A159" s="28">
        <v>37.0</v>
      </c>
      <c r="B159" s="29" t="s">
        <v>58</v>
      </c>
      <c r="C159" s="30">
        <v>40.5</v>
      </c>
      <c r="D159" s="3"/>
      <c r="E159" s="3"/>
      <c r="F159" s="27"/>
      <c r="G159" s="27"/>
      <c r="H159" s="27"/>
      <c r="I159" s="3"/>
      <c r="J159" s="3" t="str">
        <f t="shared" si="17"/>
        <v>0</v>
      </c>
      <c r="K159" s="27" t="str">
        <f t="shared" si="18"/>
        <v> No Issue</v>
      </c>
      <c r="L159" s="3" t="str">
        <f t="shared" si="19"/>
        <v>No Issue</v>
      </c>
      <c r="M159" s="3" t="str">
        <f t="shared" si="20"/>
        <v>No Issue</v>
      </c>
      <c r="N159" s="3" t="str">
        <f t="shared" si="21"/>
        <v>No Issue</v>
      </c>
      <c r="O159" s="3" t="str">
        <f t="shared" si="22"/>
        <v>No Issue</v>
      </c>
      <c r="P159" s="3" t="str">
        <f t="shared" si="23"/>
        <v>NoIssue</v>
      </c>
    </row>
    <row r="160" ht="15.75" customHeight="1">
      <c r="A160" s="28">
        <v>38.0</v>
      </c>
      <c r="B160" s="29" t="s">
        <v>59</v>
      </c>
      <c r="C160" s="30">
        <v>66.69</v>
      </c>
      <c r="D160" s="3"/>
      <c r="E160" s="3"/>
      <c r="F160" s="27"/>
      <c r="G160" s="27"/>
      <c r="H160" s="27"/>
      <c r="I160" s="3"/>
      <c r="J160" s="3" t="str">
        <f t="shared" si="17"/>
        <v>0</v>
      </c>
      <c r="K160" s="27" t="str">
        <f t="shared" si="18"/>
        <v> No Issue</v>
      </c>
      <c r="L160" s="3" t="str">
        <f t="shared" si="19"/>
        <v>No Issue</v>
      </c>
      <c r="M160" s="3" t="str">
        <f t="shared" si="20"/>
        <v>No Issue</v>
      </c>
      <c r="N160" s="3" t="str">
        <f t="shared" si="21"/>
        <v>No Issue</v>
      </c>
      <c r="O160" s="3" t="str">
        <f t="shared" si="22"/>
        <v>No Issue</v>
      </c>
      <c r="P160" s="3" t="str">
        <f t="shared" si="23"/>
        <v>NoIssue</v>
      </c>
    </row>
    <row r="161" ht="15.75" customHeight="1">
      <c r="A161" s="28">
        <v>39.0</v>
      </c>
      <c r="B161" s="29" t="s">
        <v>60</v>
      </c>
      <c r="C161" s="29">
        <v>150.85999999999999</v>
      </c>
      <c r="D161" s="3"/>
      <c r="E161" s="3"/>
      <c r="F161" s="27"/>
      <c r="G161" s="27"/>
      <c r="H161" s="27"/>
      <c r="I161" s="3"/>
      <c r="J161" s="3" t="str">
        <f t="shared" si="17"/>
        <v>0</v>
      </c>
      <c r="K161" s="27" t="str">
        <f t="shared" si="18"/>
        <v> No Issue</v>
      </c>
      <c r="L161" s="3" t="str">
        <f t="shared" si="19"/>
        <v>No Issue</v>
      </c>
      <c r="M161" s="3" t="str">
        <f t="shared" si="20"/>
        <v>No Issue</v>
      </c>
      <c r="N161" s="3" t="str">
        <f t="shared" si="21"/>
        <v>No Issue</v>
      </c>
      <c r="O161" s="3" t="str">
        <f t="shared" si="22"/>
        <v>No Issue</v>
      </c>
      <c r="P161" s="3" t="str">
        <f t="shared" si="23"/>
        <v>NoIssue</v>
      </c>
    </row>
    <row r="162" ht="15.75" customHeight="1">
      <c r="A162" s="28">
        <v>40.0</v>
      </c>
      <c r="B162" s="33" t="s">
        <v>61</v>
      </c>
      <c r="C162" s="30">
        <v>180.0</v>
      </c>
      <c r="D162" s="3"/>
      <c r="E162" s="3"/>
      <c r="F162" s="27"/>
      <c r="G162" s="27"/>
      <c r="H162" s="27"/>
      <c r="I162" s="3"/>
      <c r="J162" s="3" t="str">
        <f t="shared" si="17"/>
        <v>0</v>
      </c>
      <c r="K162" s="27" t="str">
        <f t="shared" si="18"/>
        <v> No Issue</v>
      </c>
      <c r="L162" s="3" t="str">
        <f t="shared" si="19"/>
        <v>No Issue</v>
      </c>
      <c r="M162" s="3" t="str">
        <f t="shared" si="20"/>
        <v>No Issue</v>
      </c>
      <c r="N162" s="3" t="str">
        <f t="shared" si="21"/>
        <v>No Issue</v>
      </c>
      <c r="O162" s="3" t="str">
        <f t="shared" si="22"/>
        <v>No Issue</v>
      </c>
      <c r="P162" s="3" t="str">
        <f t="shared" si="23"/>
        <v>NoIssue</v>
      </c>
    </row>
    <row r="163" ht="15.75" customHeight="1">
      <c r="A163" s="28">
        <v>41.0</v>
      </c>
      <c r="B163" s="33" t="s">
        <v>62</v>
      </c>
      <c r="C163" s="29">
        <v>128.57</v>
      </c>
      <c r="D163" s="3"/>
      <c r="E163" s="3"/>
      <c r="F163" s="27"/>
      <c r="G163" s="27"/>
      <c r="H163" s="27"/>
      <c r="I163" s="3"/>
      <c r="J163" s="3" t="str">
        <f t="shared" si="17"/>
        <v>0</v>
      </c>
      <c r="K163" s="27" t="str">
        <f t="shared" si="18"/>
        <v> No Issue</v>
      </c>
      <c r="L163" s="3" t="str">
        <f t="shared" si="19"/>
        <v>No Issue</v>
      </c>
      <c r="M163" s="3" t="str">
        <f t="shared" si="20"/>
        <v>No Issue</v>
      </c>
      <c r="N163" s="3" t="str">
        <f t="shared" si="21"/>
        <v>No Issue</v>
      </c>
      <c r="O163" s="3" t="str">
        <f t="shared" si="22"/>
        <v>No Issue</v>
      </c>
      <c r="P163" s="3" t="str">
        <f t="shared" si="23"/>
        <v>NoIssue</v>
      </c>
    </row>
    <row r="164" ht="15.75" customHeight="1">
      <c r="A164" s="28">
        <v>42.0</v>
      </c>
      <c r="B164" s="29"/>
      <c r="C164" s="29"/>
      <c r="D164" s="3"/>
      <c r="E164" s="3"/>
      <c r="F164" s="27"/>
      <c r="G164" s="27"/>
      <c r="H164" s="27"/>
      <c r="I164" s="3"/>
      <c r="J164" s="3" t="str">
        <f t="shared" si="17"/>
        <v>0</v>
      </c>
      <c r="K164" s="27" t="str">
        <f t="shared" si="18"/>
        <v> No Issue</v>
      </c>
      <c r="L164" s="3" t="str">
        <f t="shared" si="19"/>
        <v>No Issue</v>
      </c>
      <c r="M164" s="3" t="str">
        <f t="shared" si="20"/>
        <v>No Issue</v>
      </c>
      <c r="N164" s="3" t="str">
        <f t="shared" si="21"/>
        <v>No Issue</v>
      </c>
      <c r="O164" s="3" t="str">
        <f t="shared" si="22"/>
        <v>No Issue</v>
      </c>
      <c r="P164" s="3" t="str">
        <f t="shared" si="23"/>
        <v>NoIssue</v>
      </c>
    </row>
    <row r="165" ht="15.75" customHeight="1">
      <c r="A165" s="28">
        <v>43.0</v>
      </c>
      <c r="B165" s="34"/>
      <c r="C165" s="34"/>
      <c r="D165" s="3"/>
      <c r="E165" s="3"/>
      <c r="F165" s="27"/>
      <c r="G165" s="27"/>
      <c r="H165" s="27"/>
      <c r="I165" s="3"/>
      <c r="J165" s="3" t="str">
        <f t="shared" si="17"/>
        <v>0</v>
      </c>
      <c r="K165" s="27" t="str">
        <f t="shared" si="18"/>
        <v> No Issue</v>
      </c>
      <c r="L165" s="3" t="str">
        <f t="shared" si="19"/>
        <v>No Issue</v>
      </c>
      <c r="M165" s="3" t="str">
        <f t="shared" si="20"/>
        <v>No Issue</v>
      </c>
      <c r="N165" s="3" t="str">
        <f t="shared" si="21"/>
        <v>No Issue</v>
      </c>
      <c r="O165" s="3" t="str">
        <f t="shared" si="22"/>
        <v>No Issue</v>
      </c>
      <c r="P165" s="3" t="str">
        <f t="shared" si="23"/>
        <v>NoIssue</v>
      </c>
    </row>
    <row r="166" ht="15.75" customHeight="1">
      <c r="A166" s="28">
        <v>44.0</v>
      </c>
      <c r="B166" s="34"/>
      <c r="C166" s="34"/>
      <c r="D166" s="3"/>
      <c r="E166" s="3"/>
      <c r="F166" s="27"/>
      <c r="G166" s="27"/>
      <c r="H166" s="27"/>
      <c r="I166" s="3"/>
      <c r="J166" s="3" t="str">
        <f t="shared" si="17"/>
        <v>0</v>
      </c>
      <c r="K166" s="27" t="str">
        <f t="shared" si="18"/>
        <v> No Issue</v>
      </c>
      <c r="L166" s="3" t="str">
        <f t="shared" si="19"/>
        <v>No Issue</v>
      </c>
      <c r="M166" s="3" t="str">
        <f t="shared" si="20"/>
        <v>No Issue</v>
      </c>
      <c r="N166" s="3" t="str">
        <f t="shared" si="21"/>
        <v>No Issue</v>
      </c>
      <c r="O166" s="3" t="str">
        <f t="shared" si="22"/>
        <v>No Issue</v>
      </c>
      <c r="P166" s="3" t="str">
        <f t="shared" si="23"/>
        <v>NoIssue</v>
      </c>
    </row>
    <row r="167" ht="15.75" customHeight="1">
      <c r="A167" s="28">
        <v>45.0</v>
      </c>
      <c r="B167" s="34"/>
      <c r="C167" s="34"/>
      <c r="D167" s="3"/>
      <c r="E167" s="3"/>
      <c r="F167" s="27"/>
      <c r="G167" s="27"/>
      <c r="H167" s="27"/>
      <c r="I167" s="3"/>
      <c r="J167" s="3" t="str">
        <f t="shared" si="17"/>
        <v>0</v>
      </c>
      <c r="K167" s="27" t="str">
        <f t="shared" si="18"/>
        <v> No Issue</v>
      </c>
      <c r="L167" s="3" t="str">
        <f t="shared" si="19"/>
        <v>No Issue</v>
      </c>
      <c r="M167" s="3" t="str">
        <f t="shared" si="20"/>
        <v>No Issue</v>
      </c>
      <c r="N167" s="3" t="str">
        <f t="shared" si="21"/>
        <v>No Issue</v>
      </c>
      <c r="O167" s="3" t="str">
        <f t="shared" si="22"/>
        <v>No Issue</v>
      </c>
      <c r="P167" s="3" t="str">
        <f t="shared" si="23"/>
        <v>NoIssue</v>
      </c>
    </row>
    <row r="168" ht="15.75" customHeight="1">
      <c r="A168" s="28">
        <v>46.0</v>
      </c>
      <c r="B168" s="34"/>
      <c r="C168" s="34"/>
      <c r="D168" s="3"/>
      <c r="E168" s="3"/>
      <c r="F168" s="27"/>
      <c r="G168" s="27"/>
      <c r="H168" s="27"/>
      <c r="I168" s="3"/>
      <c r="J168" s="3" t="str">
        <f t="shared" si="17"/>
        <v>0</v>
      </c>
      <c r="K168" s="27" t="str">
        <f t="shared" si="18"/>
        <v> No Issue</v>
      </c>
      <c r="L168" s="3" t="str">
        <f t="shared" si="19"/>
        <v>No Issue</v>
      </c>
      <c r="M168" s="3" t="str">
        <f t="shared" si="20"/>
        <v>No Issue</v>
      </c>
      <c r="N168" s="3" t="str">
        <f t="shared" si="21"/>
        <v>No Issue</v>
      </c>
      <c r="O168" s="3" t="str">
        <f t="shared" si="22"/>
        <v>No Issue</v>
      </c>
      <c r="P168" s="3" t="str">
        <f t="shared" si="23"/>
        <v>NoIssue</v>
      </c>
    </row>
    <row r="169" ht="15.75" customHeight="1">
      <c r="A169" s="28">
        <v>47.0</v>
      </c>
      <c r="B169" s="35"/>
      <c r="C169" s="36"/>
      <c r="D169" s="3"/>
      <c r="E169" s="3"/>
      <c r="F169" s="27"/>
      <c r="G169" s="27"/>
      <c r="H169" s="27"/>
      <c r="I169" s="3"/>
      <c r="J169" s="3" t="str">
        <f t="shared" si="17"/>
        <v>0</v>
      </c>
      <c r="K169" s="27" t="str">
        <f t="shared" si="18"/>
        <v> No Issue</v>
      </c>
      <c r="L169" s="3" t="str">
        <f t="shared" si="19"/>
        <v>No Issue</v>
      </c>
      <c r="M169" s="3" t="str">
        <f t="shared" si="20"/>
        <v>No Issue</v>
      </c>
      <c r="N169" s="3" t="str">
        <f t="shared" si="21"/>
        <v>No Issue</v>
      </c>
      <c r="O169" s="3" t="str">
        <f t="shared" si="22"/>
        <v>No Issue</v>
      </c>
      <c r="P169" s="3" t="str">
        <f t="shared" si="23"/>
        <v>NoIssue</v>
      </c>
    </row>
    <row r="170" ht="15.75" customHeight="1">
      <c r="A170" s="28">
        <v>48.0</v>
      </c>
      <c r="B170" s="35"/>
      <c r="C170" s="36"/>
      <c r="D170" s="3"/>
      <c r="E170" s="3"/>
      <c r="F170" s="27"/>
      <c r="G170" s="27"/>
      <c r="H170" s="27"/>
      <c r="I170" s="3"/>
      <c r="J170" s="3" t="str">
        <f t="shared" si="17"/>
        <v>0</v>
      </c>
      <c r="K170" s="27" t="str">
        <f t="shared" si="18"/>
        <v> No Issue</v>
      </c>
      <c r="L170" s="3" t="str">
        <f t="shared" si="19"/>
        <v>No Issue</v>
      </c>
      <c r="M170" s="3" t="str">
        <f t="shared" si="20"/>
        <v>No Issue</v>
      </c>
      <c r="N170" s="3" t="str">
        <f t="shared" si="21"/>
        <v>No Issue</v>
      </c>
      <c r="O170" s="3" t="str">
        <f t="shared" si="22"/>
        <v>No Issue</v>
      </c>
      <c r="P170" s="3" t="str">
        <f t="shared" si="23"/>
        <v>NoIssue</v>
      </c>
    </row>
    <row r="171" ht="15.75" customHeight="1">
      <c r="A171" s="28">
        <v>49.0</v>
      </c>
      <c r="B171" s="35"/>
      <c r="C171" s="36"/>
      <c r="D171" s="3"/>
      <c r="E171" s="3"/>
      <c r="F171" s="27"/>
      <c r="G171" s="27"/>
      <c r="H171" s="27"/>
      <c r="I171" s="3"/>
      <c r="J171" s="3" t="str">
        <f t="shared" si="17"/>
        <v>0</v>
      </c>
      <c r="K171" s="27" t="str">
        <f t="shared" si="18"/>
        <v> No Issue</v>
      </c>
      <c r="L171" s="3" t="str">
        <f t="shared" si="19"/>
        <v>No Issue</v>
      </c>
      <c r="M171" s="3" t="str">
        <f t="shared" si="20"/>
        <v>No Issue</v>
      </c>
      <c r="N171" s="3" t="str">
        <f t="shared" si="21"/>
        <v>No Issue</v>
      </c>
      <c r="O171" s="3" t="str">
        <f t="shared" si="22"/>
        <v>No Issue</v>
      </c>
      <c r="P171" s="3" t="str">
        <f t="shared" si="23"/>
        <v>NoIssue</v>
      </c>
    </row>
    <row r="172" ht="15.75" customHeight="1">
      <c r="A172" s="28">
        <v>50.0</v>
      </c>
      <c r="B172" s="35"/>
      <c r="C172" s="36"/>
      <c r="D172" s="3"/>
      <c r="E172" s="3"/>
      <c r="F172" s="27"/>
      <c r="G172" s="27"/>
      <c r="H172" s="27"/>
      <c r="I172" s="3"/>
      <c r="J172" s="3" t="str">
        <f t="shared" si="17"/>
        <v>0</v>
      </c>
      <c r="K172" s="27" t="str">
        <f t="shared" si="18"/>
        <v> No Issue</v>
      </c>
      <c r="L172" s="3" t="str">
        <f t="shared" si="19"/>
        <v>No Issue</v>
      </c>
      <c r="M172" s="3" t="str">
        <f t="shared" si="20"/>
        <v>No Issue</v>
      </c>
      <c r="N172" s="3" t="str">
        <f t="shared" si="21"/>
        <v>No Issue</v>
      </c>
      <c r="O172" s="3" t="str">
        <f t="shared" si="22"/>
        <v>No Issue</v>
      </c>
      <c r="P172" s="3" t="str">
        <f t="shared" si="23"/>
        <v>NoIssue</v>
      </c>
    </row>
    <row r="173" ht="15.75" customHeight="1">
      <c r="A173" s="28">
        <v>51.0</v>
      </c>
      <c r="B173" s="35"/>
      <c r="C173" s="36"/>
      <c r="D173" s="3"/>
      <c r="E173" s="3"/>
      <c r="F173" s="27"/>
      <c r="G173" s="27"/>
      <c r="H173" s="27"/>
      <c r="I173" s="3"/>
      <c r="J173" s="3" t="str">
        <f t="shared" si="17"/>
        <v>0</v>
      </c>
      <c r="K173" s="27" t="str">
        <f t="shared" si="18"/>
        <v> No Issue</v>
      </c>
      <c r="L173" s="3" t="str">
        <f t="shared" si="19"/>
        <v>No Issue</v>
      </c>
      <c r="M173" s="3" t="str">
        <f t="shared" si="20"/>
        <v>No Issue</v>
      </c>
      <c r="N173" s="3" t="str">
        <f t="shared" si="21"/>
        <v>No Issue</v>
      </c>
      <c r="O173" s="3" t="str">
        <f t="shared" si="22"/>
        <v>No Issue</v>
      </c>
      <c r="P173" s="3" t="str">
        <f t="shared" si="23"/>
        <v>NoIssue</v>
      </c>
    </row>
    <row r="174" ht="15.75" customHeight="1">
      <c r="A174" s="28">
        <v>52.0</v>
      </c>
      <c r="B174" s="35"/>
      <c r="C174" s="36"/>
      <c r="D174" s="3"/>
      <c r="E174" s="3"/>
      <c r="F174" s="27"/>
      <c r="G174" s="27"/>
      <c r="H174" s="27"/>
      <c r="I174" s="3"/>
      <c r="J174" s="3" t="str">
        <f t="shared" si="17"/>
        <v>0</v>
      </c>
      <c r="K174" s="27" t="str">
        <f t="shared" si="18"/>
        <v> No Issue</v>
      </c>
      <c r="L174" s="3" t="str">
        <f t="shared" si="19"/>
        <v>No Issue</v>
      </c>
      <c r="M174" s="3" t="str">
        <f t="shared" si="20"/>
        <v>No Issue</v>
      </c>
      <c r="N174" s="3" t="str">
        <f t="shared" si="21"/>
        <v>No Issue</v>
      </c>
      <c r="O174" s="3" t="str">
        <f t="shared" si="22"/>
        <v>No Issue</v>
      </c>
      <c r="P174" s="3" t="str">
        <f t="shared" si="23"/>
        <v>NoIssue</v>
      </c>
    </row>
    <row r="175" ht="15.75" customHeight="1">
      <c r="A175" s="28">
        <v>53.0</v>
      </c>
      <c r="B175" s="35"/>
      <c r="C175" s="36"/>
      <c r="D175" s="3"/>
      <c r="E175" s="3"/>
      <c r="F175" s="27"/>
      <c r="G175" s="27"/>
      <c r="H175" s="27"/>
      <c r="I175" s="3"/>
      <c r="J175" s="3" t="str">
        <f t="shared" si="17"/>
        <v>0</v>
      </c>
      <c r="K175" s="27" t="str">
        <f t="shared" si="18"/>
        <v> No Issue</v>
      </c>
      <c r="L175" s="3" t="str">
        <f t="shared" si="19"/>
        <v>No Issue</v>
      </c>
      <c r="M175" s="3" t="str">
        <f t="shared" si="20"/>
        <v>No Issue</v>
      </c>
      <c r="N175" s="3" t="str">
        <f t="shared" si="21"/>
        <v>No Issue</v>
      </c>
      <c r="O175" s="3" t="str">
        <f t="shared" si="22"/>
        <v>No Issue</v>
      </c>
      <c r="P175" s="3" t="str">
        <f t="shared" si="23"/>
        <v>NoIssue</v>
      </c>
    </row>
    <row r="176" ht="15.75" customHeight="1">
      <c r="A176" s="28">
        <v>54.0</v>
      </c>
      <c r="B176" s="34"/>
      <c r="C176" s="34"/>
      <c r="D176" s="3"/>
      <c r="E176" s="3"/>
      <c r="F176" s="27"/>
      <c r="G176" s="27"/>
      <c r="H176" s="27"/>
      <c r="I176" s="3"/>
      <c r="J176" s="3" t="str">
        <f t="shared" si="17"/>
        <v>0</v>
      </c>
      <c r="K176" s="27" t="str">
        <f t="shared" si="18"/>
        <v> No Issue</v>
      </c>
      <c r="L176" s="3" t="str">
        <f t="shared" si="19"/>
        <v>No Issue</v>
      </c>
      <c r="M176" s="3" t="str">
        <f t="shared" si="20"/>
        <v>No Issue</v>
      </c>
      <c r="N176" s="3" t="str">
        <f t="shared" si="21"/>
        <v>No Issue</v>
      </c>
      <c r="O176" s="3" t="str">
        <f t="shared" si="22"/>
        <v>No Issue</v>
      </c>
      <c r="P176" s="3" t="str">
        <f t="shared" si="23"/>
        <v>NoIssue</v>
      </c>
    </row>
    <row r="177" ht="15.75" customHeight="1">
      <c r="A177" s="28">
        <v>55.0</v>
      </c>
      <c r="B177" s="35"/>
      <c r="C177" s="36"/>
      <c r="D177" s="3"/>
      <c r="E177" s="3"/>
      <c r="F177" s="27"/>
      <c r="G177" s="27"/>
      <c r="H177" s="27"/>
      <c r="I177" s="3"/>
      <c r="J177" s="3" t="str">
        <f t="shared" si="17"/>
        <v>0</v>
      </c>
      <c r="K177" s="27" t="str">
        <f t="shared" si="18"/>
        <v> No Issue</v>
      </c>
      <c r="L177" s="3" t="str">
        <f t="shared" si="19"/>
        <v>No Issue</v>
      </c>
      <c r="M177" s="3" t="str">
        <f t="shared" si="20"/>
        <v>No Issue</v>
      </c>
      <c r="N177" s="3" t="str">
        <f t="shared" si="21"/>
        <v>No Issue</v>
      </c>
      <c r="O177" s="3" t="str">
        <f t="shared" si="22"/>
        <v>No Issue</v>
      </c>
      <c r="P177" s="3" t="str">
        <f t="shared" si="23"/>
        <v>NoIssue</v>
      </c>
    </row>
    <row r="178" ht="15.75" customHeight="1">
      <c r="A178" s="28">
        <v>56.0</v>
      </c>
      <c r="B178" s="35"/>
      <c r="C178" s="36"/>
      <c r="D178" s="3"/>
      <c r="E178" s="3"/>
      <c r="F178" s="27"/>
      <c r="G178" s="27"/>
      <c r="H178" s="27"/>
      <c r="I178" s="3"/>
      <c r="J178" s="3" t="str">
        <f t="shared" si="17"/>
        <v>0</v>
      </c>
      <c r="K178" s="27" t="str">
        <f t="shared" si="18"/>
        <v> No Issue</v>
      </c>
      <c r="L178" s="3" t="str">
        <f t="shared" si="19"/>
        <v>No Issue</v>
      </c>
      <c r="M178" s="3" t="str">
        <f t="shared" si="20"/>
        <v>No Issue</v>
      </c>
      <c r="N178" s="3" t="str">
        <f t="shared" si="21"/>
        <v>No Issue</v>
      </c>
      <c r="O178" s="3" t="str">
        <f t="shared" si="22"/>
        <v>No Issue</v>
      </c>
      <c r="P178" s="3" t="str">
        <f t="shared" si="23"/>
        <v>NoIssue</v>
      </c>
    </row>
    <row r="179" ht="15.75" customHeight="1">
      <c r="A179" s="28"/>
      <c r="B179" s="3" t="s">
        <v>64</v>
      </c>
      <c r="C179" s="35"/>
      <c r="D179" s="3" t="str">
        <f t="shared" ref="D179:I179" si="24">SUMPRODUCT(D123:D178,$C123:$C178)</f>
        <v>0</v>
      </c>
      <c r="E179" s="3" t="str">
        <f t="shared" si="24"/>
        <v>0</v>
      </c>
      <c r="F179" s="3" t="str">
        <f t="shared" si="24"/>
        <v>0</v>
      </c>
      <c r="G179" s="3" t="str">
        <f t="shared" si="24"/>
        <v>0</v>
      </c>
      <c r="H179" s="3" t="str">
        <f t="shared" si="24"/>
        <v>0</v>
      </c>
      <c r="I179" s="3" t="str">
        <f t="shared" si="24"/>
        <v>0</v>
      </c>
      <c r="J179" s="3" t="str">
        <f t="shared" si="17"/>
        <v>0</v>
      </c>
      <c r="K179" s="27" t="str">
        <f t="shared" si="18"/>
        <v> No Issue</v>
      </c>
      <c r="L179" s="3" t="str">
        <f t="shared" si="19"/>
        <v>No Issue</v>
      </c>
      <c r="M179" s="3" t="str">
        <f t="shared" si="20"/>
        <v>No Issue</v>
      </c>
      <c r="N179" s="3" t="str">
        <f t="shared" si="21"/>
        <v>No Issue</v>
      </c>
      <c r="O179" s="3" t="str">
        <f t="shared" si="22"/>
        <v>No Issue</v>
      </c>
      <c r="P179" s="3" t="str">
        <f t="shared" si="23"/>
        <v>NoIssue</v>
      </c>
    </row>
    <row r="180" ht="15.75" customHeight="1">
      <c r="A180" s="10"/>
      <c r="B180" s="11" t="s">
        <v>3</v>
      </c>
      <c r="C180" s="39"/>
      <c r="D180" s="13"/>
      <c r="E180" s="11"/>
      <c r="F180" s="15"/>
      <c r="G180" s="16"/>
      <c r="H180" s="17"/>
      <c r="I180" s="15"/>
      <c r="J180" s="18"/>
      <c r="K180" s="19" t="s">
        <v>5</v>
      </c>
      <c r="L180" s="20"/>
      <c r="M180" s="20"/>
      <c r="N180" s="20"/>
      <c r="O180" s="20"/>
      <c r="P180" s="21"/>
    </row>
    <row r="181" ht="15.75" customHeight="1">
      <c r="A181" s="40" t="s">
        <v>6</v>
      </c>
      <c r="B181" s="27" t="s">
        <v>7</v>
      </c>
      <c r="C181" s="27" t="s">
        <v>8</v>
      </c>
      <c r="D181" s="26" t="s">
        <v>9</v>
      </c>
      <c r="E181" s="26" t="s">
        <v>10</v>
      </c>
      <c r="F181" s="26" t="s">
        <v>11</v>
      </c>
      <c r="G181" s="26" t="s">
        <v>12</v>
      </c>
      <c r="H181" s="26" t="s">
        <v>13</v>
      </c>
      <c r="I181" s="26" t="s">
        <v>14</v>
      </c>
      <c r="J181" s="26" t="s">
        <v>15</v>
      </c>
      <c r="K181" s="27" t="s">
        <v>16</v>
      </c>
      <c r="L181" s="27" t="s">
        <v>17</v>
      </c>
      <c r="M181" s="27" t="s">
        <v>18</v>
      </c>
      <c r="N181" s="27" t="s">
        <v>19</v>
      </c>
      <c r="O181" s="27" t="s">
        <v>20</v>
      </c>
      <c r="P181" s="27" t="s">
        <v>21</v>
      </c>
    </row>
    <row r="182" ht="15.75" customHeight="1">
      <c r="A182" s="28">
        <v>1.0</v>
      </c>
      <c r="B182" s="29" t="s">
        <v>22</v>
      </c>
      <c r="C182" s="30">
        <v>192.17</v>
      </c>
      <c r="D182" s="3"/>
      <c r="E182" s="3"/>
      <c r="F182" s="3"/>
      <c r="G182" s="3"/>
      <c r="H182" s="3"/>
      <c r="I182" s="3"/>
      <c r="J182" s="3" t="str">
        <f t="shared" ref="J182:J238" si="25">D182+E182-F182-G182+H182</f>
        <v>0</v>
      </c>
      <c r="K182" s="27" t="str">
        <f t="shared" ref="K182:K238" si="26">IF(I182&lt;&gt;(D182+E182-F182-G182+H182),"Closing stock Not Correct-Problem"," No Issue")</f>
        <v> No Issue</v>
      </c>
      <c r="L182" s="3" t="str">
        <f t="shared" ref="L182:L238" si="27">IF((D182+E182)&lt;F182,"High Sale and Less Stock-Problem","No Issue")</f>
        <v>No Issue</v>
      </c>
      <c r="M182" s="3" t="str">
        <f t="shared" ref="M182:M238" si="28">IF(AND((D182+E182+I182)=0,F182&gt;0),"No Stock Sale Present Problem","No Issue")</f>
        <v>No Issue</v>
      </c>
      <c r="N182" s="3" t="str">
        <f t="shared" ref="N182:N238" si="29">IF(AND(SUM(D182:H182)=0,I182&gt;0),"Only Closing Entered Other Parameters No Entired Problem","No Issue")</f>
        <v>No Issue</v>
      </c>
      <c r="O182" s="3" t="str">
        <f t="shared" ref="O182:O238" si="30">IF(F182&gt;5000,"Check Once Sales quantity or Value Problem","No Issue")</f>
        <v>No Issue</v>
      </c>
      <c r="P182" s="3" t="str">
        <f t="shared" ref="P182:P238" si="31">IF(I182&gt;5000,"Check Once Closing quantity or Value Problem","NoIssue")</f>
        <v>NoIssue</v>
      </c>
    </row>
    <row r="183" ht="15.75" customHeight="1">
      <c r="A183" s="28">
        <v>2.0</v>
      </c>
      <c r="B183" s="29" t="s">
        <v>23</v>
      </c>
      <c r="C183" s="30">
        <v>9.26</v>
      </c>
      <c r="D183" s="3"/>
      <c r="E183" s="3"/>
      <c r="F183" s="3"/>
      <c r="G183" s="3"/>
      <c r="H183" s="3"/>
      <c r="I183" s="3"/>
      <c r="J183" s="3" t="str">
        <f t="shared" si="25"/>
        <v>0</v>
      </c>
      <c r="K183" s="27" t="str">
        <f t="shared" si="26"/>
        <v> No Issue</v>
      </c>
      <c r="L183" s="3" t="str">
        <f t="shared" si="27"/>
        <v>No Issue</v>
      </c>
      <c r="M183" s="3" t="str">
        <f t="shared" si="28"/>
        <v>No Issue</v>
      </c>
      <c r="N183" s="3" t="str">
        <f t="shared" si="29"/>
        <v>No Issue</v>
      </c>
      <c r="O183" s="3" t="str">
        <f t="shared" si="30"/>
        <v>No Issue</v>
      </c>
      <c r="P183" s="3" t="str">
        <f t="shared" si="31"/>
        <v>NoIssue</v>
      </c>
    </row>
    <row r="184" ht="15.75" customHeight="1">
      <c r="A184" s="28">
        <v>3.0</v>
      </c>
      <c r="B184" s="29" t="s">
        <v>24</v>
      </c>
      <c r="C184" s="30">
        <v>87.79</v>
      </c>
      <c r="D184" s="3"/>
      <c r="E184" s="3"/>
      <c r="F184" s="3"/>
      <c r="G184" s="3"/>
      <c r="H184" s="3"/>
      <c r="I184" s="3"/>
      <c r="J184" s="3" t="str">
        <f t="shared" si="25"/>
        <v>0</v>
      </c>
      <c r="K184" s="27" t="str">
        <f t="shared" si="26"/>
        <v> No Issue</v>
      </c>
      <c r="L184" s="3" t="str">
        <f t="shared" si="27"/>
        <v>No Issue</v>
      </c>
      <c r="M184" s="3" t="str">
        <f t="shared" si="28"/>
        <v>No Issue</v>
      </c>
      <c r="N184" s="3" t="str">
        <f t="shared" si="29"/>
        <v>No Issue</v>
      </c>
      <c r="O184" s="3" t="str">
        <f t="shared" si="30"/>
        <v>No Issue</v>
      </c>
      <c r="P184" s="3" t="str">
        <f t="shared" si="31"/>
        <v>NoIssue</v>
      </c>
    </row>
    <row r="185" ht="15.75" customHeight="1">
      <c r="A185" s="28">
        <v>4.0</v>
      </c>
      <c r="B185" s="29" t="s">
        <v>25</v>
      </c>
      <c r="C185" s="30">
        <v>55.55</v>
      </c>
      <c r="D185" s="3"/>
      <c r="E185" s="3"/>
      <c r="F185" s="3"/>
      <c r="G185" s="3"/>
      <c r="H185" s="3"/>
      <c r="I185" s="3"/>
      <c r="J185" s="3" t="str">
        <f t="shared" si="25"/>
        <v>0</v>
      </c>
      <c r="K185" s="27" t="str">
        <f t="shared" si="26"/>
        <v> No Issue</v>
      </c>
      <c r="L185" s="3" t="str">
        <f t="shared" si="27"/>
        <v>No Issue</v>
      </c>
      <c r="M185" s="3" t="str">
        <f t="shared" si="28"/>
        <v>No Issue</v>
      </c>
      <c r="N185" s="3" t="str">
        <f t="shared" si="29"/>
        <v>No Issue</v>
      </c>
      <c r="O185" s="3" t="str">
        <f t="shared" si="30"/>
        <v>No Issue</v>
      </c>
      <c r="P185" s="3" t="str">
        <f t="shared" si="31"/>
        <v>NoIssue</v>
      </c>
    </row>
    <row r="186" ht="15.75" customHeight="1">
      <c r="A186" s="28">
        <v>5.0</v>
      </c>
      <c r="B186" s="29" t="s">
        <v>26</v>
      </c>
      <c r="C186" s="30">
        <v>70.01</v>
      </c>
      <c r="D186" s="3"/>
      <c r="E186" s="3"/>
      <c r="F186" s="3"/>
      <c r="G186" s="3"/>
      <c r="H186" s="3"/>
      <c r="I186" s="3"/>
      <c r="J186" s="3" t="str">
        <f t="shared" si="25"/>
        <v>0</v>
      </c>
      <c r="K186" s="27" t="str">
        <f t="shared" si="26"/>
        <v> No Issue</v>
      </c>
      <c r="L186" s="3" t="str">
        <f t="shared" si="27"/>
        <v>No Issue</v>
      </c>
      <c r="M186" s="3" t="str">
        <f t="shared" si="28"/>
        <v>No Issue</v>
      </c>
      <c r="N186" s="3" t="str">
        <f t="shared" si="29"/>
        <v>No Issue</v>
      </c>
      <c r="O186" s="3" t="str">
        <f t="shared" si="30"/>
        <v>No Issue</v>
      </c>
      <c r="P186" s="3" t="str">
        <f t="shared" si="31"/>
        <v>NoIssue</v>
      </c>
    </row>
    <row r="187" ht="15.75" customHeight="1">
      <c r="A187" s="28">
        <v>6.0</v>
      </c>
      <c r="B187" s="29" t="s">
        <v>27</v>
      </c>
      <c r="C187" s="30">
        <v>73.92999999999999</v>
      </c>
      <c r="D187" s="3"/>
      <c r="E187" s="3"/>
      <c r="F187" s="3"/>
      <c r="G187" s="3"/>
      <c r="H187" s="3"/>
      <c r="I187" s="3"/>
      <c r="J187" s="3" t="str">
        <f t="shared" si="25"/>
        <v>0</v>
      </c>
      <c r="K187" s="27" t="str">
        <f t="shared" si="26"/>
        <v> No Issue</v>
      </c>
      <c r="L187" s="3" t="str">
        <f t="shared" si="27"/>
        <v>No Issue</v>
      </c>
      <c r="M187" s="3" t="str">
        <f t="shared" si="28"/>
        <v>No Issue</v>
      </c>
      <c r="N187" s="3" t="str">
        <f t="shared" si="29"/>
        <v>No Issue</v>
      </c>
      <c r="O187" s="3" t="str">
        <f t="shared" si="30"/>
        <v>No Issue</v>
      </c>
      <c r="P187" s="3" t="str">
        <f t="shared" si="31"/>
        <v>NoIssue</v>
      </c>
    </row>
    <row r="188" ht="15.75" customHeight="1">
      <c r="A188" s="28">
        <v>7.0</v>
      </c>
      <c r="B188" s="29" t="s">
        <v>28</v>
      </c>
      <c r="C188" s="30">
        <v>13.91</v>
      </c>
      <c r="D188" s="3"/>
      <c r="E188" s="3"/>
      <c r="F188" s="3"/>
      <c r="G188" s="3"/>
      <c r="H188" s="3"/>
      <c r="I188" s="3"/>
      <c r="J188" s="3" t="str">
        <f t="shared" si="25"/>
        <v>0</v>
      </c>
      <c r="K188" s="27" t="str">
        <f t="shared" si="26"/>
        <v> No Issue</v>
      </c>
      <c r="L188" s="3" t="str">
        <f t="shared" si="27"/>
        <v>No Issue</v>
      </c>
      <c r="M188" s="3" t="str">
        <f t="shared" si="28"/>
        <v>No Issue</v>
      </c>
      <c r="N188" s="3" t="str">
        <f t="shared" si="29"/>
        <v>No Issue</v>
      </c>
      <c r="O188" s="3" t="str">
        <f t="shared" si="30"/>
        <v>No Issue</v>
      </c>
      <c r="P188" s="3" t="str">
        <f t="shared" si="31"/>
        <v>NoIssue</v>
      </c>
    </row>
    <row r="189" ht="15.75" customHeight="1">
      <c r="A189" s="28">
        <v>8.0</v>
      </c>
      <c r="B189" s="29" t="s">
        <v>29</v>
      </c>
      <c r="C189" s="30">
        <v>19.5</v>
      </c>
      <c r="D189" s="3"/>
      <c r="E189" s="3"/>
      <c r="F189" s="3"/>
      <c r="G189" s="3"/>
      <c r="H189" s="3"/>
      <c r="I189" s="3"/>
      <c r="J189" s="3" t="str">
        <f t="shared" si="25"/>
        <v>0</v>
      </c>
      <c r="K189" s="27" t="str">
        <f t="shared" si="26"/>
        <v> No Issue</v>
      </c>
      <c r="L189" s="3" t="str">
        <f t="shared" si="27"/>
        <v>No Issue</v>
      </c>
      <c r="M189" s="3" t="str">
        <f t="shared" si="28"/>
        <v>No Issue</v>
      </c>
      <c r="N189" s="3" t="str">
        <f t="shared" si="29"/>
        <v>No Issue</v>
      </c>
      <c r="O189" s="3" t="str">
        <f t="shared" si="30"/>
        <v>No Issue</v>
      </c>
      <c r="P189" s="3" t="str">
        <f t="shared" si="31"/>
        <v>NoIssue</v>
      </c>
    </row>
    <row r="190" ht="15.75" customHeight="1">
      <c r="A190" s="28">
        <v>9.0</v>
      </c>
      <c r="B190" s="29" t="s">
        <v>30</v>
      </c>
      <c r="C190" s="30">
        <v>28.83</v>
      </c>
      <c r="D190" s="3"/>
      <c r="E190" s="3"/>
      <c r="F190" s="3"/>
      <c r="G190" s="3"/>
      <c r="H190" s="3"/>
      <c r="I190" s="3"/>
      <c r="J190" s="3" t="str">
        <f t="shared" si="25"/>
        <v>0</v>
      </c>
      <c r="K190" s="27" t="str">
        <f t="shared" si="26"/>
        <v> No Issue</v>
      </c>
      <c r="L190" s="3" t="str">
        <f t="shared" si="27"/>
        <v>No Issue</v>
      </c>
      <c r="M190" s="3" t="str">
        <f t="shared" si="28"/>
        <v>No Issue</v>
      </c>
      <c r="N190" s="3" t="str">
        <f t="shared" si="29"/>
        <v>No Issue</v>
      </c>
      <c r="O190" s="3" t="str">
        <f t="shared" si="30"/>
        <v>No Issue</v>
      </c>
      <c r="P190" s="3" t="str">
        <f t="shared" si="31"/>
        <v>NoIssue</v>
      </c>
    </row>
    <row r="191" ht="15.75" customHeight="1">
      <c r="A191" s="28">
        <v>10.0</v>
      </c>
      <c r="B191" s="29" t="s">
        <v>31</v>
      </c>
      <c r="C191" s="30">
        <v>8.51</v>
      </c>
      <c r="D191" s="3"/>
      <c r="E191" s="3"/>
      <c r="F191" s="3"/>
      <c r="G191" s="3"/>
      <c r="H191" s="3"/>
      <c r="I191" s="3"/>
      <c r="J191" s="3" t="str">
        <f t="shared" si="25"/>
        <v>0</v>
      </c>
      <c r="K191" s="27" t="str">
        <f t="shared" si="26"/>
        <v> No Issue</v>
      </c>
      <c r="L191" s="3" t="str">
        <f t="shared" si="27"/>
        <v>No Issue</v>
      </c>
      <c r="M191" s="3" t="str">
        <f t="shared" si="28"/>
        <v>No Issue</v>
      </c>
      <c r="N191" s="3" t="str">
        <f t="shared" si="29"/>
        <v>No Issue</v>
      </c>
      <c r="O191" s="3" t="str">
        <f t="shared" si="30"/>
        <v>No Issue</v>
      </c>
      <c r="P191" s="3" t="str">
        <f t="shared" si="31"/>
        <v>NoIssue</v>
      </c>
    </row>
    <row r="192" ht="15.75" customHeight="1">
      <c r="A192" s="28">
        <v>11.0</v>
      </c>
      <c r="B192" s="29" t="s">
        <v>32</v>
      </c>
      <c r="C192" s="30">
        <v>102.17</v>
      </c>
      <c r="D192" s="3"/>
      <c r="E192" s="3"/>
      <c r="F192" s="3"/>
      <c r="G192" s="3"/>
      <c r="H192" s="3"/>
      <c r="I192" s="3"/>
      <c r="J192" s="3" t="str">
        <f t="shared" si="25"/>
        <v>0</v>
      </c>
      <c r="K192" s="27" t="str">
        <f t="shared" si="26"/>
        <v> No Issue</v>
      </c>
      <c r="L192" s="3" t="str">
        <f t="shared" si="27"/>
        <v>No Issue</v>
      </c>
      <c r="M192" s="3" t="str">
        <f t="shared" si="28"/>
        <v>No Issue</v>
      </c>
      <c r="N192" s="3" t="str">
        <f t="shared" si="29"/>
        <v>No Issue</v>
      </c>
      <c r="O192" s="3" t="str">
        <f t="shared" si="30"/>
        <v>No Issue</v>
      </c>
      <c r="P192" s="3" t="str">
        <f t="shared" si="31"/>
        <v>NoIssue</v>
      </c>
    </row>
    <row r="193" ht="15.75" customHeight="1">
      <c r="A193" s="28">
        <v>12.0</v>
      </c>
      <c r="B193" s="29" t="s">
        <v>33</v>
      </c>
      <c r="C193" s="30">
        <v>59.93</v>
      </c>
      <c r="D193" s="3"/>
      <c r="E193" s="3"/>
      <c r="F193" s="3"/>
      <c r="G193" s="3"/>
      <c r="H193" s="3"/>
      <c r="I193" s="3"/>
      <c r="J193" s="3" t="str">
        <f t="shared" si="25"/>
        <v>0</v>
      </c>
      <c r="K193" s="27" t="str">
        <f t="shared" si="26"/>
        <v> No Issue</v>
      </c>
      <c r="L193" s="3" t="str">
        <f t="shared" si="27"/>
        <v>No Issue</v>
      </c>
      <c r="M193" s="3" t="str">
        <f t="shared" si="28"/>
        <v>No Issue</v>
      </c>
      <c r="N193" s="3" t="str">
        <f t="shared" si="29"/>
        <v>No Issue</v>
      </c>
      <c r="O193" s="3" t="str">
        <f t="shared" si="30"/>
        <v>No Issue</v>
      </c>
      <c r="P193" s="3" t="str">
        <f t="shared" si="31"/>
        <v>NoIssue</v>
      </c>
    </row>
    <row r="194" ht="15.75" customHeight="1">
      <c r="A194" s="28">
        <v>13.0</v>
      </c>
      <c r="B194" s="29" t="s">
        <v>34</v>
      </c>
      <c r="C194" s="30">
        <v>118.0</v>
      </c>
      <c r="D194" s="3"/>
      <c r="E194" s="3"/>
      <c r="F194" s="3"/>
      <c r="G194" s="3"/>
      <c r="H194" s="3"/>
      <c r="I194" s="3"/>
      <c r="J194" s="3" t="str">
        <f t="shared" si="25"/>
        <v>0</v>
      </c>
      <c r="K194" s="27" t="str">
        <f t="shared" si="26"/>
        <v> No Issue</v>
      </c>
      <c r="L194" s="3" t="str">
        <f t="shared" si="27"/>
        <v>No Issue</v>
      </c>
      <c r="M194" s="3" t="str">
        <f t="shared" si="28"/>
        <v>No Issue</v>
      </c>
      <c r="N194" s="3" t="str">
        <f t="shared" si="29"/>
        <v>No Issue</v>
      </c>
      <c r="O194" s="3" t="str">
        <f t="shared" si="30"/>
        <v>No Issue</v>
      </c>
      <c r="P194" s="3" t="str">
        <f t="shared" si="31"/>
        <v>NoIssue</v>
      </c>
    </row>
    <row r="195" ht="15.75" customHeight="1">
      <c r="A195" s="28">
        <v>14.0</v>
      </c>
      <c r="B195" s="29" t="s">
        <v>35</v>
      </c>
      <c r="C195" s="30">
        <v>52.83</v>
      </c>
      <c r="D195" s="3"/>
      <c r="E195" s="3"/>
      <c r="F195" s="3"/>
      <c r="G195" s="3"/>
      <c r="H195" s="3"/>
      <c r="I195" s="3"/>
      <c r="J195" s="3" t="str">
        <f t="shared" si="25"/>
        <v>0</v>
      </c>
      <c r="K195" s="27" t="str">
        <f t="shared" si="26"/>
        <v> No Issue</v>
      </c>
      <c r="L195" s="3" t="str">
        <f t="shared" si="27"/>
        <v>No Issue</v>
      </c>
      <c r="M195" s="3" t="str">
        <f t="shared" si="28"/>
        <v>No Issue</v>
      </c>
      <c r="N195" s="3" t="str">
        <f t="shared" si="29"/>
        <v>No Issue</v>
      </c>
      <c r="O195" s="3" t="str">
        <f t="shared" si="30"/>
        <v>No Issue</v>
      </c>
      <c r="P195" s="3" t="str">
        <f t="shared" si="31"/>
        <v>NoIssue</v>
      </c>
    </row>
    <row r="196" ht="15.75" customHeight="1">
      <c r="A196" s="28">
        <v>15.0</v>
      </c>
      <c r="B196" s="29" t="s">
        <v>36</v>
      </c>
      <c r="C196" s="30">
        <v>93.2</v>
      </c>
      <c r="D196" s="3"/>
      <c r="E196" s="3"/>
      <c r="F196" s="3"/>
      <c r="G196" s="3"/>
      <c r="H196" s="3"/>
      <c r="I196" s="3"/>
      <c r="J196" s="3" t="str">
        <f t="shared" si="25"/>
        <v>0</v>
      </c>
      <c r="K196" s="27" t="str">
        <f t="shared" si="26"/>
        <v> No Issue</v>
      </c>
      <c r="L196" s="3" t="str">
        <f t="shared" si="27"/>
        <v>No Issue</v>
      </c>
      <c r="M196" s="3" t="str">
        <f t="shared" si="28"/>
        <v>No Issue</v>
      </c>
      <c r="N196" s="3" t="str">
        <f t="shared" si="29"/>
        <v>No Issue</v>
      </c>
      <c r="O196" s="3" t="str">
        <f t="shared" si="30"/>
        <v>No Issue</v>
      </c>
      <c r="P196" s="3" t="str">
        <f t="shared" si="31"/>
        <v>NoIssue</v>
      </c>
    </row>
    <row r="197" ht="15.75" customHeight="1">
      <c r="A197" s="28">
        <v>16.0</v>
      </c>
      <c r="B197" s="29" t="s">
        <v>37</v>
      </c>
      <c r="C197" s="30">
        <v>61.02</v>
      </c>
      <c r="D197" s="3"/>
      <c r="E197" s="3"/>
      <c r="F197" s="3"/>
      <c r="G197" s="3"/>
      <c r="H197" s="3"/>
      <c r="I197" s="3"/>
      <c r="J197" s="3" t="str">
        <f t="shared" si="25"/>
        <v>0</v>
      </c>
      <c r="K197" s="27" t="str">
        <f t="shared" si="26"/>
        <v> No Issue</v>
      </c>
      <c r="L197" s="3" t="str">
        <f t="shared" si="27"/>
        <v>No Issue</v>
      </c>
      <c r="M197" s="3" t="str">
        <f t="shared" si="28"/>
        <v>No Issue</v>
      </c>
      <c r="N197" s="3" t="str">
        <f t="shared" si="29"/>
        <v>No Issue</v>
      </c>
      <c r="O197" s="3" t="str">
        <f t="shared" si="30"/>
        <v>No Issue</v>
      </c>
      <c r="P197" s="3" t="str">
        <f t="shared" si="31"/>
        <v>NoIssue</v>
      </c>
    </row>
    <row r="198" ht="15.75" customHeight="1">
      <c r="A198" s="28">
        <v>17.0</v>
      </c>
      <c r="B198" s="29" t="s">
        <v>38</v>
      </c>
      <c r="C198" s="30">
        <v>36.62</v>
      </c>
      <c r="D198" s="3"/>
      <c r="E198" s="3"/>
      <c r="F198" s="3"/>
      <c r="G198" s="3"/>
      <c r="H198" s="3"/>
      <c r="I198" s="3"/>
      <c r="J198" s="3" t="str">
        <f t="shared" si="25"/>
        <v>0</v>
      </c>
      <c r="K198" s="27" t="str">
        <f t="shared" si="26"/>
        <v> No Issue</v>
      </c>
      <c r="L198" s="3" t="str">
        <f t="shared" si="27"/>
        <v>No Issue</v>
      </c>
      <c r="M198" s="3" t="str">
        <f t="shared" si="28"/>
        <v>No Issue</v>
      </c>
      <c r="N198" s="3" t="str">
        <f t="shared" si="29"/>
        <v>No Issue</v>
      </c>
      <c r="O198" s="3" t="str">
        <f t="shared" si="30"/>
        <v>No Issue</v>
      </c>
      <c r="P198" s="3" t="str">
        <f t="shared" si="31"/>
        <v>NoIssue</v>
      </c>
    </row>
    <row r="199" ht="15.75" customHeight="1">
      <c r="A199" s="28">
        <v>18.0</v>
      </c>
      <c r="B199" s="29" t="s">
        <v>39</v>
      </c>
      <c r="C199" s="30">
        <v>80.36</v>
      </c>
      <c r="D199" s="3"/>
      <c r="E199" s="3"/>
      <c r="F199" s="3"/>
      <c r="G199" s="3"/>
      <c r="H199" s="3"/>
      <c r="I199" s="3"/>
      <c r="J199" s="3" t="str">
        <f t="shared" si="25"/>
        <v>0</v>
      </c>
      <c r="K199" s="27" t="str">
        <f t="shared" si="26"/>
        <v> No Issue</v>
      </c>
      <c r="L199" s="3" t="str">
        <f t="shared" si="27"/>
        <v>No Issue</v>
      </c>
      <c r="M199" s="3" t="str">
        <f t="shared" si="28"/>
        <v>No Issue</v>
      </c>
      <c r="N199" s="3" t="str">
        <f t="shared" si="29"/>
        <v>No Issue</v>
      </c>
      <c r="O199" s="3" t="str">
        <f t="shared" si="30"/>
        <v>No Issue</v>
      </c>
      <c r="P199" s="3" t="str">
        <f t="shared" si="31"/>
        <v>NoIssue</v>
      </c>
    </row>
    <row r="200" ht="15.75" customHeight="1">
      <c r="A200" s="28">
        <v>19.0</v>
      </c>
      <c r="B200" s="29" t="s">
        <v>40</v>
      </c>
      <c r="C200" s="30">
        <v>160.56</v>
      </c>
      <c r="D200" s="3"/>
      <c r="E200" s="3"/>
      <c r="F200" s="3"/>
      <c r="G200" s="3"/>
      <c r="H200" s="3"/>
      <c r="I200" s="3"/>
      <c r="J200" s="3" t="str">
        <f t="shared" si="25"/>
        <v>0</v>
      </c>
      <c r="K200" s="27" t="str">
        <f t="shared" si="26"/>
        <v> No Issue</v>
      </c>
      <c r="L200" s="3" t="str">
        <f t="shared" si="27"/>
        <v>No Issue</v>
      </c>
      <c r="M200" s="3" t="str">
        <f t="shared" si="28"/>
        <v>No Issue</v>
      </c>
      <c r="N200" s="3" t="str">
        <f t="shared" si="29"/>
        <v>No Issue</v>
      </c>
      <c r="O200" s="3" t="str">
        <f t="shared" si="30"/>
        <v>No Issue</v>
      </c>
      <c r="P200" s="3" t="str">
        <f t="shared" si="31"/>
        <v>NoIssue</v>
      </c>
    </row>
    <row r="201" ht="15.75" customHeight="1">
      <c r="A201" s="28">
        <v>20.0</v>
      </c>
      <c r="B201" s="29" t="s">
        <v>41</v>
      </c>
      <c r="C201" s="30">
        <v>186.44</v>
      </c>
      <c r="D201" s="3"/>
      <c r="E201" s="3"/>
      <c r="F201" s="3"/>
      <c r="G201" s="3"/>
      <c r="H201" s="3"/>
      <c r="I201" s="3"/>
      <c r="J201" s="3" t="str">
        <f t="shared" si="25"/>
        <v>0</v>
      </c>
      <c r="K201" s="27" t="str">
        <f t="shared" si="26"/>
        <v> No Issue</v>
      </c>
      <c r="L201" s="3" t="str">
        <f t="shared" si="27"/>
        <v>No Issue</v>
      </c>
      <c r="M201" s="3" t="str">
        <f t="shared" si="28"/>
        <v>No Issue</v>
      </c>
      <c r="N201" s="3" t="str">
        <f t="shared" si="29"/>
        <v>No Issue</v>
      </c>
      <c r="O201" s="3" t="str">
        <f t="shared" si="30"/>
        <v>No Issue</v>
      </c>
      <c r="P201" s="3" t="str">
        <f t="shared" si="31"/>
        <v>NoIssue</v>
      </c>
    </row>
    <row r="202" ht="15.75" customHeight="1">
      <c r="A202" s="28">
        <v>21.0</v>
      </c>
      <c r="B202" s="29" t="s">
        <v>42</v>
      </c>
      <c r="C202" s="30">
        <v>92.59</v>
      </c>
      <c r="D202" s="3"/>
      <c r="E202" s="3"/>
      <c r="F202" s="3"/>
      <c r="G202" s="3"/>
      <c r="H202" s="3"/>
      <c r="I202" s="3"/>
      <c r="J202" s="3" t="str">
        <f t="shared" si="25"/>
        <v>0</v>
      </c>
      <c r="K202" s="27" t="str">
        <f t="shared" si="26"/>
        <v> No Issue</v>
      </c>
      <c r="L202" s="3" t="str">
        <f t="shared" si="27"/>
        <v>No Issue</v>
      </c>
      <c r="M202" s="3" t="str">
        <f t="shared" si="28"/>
        <v>No Issue</v>
      </c>
      <c r="N202" s="3" t="str">
        <f t="shared" si="29"/>
        <v>No Issue</v>
      </c>
      <c r="O202" s="3" t="str">
        <f t="shared" si="30"/>
        <v>No Issue</v>
      </c>
      <c r="P202" s="3" t="str">
        <f t="shared" si="31"/>
        <v>NoIssue</v>
      </c>
    </row>
    <row r="203" ht="15.75" customHeight="1">
      <c r="A203" s="28">
        <v>22.0</v>
      </c>
      <c r="B203" s="29" t="s">
        <v>43</v>
      </c>
      <c r="C203" s="30">
        <v>95.17</v>
      </c>
      <c r="D203" s="3"/>
      <c r="E203" s="3"/>
      <c r="F203" s="3"/>
      <c r="G203" s="3"/>
      <c r="H203" s="3"/>
      <c r="I203" s="3"/>
      <c r="J203" s="3" t="str">
        <f t="shared" si="25"/>
        <v>0</v>
      </c>
      <c r="K203" s="27" t="str">
        <f t="shared" si="26"/>
        <v> No Issue</v>
      </c>
      <c r="L203" s="3" t="str">
        <f t="shared" si="27"/>
        <v>No Issue</v>
      </c>
      <c r="M203" s="3" t="str">
        <f t="shared" si="28"/>
        <v>No Issue</v>
      </c>
      <c r="N203" s="3" t="str">
        <f t="shared" si="29"/>
        <v>No Issue</v>
      </c>
      <c r="O203" s="3" t="str">
        <f t="shared" si="30"/>
        <v>No Issue</v>
      </c>
      <c r="P203" s="3" t="str">
        <f t="shared" si="31"/>
        <v>NoIssue</v>
      </c>
    </row>
    <row r="204" ht="15.75" customHeight="1">
      <c r="A204" s="28">
        <v>23.0</v>
      </c>
      <c r="B204" s="29" t="s">
        <v>44</v>
      </c>
      <c r="C204" s="30">
        <v>92.94</v>
      </c>
      <c r="D204" s="3"/>
      <c r="E204" s="3"/>
      <c r="F204" s="3"/>
      <c r="G204" s="3"/>
      <c r="H204" s="3"/>
      <c r="I204" s="3"/>
      <c r="J204" s="3" t="str">
        <f t="shared" si="25"/>
        <v>0</v>
      </c>
      <c r="K204" s="27" t="str">
        <f t="shared" si="26"/>
        <v> No Issue</v>
      </c>
      <c r="L204" s="3" t="str">
        <f t="shared" si="27"/>
        <v>No Issue</v>
      </c>
      <c r="M204" s="3" t="str">
        <f t="shared" si="28"/>
        <v>No Issue</v>
      </c>
      <c r="N204" s="3" t="str">
        <f t="shared" si="29"/>
        <v>No Issue</v>
      </c>
      <c r="O204" s="3" t="str">
        <f t="shared" si="30"/>
        <v>No Issue</v>
      </c>
      <c r="P204" s="3" t="str">
        <f t="shared" si="31"/>
        <v>NoIssue</v>
      </c>
    </row>
    <row r="205" ht="15.75" customHeight="1">
      <c r="A205" s="28">
        <v>24.0</v>
      </c>
      <c r="B205" s="29" t="s">
        <v>45</v>
      </c>
      <c r="C205" s="30">
        <v>101.82</v>
      </c>
      <c r="D205" s="3"/>
      <c r="E205" s="3"/>
      <c r="F205" s="3"/>
      <c r="G205" s="3"/>
      <c r="H205" s="3"/>
      <c r="I205" s="3"/>
      <c r="J205" s="3" t="str">
        <f t="shared" si="25"/>
        <v>0</v>
      </c>
      <c r="K205" s="27" t="str">
        <f t="shared" si="26"/>
        <v> No Issue</v>
      </c>
      <c r="L205" s="3" t="str">
        <f t="shared" si="27"/>
        <v>No Issue</v>
      </c>
      <c r="M205" s="3" t="str">
        <f t="shared" si="28"/>
        <v>No Issue</v>
      </c>
      <c r="N205" s="3" t="str">
        <f t="shared" si="29"/>
        <v>No Issue</v>
      </c>
      <c r="O205" s="3" t="str">
        <f t="shared" si="30"/>
        <v>No Issue</v>
      </c>
      <c r="P205" s="3" t="str">
        <f t="shared" si="31"/>
        <v>NoIssue</v>
      </c>
    </row>
    <row r="206" ht="15.75" customHeight="1">
      <c r="A206" s="28">
        <v>25.0</v>
      </c>
      <c r="B206" s="29" t="s">
        <v>46</v>
      </c>
      <c r="C206" s="30">
        <v>53.49</v>
      </c>
      <c r="D206" s="3"/>
      <c r="E206" s="3"/>
      <c r="F206" s="3"/>
      <c r="G206" s="3"/>
      <c r="H206" s="3"/>
      <c r="I206" s="3"/>
      <c r="J206" s="3" t="str">
        <f t="shared" si="25"/>
        <v>0</v>
      </c>
      <c r="K206" s="27" t="str">
        <f t="shared" si="26"/>
        <v> No Issue</v>
      </c>
      <c r="L206" s="3" t="str">
        <f t="shared" si="27"/>
        <v>No Issue</v>
      </c>
      <c r="M206" s="3" t="str">
        <f t="shared" si="28"/>
        <v>No Issue</v>
      </c>
      <c r="N206" s="3" t="str">
        <f t="shared" si="29"/>
        <v>No Issue</v>
      </c>
      <c r="O206" s="3" t="str">
        <f t="shared" si="30"/>
        <v>No Issue</v>
      </c>
      <c r="P206" s="3" t="str">
        <f t="shared" si="31"/>
        <v>NoIssue</v>
      </c>
    </row>
    <row r="207" ht="15.75" customHeight="1">
      <c r="A207" s="28">
        <v>26.0</v>
      </c>
      <c r="B207" s="29" t="s">
        <v>47</v>
      </c>
      <c r="C207" s="30">
        <v>32.92</v>
      </c>
      <c r="D207" s="3"/>
      <c r="E207" s="3"/>
      <c r="F207" s="3"/>
      <c r="G207" s="3"/>
      <c r="H207" s="3"/>
      <c r="I207" s="3"/>
      <c r="J207" s="3" t="str">
        <f t="shared" si="25"/>
        <v>0</v>
      </c>
      <c r="K207" s="27" t="str">
        <f t="shared" si="26"/>
        <v> No Issue</v>
      </c>
      <c r="L207" s="3" t="str">
        <f t="shared" si="27"/>
        <v>No Issue</v>
      </c>
      <c r="M207" s="3" t="str">
        <f t="shared" si="28"/>
        <v>No Issue</v>
      </c>
      <c r="N207" s="3" t="str">
        <f t="shared" si="29"/>
        <v>No Issue</v>
      </c>
      <c r="O207" s="3" t="str">
        <f t="shared" si="30"/>
        <v>No Issue</v>
      </c>
      <c r="P207" s="3" t="str">
        <f t="shared" si="31"/>
        <v>NoIssue</v>
      </c>
    </row>
    <row r="208" ht="15.75" customHeight="1">
      <c r="A208" s="28">
        <v>27.0</v>
      </c>
      <c r="B208" s="29" t="s">
        <v>48</v>
      </c>
      <c r="C208" s="30">
        <v>116.68</v>
      </c>
      <c r="D208" s="3"/>
      <c r="E208" s="3"/>
      <c r="F208" s="3"/>
      <c r="G208" s="3"/>
      <c r="H208" s="3"/>
      <c r="I208" s="3"/>
      <c r="J208" s="3" t="str">
        <f t="shared" si="25"/>
        <v>0</v>
      </c>
      <c r="K208" s="27" t="str">
        <f t="shared" si="26"/>
        <v> No Issue</v>
      </c>
      <c r="L208" s="3" t="str">
        <f t="shared" si="27"/>
        <v>No Issue</v>
      </c>
      <c r="M208" s="3" t="str">
        <f t="shared" si="28"/>
        <v>No Issue</v>
      </c>
      <c r="N208" s="3" t="str">
        <f t="shared" si="29"/>
        <v>No Issue</v>
      </c>
      <c r="O208" s="3" t="str">
        <f t="shared" si="30"/>
        <v>No Issue</v>
      </c>
      <c r="P208" s="3" t="str">
        <f t="shared" si="31"/>
        <v>NoIssue</v>
      </c>
    </row>
    <row r="209" ht="15.75" customHeight="1">
      <c r="A209" s="28">
        <v>28.0</v>
      </c>
      <c r="B209" s="29" t="s">
        <v>49</v>
      </c>
      <c r="C209" s="30">
        <v>107.96</v>
      </c>
      <c r="D209" s="3"/>
      <c r="E209" s="3"/>
      <c r="F209" s="3"/>
      <c r="G209" s="3"/>
      <c r="H209" s="3"/>
      <c r="I209" s="3"/>
      <c r="J209" s="3" t="str">
        <f t="shared" si="25"/>
        <v>0</v>
      </c>
      <c r="K209" s="27" t="str">
        <f t="shared" si="26"/>
        <v> No Issue</v>
      </c>
      <c r="L209" s="3" t="str">
        <f t="shared" si="27"/>
        <v>No Issue</v>
      </c>
      <c r="M209" s="3" t="str">
        <f t="shared" si="28"/>
        <v>No Issue</v>
      </c>
      <c r="N209" s="3" t="str">
        <f t="shared" si="29"/>
        <v>No Issue</v>
      </c>
      <c r="O209" s="3" t="str">
        <f t="shared" si="30"/>
        <v>No Issue</v>
      </c>
      <c r="P209" s="3" t="str">
        <f t="shared" si="31"/>
        <v>NoIssue</v>
      </c>
    </row>
    <row r="210" ht="15.75" customHeight="1">
      <c r="A210" s="28">
        <v>29.0</v>
      </c>
      <c r="B210" s="29" t="s">
        <v>50</v>
      </c>
      <c r="C210" s="30">
        <v>248.89</v>
      </c>
      <c r="D210" s="3"/>
      <c r="E210" s="3"/>
      <c r="F210" s="3"/>
      <c r="G210" s="3"/>
      <c r="H210" s="3"/>
      <c r="I210" s="3"/>
      <c r="J210" s="3" t="str">
        <f t="shared" si="25"/>
        <v>0</v>
      </c>
      <c r="K210" s="27" t="str">
        <f t="shared" si="26"/>
        <v> No Issue</v>
      </c>
      <c r="L210" s="3" t="str">
        <f t="shared" si="27"/>
        <v>No Issue</v>
      </c>
      <c r="M210" s="3" t="str">
        <f t="shared" si="28"/>
        <v>No Issue</v>
      </c>
      <c r="N210" s="3" t="str">
        <f t="shared" si="29"/>
        <v>No Issue</v>
      </c>
      <c r="O210" s="3" t="str">
        <f t="shared" si="30"/>
        <v>No Issue</v>
      </c>
      <c r="P210" s="3" t="str">
        <f t="shared" si="31"/>
        <v>NoIssue</v>
      </c>
    </row>
    <row r="211" ht="15.75" customHeight="1">
      <c r="A211" s="28">
        <v>30.0</v>
      </c>
      <c r="B211" s="29" t="s">
        <v>51</v>
      </c>
      <c r="C211" s="30">
        <v>80.36</v>
      </c>
      <c r="D211" s="3"/>
      <c r="E211" s="3"/>
      <c r="F211" s="27"/>
      <c r="G211" s="27"/>
      <c r="H211" s="27"/>
      <c r="I211" s="3"/>
      <c r="J211" s="3" t="str">
        <f t="shared" si="25"/>
        <v>0</v>
      </c>
      <c r="K211" s="27" t="str">
        <f t="shared" si="26"/>
        <v> No Issue</v>
      </c>
      <c r="L211" s="3" t="str">
        <f t="shared" si="27"/>
        <v>No Issue</v>
      </c>
      <c r="M211" s="3" t="str">
        <f t="shared" si="28"/>
        <v>No Issue</v>
      </c>
      <c r="N211" s="3" t="str">
        <f t="shared" si="29"/>
        <v>No Issue</v>
      </c>
      <c r="O211" s="3" t="str">
        <f t="shared" si="30"/>
        <v>No Issue</v>
      </c>
      <c r="P211" s="3" t="str">
        <f t="shared" si="31"/>
        <v>NoIssue</v>
      </c>
    </row>
    <row r="212" ht="15.75" customHeight="1">
      <c r="A212" s="28">
        <v>31.0</v>
      </c>
      <c r="B212" s="29" t="s">
        <v>52</v>
      </c>
      <c r="C212" s="30">
        <v>52.46</v>
      </c>
      <c r="D212" s="3"/>
      <c r="E212" s="3"/>
      <c r="F212" s="27"/>
      <c r="G212" s="27"/>
      <c r="H212" s="27"/>
      <c r="I212" s="3"/>
      <c r="J212" s="3" t="str">
        <f t="shared" si="25"/>
        <v>0</v>
      </c>
      <c r="K212" s="27" t="str">
        <f t="shared" si="26"/>
        <v> No Issue</v>
      </c>
      <c r="L212" s="3" t="str">
        <f t="shared" si="27"/>
        <v>No Issue</v>
      </c>
      <c r="M212" s="3" t="str">
        <f t="shared" si="28"/>
        <v>No Issue</v>
      </c>
      <c r="N212" s="3" t="str">
        <f t="shared" si="29"/>
        <v>No Issue</v>
      </c>
      <c r="O212" s="3" t="str">
        <f t="shared" si="30"/>
        <v>No Issue</v>
      </c>
      <c r="P212" s="3" t="str">
        <f t="shared" si="31"/>
        <v>NoIssue</v>
      </c>
    </row>
    <row r="213" ht="15.75" customHeight="1">
      <c r="A213" s="28">
        <v>32.0</v>
      </c>
      <c r="B213" s="29" t="s">
        <v>53</v>
      </c>
      <c r="C213" s="30">
        <v>71.21</v>
      </c>
      <c r="D213" s="3"/>
      <c r="E213" s="3"/>
      <c r="F213" s="27"/>
      <c r="G213" s="27"/>
      <c r="H213" s="27"/>
      <c r="I213" s="3"/>
      <c r="J213" s="3" t="str">
        <f t="shared" si="25"/>
        <v>0</v>
      </c>
      <c r="K213" s="27" t="str">
        <f t="shared" si="26"/>
        <v> No Issue</v>
      </c>
      <c r="L213" s="3" t="str">
        <f t="shared" si="27"/>
        <v>No Issue</v>
      </c>
      <c r="M213" s="3" t="str">
        <f t="shared" si="28"/>
        <v>No Issue</v>
      </c>
      <c r="N213" s="3" t="str">
        <f t="shared" si="29"/>
        <v>No Issue</v>
      </c>
      <c r="O213" s="3" t="str">
        <f t="shared" si="30"/>
        <v>No Issue</v>
      </c>
      <c r="P213" s="3" t="str">
        <f t="shared" si="31"/>
        <v>NoIssue</v>
      </c>
    </row>
    <row r="214" ht="15.75" customHeight="1">
      <c r="A214" s="28">
        <v>33.0</v>
      </c>
      <c r="B214" s="29" t="s">
        <v>54</v>
      </c>
      <c r="C214" s="30">
        <v>80.35</v>
      </c>
      <c r="D214" s="3"/>
      <c r="E214" s="3"/>
      <c r="F214" s="27"/>
      <c r="G214" s="27"/>
      <c r="H214" s="27"/>
      <c r="I214" s="3"/>
      <c r="J214" s="3" t="str">
        <f t="shared" si="25"/>
        <v>0</v>
      </c>
      <c r="K214" s="27" t="str">
        <f t="shared" si="26"/>
        <v> No Issue</v>
      </c>
      <c r="L214" s="3" t="str">
        <f t="shared" si="27"/>
        <v>No Issue</v>
      </c>
      <c r="M214" s="3" t="str">
        <f t="shared" si="28"/>
        <v>No Issue</v>
      </c>
      <c r="N214" s="3" t="str">
        <f t="shared" si="29"/>
        <v>No Issue</v>
      </c>
      <c r="O214" s="3" t="str">
        <f t="shared" si="30"/>
        <v>No Issue</v>
      </c>
      <c r="P214" s="3" t="str">
        <f t="shared" si="31"/>
        <v>NoIssue</v>
      </c>
    </row>
    <row r="215" ht="15.75" customHeight="1">
      <c r="A215" s="28">
        <v>34.0</v>
      </c>
      <c r="B215" s="29" t="s">
        <v>55</v>
      </c>
      <c r="C215" s="30">
        <v>64.18</v>
      </c>
      <c r="D215" s="3"/>
      <c r="E215" s="3"/>
      <c r="F215" s="27"/>
      <c r="G215" s="27"/>
      <c r="H215" s="27"/>
      <c r="I215" s="3"/>
      <c r="J215" s="3" t="str">
        <f t="shared" si="25"/>
        <v>0</v>
      </c>
      <c r="K215" s="27" t="str">
        <f t="shared" si="26"/>
        <v> No Issue</v>
      </c>
      <c r="L215" s="3" t="str">
        <f t="shared" si="27"/>
        <v>No Issue</v>
      </c>
      <c r="M215" s="3" t="str">
        <f t="shared" si="28"/>
        <v>No Issue</v>
      </c>
      <c r="N215" s="3" t="str">
        <f t="shared" si="29"/>
        <v>No Issue</v>
      </c>
      <c r="O215" s="3" t="str">
        <f t="shared" si="30"/>
        <v>No Issue</v>
      </c>
      <c r="P215" s="3" t="str">
        <f t="shared" si="31"/>
        <v>NoIssue</v>
      </c>
    </row>
    <row r="216" ht="15.75" customHeight="1">
      <c r="A216" s="28">
        <v>35.0</v>
      </c>
      <c r="B216" s="29" t="s">
        <v>56</v>
      </c>
      <c r="C216" s="30">
        <v>36.9</v>
      </c>
      <c r="D216" s="3"/>
      <c r="E216" s="3"/>
      <c r="F216" s="27"/>
      <c r="G216" s="27"/>
      <c r="H216" s="27"/>
      <c r="I216" s="3"/>
      <c r="J216" s="3" t="str">
        <f t="shared" si="25"/>
        <v>0</v>
      </c>
      <c r="K216" s="27" t="str">
        <f t="shared" si="26"/>
        <v> No Issue</v>
      </c>
      <c r="L216" s="3" t="str">
        <f t="shared" si="27"/>
        <v>No Issue</v>
      </c>
      <c r="M216" s="3" t="str">
        <f t="shared" si="28"/>
        <v>No Issue</v>
      </c>
      <c r="N216" s="3" t="str">
        <f t="shared" si="29"/>
        <v>No Issue</v>
      </c>
      <c r="O216" s="3" t="str">
        <f t="shared" si="30"/>
        <v>No Issue</v>
      </c>
      <c r="P216" s="3" t="str">
        <f t="shared" si="31"/>
        <v>NoIssue</v>
      </c>
    </row>
    <row r="217" ht="15.75" customHeight="1">
      <c r="A217" s="28">
        <v>36.0</v>
      </c>
      <c r="B217" s="29" t="s">
        <v>57</v>
      </c>
      <c r="C217" s="30">
        <v>101.54</v>
      </c>
      <c r="D217" s="3"/>
      <c r="E217" s="3"/>
      <c r="F217" s="27"/>
      <c r="G217" s="27"/>
      <c r="H217" s="27"/>
      <c r="I217" s="3"/>
      <c r="J217" s="3" t="str">
        <f t="shared" si="25"/>
        <v>0</v>
      </c>
      <c r="K217" s="27" t="str">
        <f t="shared" si="26"/>
        <v> No Issue</v>
      </c>
      <c r="L217" s="3" t="str">
        <f t="shared" si="27"/>
        <v>No Issue</v>
      </c>
      <c r="M217" s="3" t="str">
        <f t="shared" si="28"/>
        <v>No Issue</v>
      </c>
      <c r="N217" s="3" t="str">
        <f t="shared" si="29"/>
        <v>No Issue</v>
      </c>
      <c r="O217" s="3" t="str">
        <f t="shared" si="30"/>
        <v>No Issue</v>
      </c>
      <c r="P217" s="3" t="str">
        <f t="shared" si="31"/>
        <v>NoIssue</v>
      </c>
    </row>
    <row r="218" ht="15.75" customHeight="1">
      <c r="A218" s="28">
        <v>37.0</v>
      </c>
      <c r="B218" s="29" t="s">
        <v>58</v>
      </c>
      <c r="C218" s="30">
        <v>40.5</v>
      </c>
      <c r="D218" s="3"/>
      <c r="E218" s="3"/>
      <c r="F218" s="27"/>
      <c r="G218" s="27"/>
      <c r="H218" s="27"/>
      <c r="I218" s="3"/>
      <c r="J218" s="3" t="str">
        <f t="shared" si="25"/>
        <v>0</v>
      </c>
      <c r="K218" s="27" t="str">
        <f t="shared" si="26"/>
        <v> No Issue</v>
      </c>
      <c r="L218" s="3" t="str">
        <f t="shared" si="27"/>
        <v>No Issue</v>
      </c>
      <c r="M218" s="3" t="str">
        <f t="shared" si="28"/>
        <v>No Issue</v>
      </c>
      <c r="N218" s="3" t="str">
        <f t="shared" si="29"/>
        <v>No Issue</v>
      </c>
      <c r="O218" s="3" t="str">
        <f t="shared" si="30"/>
        <v>No Issue</v>
      </c>
      <c r="P218" s="3" t="str">
        <f t="shared" si="31"/>
        <v>NoIssue</v>
      </c>
    </row>
    <row r="219" ht="15.75" customHeight="1">
      <c r="A219" s="28">
        <v>38.0</v>
      </c>
      <c r="B219" s="29" t="s">
        <v>59</v>
      </c>
      <c r="C219" s="30">
        <v>66.69</v>
      </c>
      <c r="D219" s="3"/>
      <c r="E219" s="3"/>
      <c r="F219" s="27"/>
      <c r="G219" s="27"/>
      <c r="H219" s="27"/>
      <c r="I219" s="3"/>
      <c r="J219" s="3" t="str">
        <f t="shared" si="25"/>
        <v>0</v>
      </c>
      <c r="K219" s="27" t="str">
        <f t="shared" si="26"/>
        <v> No Issue</v>
      </c>
      <c r="L219" s="3" t="str">
        <f t="shared" si="27"/>
        <v>No Issue</v>
      </c>
      <c r="M219" s="3" t="str">
        <f t="shared" si="28"/>
        <v>No Issue</v>
      </c>
      <c r="N219" s="3" t="str">
        <f t="shared" si="29"/>
        <v>No Issue</v>
      </c>
      <c r="O219" s="3" t="str">
        <f t="shared" si="30"/>
        <v>No Issue</v>
      </c>
      <c r="P219" s="3" t="str">
        <f t="shared" si="31"/>
        <v>NoIssue</v>
      </c>
    </row>
    <row r="220" ht="15.75" customHeight="1">
      <c r="A220" s="28">
        <v>39.0</v>
      </c>
      <c r="B220" s="29" t="s">
        <v>60</v>
      </c>
      <c r="C220" s="29">
        <v>150.85999999999999</v>
      </c>
      <c r="D220" s="3"/>
      <c r="E220" s="3"/>
      <c r="F220" s="27"/>
      <c r="G220" s="27"/>
      <c r="H220" s="27"/>
      <c r="I220" s="3"/>
      <c r="J220" s="3" t="str">
        <f t="shared" si="25"/>
        <v>0</v>
      </c>
      <c r="K220" s="27" t="str">
        <f t="shared" si="26"/>
        <v> No Issue</v>
      </c>
      <c r="L220" s="3" t="str">
        <f t="shared" si="27"/>
        <v>No Issue</v>
      </c>
      <c r="M220" s="3" t="str">
        <f t="shared" si="28"/>
        <v>No Issue</v>
      </c>
      <c r="N220" s="3" t="str">
        <f t="shared" si="29"/>
        <v>No Issue</v>
      </c>
      <c r="O220" s="3" t="str">
        <f t="shared" si="30"/>
        <v>No Issue</v>
      </c>
      <c r="P220" s="3" t="str">
        <f t="shared" si="31"/>
        <v>NoIssue</v>
      </c>
    </row>
    <row r="221" ht="15.75" customHeight="1">
      <c r="A221" s="28">
        <v>40.0</v>
      </c>
      <c r="B221" s="33" t="s">
        <v>61</v>
      </c>
      <c r="C221" s="30">
        <v>180.0</v>
      </c>
      <c r="D221" s="3"/>
      <c r="E221" s="3"/>
      <c r="F221" s="27"/>
      <c r="G221" s="27"/>
      <c r="H221" s="27"/>
      <c r="I221" s="3"/>
      <c r="J221" s="3" t="str">
        <f t="shared" si="25"/>
        <v>0</v>
      </c>
      <c r="K221" s="27" t="str">
        <f t="shared" si="26"/>
        <v> No Issue</v>
      </c>
      <c r="L221" s="3" t="str">
        <f t="shared" si="27"/>
        <v>No Issue</v>
      </c>
      <c r="M221" s="3" t="str">
        <f t="shared" si="28"/>
        <v>No Issue</v>
      </c>
      <c r="N221" s="3" t="str">
        <f t="shared" si="29"/>
        <v>No Issue</v>
      </c>
      <c r="O221" s="3" t="str">
        <f t="shared" si="30"/>
        <v>No Issue</v>
      </c>
      <c r="P221" s="3" t="str">
        <f t="shared" si="31"/>
        <v>NoIssue</v>
      </c>
    </row>
    <row r="222" ht="15.75" customHeight="1">
      <c r="A222" s="28">
        <v>41.0</v>
      </c>
      <c r="B222" s="33" t="s">
        <v>62</v>
      </c>
      <c r="C222" s="29">
        <v>128.57</v>
      </c>
      <c r="D222" s="3"/>
      <c r="E222" s="3"/>
      <c r="F222" s="27"/>
      <c r="G222" s="27"/>
      <c r="H222" s="27"/>
      <c r="I222" s="3"/>
      <c r="J222" s="3" t="str">
        <f t="shared" si="25"/>
        <v>0</v>
      </c>
      <c r="K222" s="27" t="str">
        <f t="shared" si="26"/>
        <v> No Issue</v>
      </c>
      <c r="L222" s="3" t="str">
        <f t="shared" si="27"/>
        <v>No Issue</v>
      </c>
      <c r="M222" s="3" t="str">
        <f t="shared" si="28"/>
        <v>No Issue</v>
      </c>
      <c r="N222" s="3" t="str">
        <f t="shared" si="29"/>
        <v>No Issue</v>
      </c>
      <c r="O222" s="3" t="str">
        <f t="shared" si="30"/>
        <v>No Issue</v>
      </c>
      <c r="P222" s="3" t="str">
        <f t="shared" si="31"/>
        <v>NoIssue</v>
      </c>
    </row>
    <row r="223" ht="15.75" customHeight="1">
      <c r="A223" s="28">
        <v>42.0</v>
      </c>
      <c r="B223" s="29"/>
      <c r="C223" s="29"/>
      <c r="D223" s="3"/>
      <c r="E223" s="3"/>
      <c r="F223" s="27"/>
      <c r="G223" s="27"/>
      <c r="H223" s="27"/>
      <c r="I223" s="3"/>
      <c r="J223" s="3" t="str">
        <f t="shared" si="25"/>
        <v>0</v>
      </c>
      <c r="K223" s="27" t="str">
        <f t="shared" si="26"/>
        <v> No Issue</v>
      </c>
      <c r="L223" s="3" t="str">
        <f t="shared" si="27"/>
        <v>No Issue</v>
      </c>
      <c r="M223" s="3" t="str">
        <f t="shared" si="28"/>
        <v>No Issue</v>
      </c>
      <c r="N223" s="3" t="str">
        <f t="shared" si="29"/>
        <v>No Issue</v>
      </c>
      <c r="O223" s="3" t="str">
        <f t="shared" si="30"/>
        <v>No Issue</v>
      </c>
      <c r="P223" s="3" t="str">
        <f t="shared" si="31"/>
        <v>NoIssue</v>
      </c>
    </row>
    <row r="224" ht="15.75" customHeight="1">
      <c r="A224" s="28">
        <v>43.0</v>
      </c>
      <c r="B224" s="34"/>
      <c r="C224" s="34"/>
      <c r="D224" s="3"/>
      <c r="E224" s="3"/>
      <c r="F224" s="27"/>
      <c r="G224" s="27"/>
      <c r="H224" s="27"/>
      <c r="I224" s="3"/>
      <c r="J224" s="3" t="str">
        <f t="shared" si="25"/>
        <v>0</v>
      </c>
      <c r="K224" s="27" t="str">
        <f t="shared" si="26"/>
        <v> No Issue</v>
      </c>
      <c r="L224" s="3" t="str">
        <f t="shared" si="27"/>
        <v>No Issue</v>
      </c>
      <c r="M224" s="3" t="str">
        <f t="shared" si="28"/>
        <v>No Issue</v>
      </c>
      <c r="N224" s="3" t="str">
        <f t="shared" si="29"/>
        <v>No Issue</v>
      </c>
      <c r="O224" s="3" t="str">
        <f t="shared" si="30"/>
        <v>No Issue</v>
      </c>
      <c r="P224" s="3" t="str">
        <f t="shared" si="31"/>
        <v>NoIssue</v>
      </c>
    </row>
    <row r="225" ht="15.75" customHeight="1">
      <c r="A225" s="28">
        <v>44.0</v>
      </c>
      <c r="B225" s="34"/>
      <c r="C225" s="34"/>
      <c r="D225" s="3"/>
      <c r="E225" s="3"/>
      <c r="F225" s="27"/>
      <c r="G225" s="27"/>
      <c r="H225" s="27"/>
      <c r="I225" s="3"/>
      <c r="J225" s="3" t="str">
        <f t="shared" si="25"/>
        <v>0</v>
      </c>
      <c r="K225" s="27" t="str">
        <f t="shared" si="26"/>
        <v> No Issue</v>
      </c>
      <c r="L225" s="3" t="str">
        <f t="shared" si="27"/>
        <v>No Issue</v>
      </c>
      <c r="M225" s="3" t="str">
        <f t="shared" si="28"/>
        <v>No Issue</v>
      </c>
      <c r="N225" s="3" t="str">
        <f t="shared" si="29"/>
        <v>No Issue</v>
      </c>
      <c r="O225" s="3" t="str">
        <f t="shared" si="30"/>
        <v>No Issue</v>
      </c>
      <c r="P225" s="3" t="str">
        <f t="shared" si="31"/>
        <v>NoIssue</v>
      </c>
    </row>
    <row r="226" ht="15.75" customHeight="1">
      <c r="A226" s="28">
        <v>45.0</v>
      </c>
      <c r="B226" s="34"/>
      <c r="C226" s="34"/>
      <c r="D226" s="3"/>
      <c r="E226" s="3"/>
      <c r="F226" s="27"/>
      <c r="G226" s="27"/>
      <c r="H226" s="27"/>
      <c r="I226" s="3"/>
      <c r="J226" s="3" t="str">
        <f t="shared" si="25"/>
        <v>0</v>
      </c>
      <c r="K226" s="27" t="str">
        <f t="shared" si="26"/>
        <v> No Issue</v>
      </c>
      <c r="L226" s="3" t="str">
        <f t="shared" si="27"/>
        <v>No Issue</v>
      </c>
      <c r="M226" s="3" t="str">
        <f t="shared" si="28"/>
        <v>No Issue</v>
      </c>
      <c r="N226" s="3" t="str">
        <f t="shared" si="29"/>
        <v>No Issue</v>
      </c>
      <c r="O226" s="3" t="str">
        <f t="shared" si="30"/>
        <v>No Issue</v>
      </c>
      <c r="P226" s="3" t="str">
        <f t="shared" si="31"/>
        <v>NoIssue</v>
      </c>
    </row>
    <row r="227" ht="15.75" customHeight="1">
      <c r="A227" s="28">
        <v>46.0</v>
      </c>
      <c r="B227" s="34"/>
      <c r="C227" s="34"/>
      <c r="D227" s="3"/>
      <c r="E227" s="3"/>
      <c r="F227" s="27"/>
      <c r="G227" s="27"/>
      <c r="H227" s="27"/>
      <c r="I227" s="3"/>
      <c r="J227" s="3" t="str">
        <f t="shared" si="25"/>
        <v>0</v>
      </c>
      <c r="K227" s="27" t="str">
        <f t="shared" si="26"/>
        <v> No Issue</v>
      </c>
      <c r="L227" s="3" t="str">
        <f t="shared" si="27"/>
        <v>No Issue</v>
      </c>
      <c r="M227" s="3" t="str">
        <f t="shared" si="28"/>
        <v>No Issue</v>
      </c>
      <c r="N227" s="3" t="str">
        <f t="shared" si="29"/>
        <v>No Issue</v>
      </c>
      <c r="O227" s="3" t="str">
        <f t="shared" si="30"/>
        <v>No Issue</v>
      </c>
      <c r="P227" s="3" t="str">
        <f t="shared" si="31"/>
        <v>NoIssue</v>
      </c>
    </row>
    <row r="228" ht="15.75" customHeight="1">
      <c r="A228" s="28">
        <v>47.0</v>
      </c>
      <c r="B228" s="35"/>
      <c r="C228" s="36"/>
      <c r="D228" s="3"/>
      <c r="E228" s="3"/>
      <c r="F228" s="27"/>
      <c r="G228" s="27"/>
      <c r="H228" s="27"/>
      <c r="I228" s="3"/>
      <c r="J228" s="3" t="str">
        <f t="shared" si="25"/>
        <v>0</v>
      </c>
      <c r="K228" s="27" t="str">
        <f t="shared" si="26"/>
        <v> No Issue</v>
      </c>
      <c r="L228" s="3" t="str">
        <f t="shared" si="27"/>
        <v>No Issue</v>
      </c>
      <c r="M228" s="3" t="str">
        <f t="shared" si="28"/>
        <v>No Issue</v>
      </c>
      <c r="N228" s="3" t="str">
        <f t="shared" si="29"/>
        <v>No Issue</v>
      </c>
      <c r="O228" s="3" t="str">
        <f t="shared" si="30"/>
        <v>No Issue</v>
      </c>
      <c r="P228" s="3" t="str">
        <f t="shared" si="31"/>
        <v>NoIssue</v>
      </c>
    </row>
    <row r="229" ht="15.75" customHeight="1">
      <c r="A229" s="28">
        <v>48.0</v>
      </c>
      <c r="B229" s="35"/>
      <c r="C229" s="36"/>
      <c r="D229" s="3"/>
      <c r="E229" s="3"/>
      <c r="F229" s="27"/>
      <c r="G229" s="27"/>
      <c r="H229" s="27"/>
      <c r="I229" s="3"/>
      <c r="J229" s="3" t="str">
        <f t="shared" si="25"/>
        <v>0</v>
      </c>
      <c r="K229" s="27" t="str">
        <f t="shared" si="26"/>
        <v> No Issue</v>
      </c>
      <c r="L229" s="3" t="str">
        <f t="shared" si="27"/>
        <v>No Issue</v>
      </c>
      <c r="M229" s="3" t="str">
        <f t="shared" si="28"/>
        <v>No Issue</v>
      </c>
      <c r="N229" s="3" t="str">
        <f t="shared" si="29"/>
        <v>No Issue</v>
      </c>
      <c r="O229" s="3" t="str">
        <f t="shared" si="30"/>
        <v>No Issue</v>
      </c>
      <c r="P229" s="3" t="str">
        <f t="shared" si="31"/>
        <v>NoIssue</v>
      </c>
    </row>
    <row r="230" ht="15.75" customHeight="1">
      <c r="A230" s="28">
        <v>49.0</v>
      </c>
      <c r="B230" s="35"/>
      <c r="C230" s="36"/>
      <c r="D230" s="3"/>
      <c r="E230" s="3"/>
      <c r="F230" s="27"/>
      <c r="G230" s="27"/>
      <c r="H230" s="27"/>
      <c r="I230" s="3"/>
      <c r="J230" s="3" t="str">
        <f t="shared" si="25"/>
        <v>0</v>
      </c>
      <c r="K230" s="27" t="str">
        <f t="shared" si="26"/>
        <v> No Issue</v>
      </c>
      <c r="L230" s="3" t="str">
        <f t="shared" si="27"/>
        <v>No Issue</v>
      </c>
      <c r="M230" s="3" t="str">
        <f t="shared" si="28"/>
        <v>No Issue</v>
      </c>
      <c r="N230" s="3" t="str">
        <f t="shared" si="29"/>
        <v>No Issue</v>
      </c>
      <c r="O230" s="3" t="str">
        <f t="shared" si="30"/>
        <v>No Issue</v>
      </c>
      <c r="P230" s="3" t="str">
        <f t="shared" si="31"/>
        <v>NoIssue</v>
      </c>
    </row>
    <row r="231" ht="15.75" customHeight="1">
      <c r="A231" s="28">
        <v>50.0</v>
      </c>
      <c r="B231" s="35"/>
      <c r="C231" s="36"/>
      <c r="D231" s="3"/>
      <c r="E231" s="3"/>
      <c r="F231" s="27"/>
      <c r="G231" s="27"/>
      <c r="H231" s="27"/>
      <c r="I231" s="3"/>
      <c r="J231" s="3" t="str">
        <f t="shared" si="25"/>
        <v>0</v>
      </c>
      <c r="K231" s="27" t="str">
        <f t="shared" si="26"/>
        <v> No Issue</v>
      </c>
      <c r="L231" s="3" t="str">
        <f t="shared" si="27"/>
        <v>No Issue</v>
      </c>
      <c r="M231" s="3" t="str">
        <f t="shared" si="28"/>
        <v>No Issue</v>
      </c>
      <c r="N231" s="3" t="str">
        <f t="shared" si="29"/>
        <v>No Issue</v>
      </c>
      <c r="O231" s="3" t="str">
        <f t="shared" si="30"/>
        <v>No Issue</v>
      </c>
      <c r="P231" s="3" t="str">
        <f t="shared" si="31"/>
        <v>NoIssue</v>
      </c>
    </row>
    <row r="232" ht="15.75" customHeight="1">
      <c r="A232" s="28">
        <v>51.0</v>
      </c>
      <c r="B232" s="35"/>
      <c r="C232" s="36"/>
      <c r="D232" s="3"/>
      <c r="E232" s="3"/>
      <c r="F232" s="27"/>
      <c r="G232" s="27"/>
      <c r="H232" s="27"/>
      <c r="I232" s="3"/>
      <c r="J232" s="3" t="str">
        <f t="shared" si="25"/>
        <v>0</v>
      </c>
      <c r="K232" s="27" t="str">
        <f t="shared" si="26"/>
        <v> No Issue</v>
      </c>
      <c r="L232" s="3" t="str">
        <f t="shared" si="27"/>
        <v>No Issue</v>
      </c>
      <c r="M232" s="3" t="str">
        <f t="shared" si="28"/>
        <v>No Issue</v>
      </c>
      <c r="N232" s="3" t="str">
        <f t="shared" si="29"/>
        <v>No Issue</v>
      </c>
      <c r="O232" s="3" t="str">
        <f t="shared" si="30"/>
        <v>No Issue</v>
      </c>
      <c r="P232" s="3" t="str">
        <f t="shared" si="31"/>
        <v>NoIssue</v>
      </c>
    </row>
    <row r="233" ht="15.75" customHeight="1">
      <c r="A233" s="28">
        <v>52.0</v>
      </c>
      <c r="B233" s="35"/>
      <c r="C233" s="36"/>
      <c r="D233" s="3"/>
      <c r="E233" s="3"/>
      <c r="F233" s="27"/>
      <c r="G233" s="27"/>
      <c r="H233" s="27"/>
      <c r="I233" s="3"/>
      <c r="J233" s="3" t="str">
        <f t="shared" si="25"/>
        <v>0</v>
      </c>
      <c r="K233" s="27" t="str">
        <f t="shared" si="26"/>
        <v> No Issue</v>
      </c>
      <c r="L233" s="3" t="str">
        <f t="shared" si="27"/>
        <v>No Issue</v>
      </c>
      <c r="M233" s="3" t="str">
        <f t="shared" si="28"/>
        <v>No Issue</v>
      </c>
      <c r="N233" s="3" t="str">
        <f t="shared" si="29"/>
        <v>No Issue</v>
      </c>
      <c r="O233" s="3" t="str">
        <f t="shared" si="30"/>
        <v>No Issue</v>
      </c>
      <c r="P233" s="3" t="str">
        <f t="shared" si="31"/>
        <v>NoIssue</v>
      </c>
    </row>
    <row r="234" ht="15.75" customHeight="1">
      <c r="A234" s="28">
        <v>53.0</v>
      </c>
      <c r="B234" s="35"/>
      <c r="C234" s="36"/>
      <c r="D234" s="3"/>
      <c r="E234" s="3"/>
      <c r="F234" s="27"/>
      <c r="G234" s="27"/>
      <c r="H234" s="27"/>
      <c r="I234" s="3"/>
      <c r="J234" s="3" t="str">
        <f t="shared" si="25"/>
        <v>0</v>
      </c>
      <c r="K234" s="27" t="str">
        <f t="shared" si="26"/>
        <v> No Issue</v>
      </c>
      <c r="L234" s="3" t="str">
        <f t="shared" si="27"/>
        <v>No Issue</v>
      </c>
      <c r="M234" s="3" t="str">
        <f t="shared" si="28"/>
        <v>No Issue</v>
      </c>
      <c r="N234" s="3" t="str">
        <f t="shared" si="29"/>
        <v>No Issue</v>
      </c>
      <c r="O234" s="3" t="str">
        <f t="shared" si="30"/>
        <v>No Issue</v>
      </c>
      <c r="P234" s="3" t="str">
        <f t="shared" si="31"/>
        <v>NoIssue</v>
      </c>
    </row>
    <row r="235" ht="15.75" customHeight="1">
      <c r="A235" s="28">
        <v>54.0</v>
      </c>
      <c r="B235" s="34"/>
      <c r="C235" s="34"/>
      <c r="D235" s="3"/>
      <c r="E235" s="3"/>
      <c r="F235" s="27"/>
      <c r="G235" s="27"/>
      <c r="H235" s="27"/>
      <c r="I235" s="3"/>
      <c r="J235" s="3" t="str">
        <f t="shared" si="25"/>
        <v>0</v>
      </c>
      <c r="K235" s="27" t="str">
        <f t="shared" si="26"/>
        <v> No Issue</v>
      </c>
      <c r="L235" s="3" t="str">
        <f t="shared" si="27"/>
        <v>No Issue</v>
      </c>
      <c r="M235" s="3" t="str">
        <f t="shared" si="28"/>
        <v>No Issue</v>
      </c>
      <c r="N235" s="3" t="str">
        <f t="shared" si="29"/>
        <v>No Issue</v>
      </c>
      <c r="O235" s="3" t="str">
        <f t="shared" si="30"/>
        <v>No Issue</v>
      </c>
      <c r="P235" s="3" t="str">
        <f t="shared" si="31"/>
        <v>NoIssue</v>
      </c>
    </row>
    <row r="236" ht="15.75" customHeight="1">
      <c r="A236" s="28">
        <v>55.0</v>
      </c>
      <c r="B236" s="35"/>
      <c r="C236" s="36"/>
      <c r="D236" s="3"/>
      <c r="E236" s="3"/>
      <c r="F236" s="27"/>
      <c r="G236" s="27"/>
      <c r="H236" s="27"/>
      <c r="I236" s="3"/>
      <c r="J236" s="3" t="str">
        <f t="shared" si="25"/>
        <v>0</v>
      </c>
      <c r="K236" s="27" t="str">
        <f t="shared" si="26"/>
        <v> No Issue</v>
      </c>
      <c r="L236" s="3" t="str">
        <f t="shared" si="27"/>
        <v>No Issue</v>
      </c>
      <c r="M236" s="3" t="str">
        <f t="shared" si="28"/>
        <v>No Issue</v>
      </c>
      <c r="N236" s="3" t="str">
        <f t="shared" si="29"/>
        <v>No Issue</v>
      </c>
      <c r="O236" s="3" t="str">
        <f t="shared" si="30"/>
        <v>No Issue</v>
      </c>
      <c r="P236" s="3" t="str">
        <f t="shared" si="31"/>
        <v>NoIssue</v>
      </c>
    </row>
    <row r="237" ht="15.75" customHeight="1">
      <c r="A237" s="28">
        <v>56.0</v>
      </c>
      <c r="B237" s="35"/>
      <c r="C237" s="36"/>
      <c r="D237" s="3"/>
      <c r="E237" s="3"/>
      <c r="F237" s="27"/>
      <c r="G237" s="27"/>
      <c r="H237" s="27"/>
      <c r="I237" s="3"/>
      <c r="J237" s="3" t="str">
        <f t="shared" si="25"/>
        <v>0</v>
      </c>
      <c r="K237" s="27" t="str">
        <f t="shared" si="26"/>
        <v> No Issue</v>
      </c>
      <c r="L237" s="3" t="str">
        <f t="shared" si="27"/>
        <v>No Issue</v>
      </c>
      <c r="M237" s="3" t="str">
        <f t="shared" si="28"/>
        <v>No Issue</v>
      </c>
      <c r="N237" s="3" t="str">
        <f t="shared" si="29"/>
        <v>No Issue</v>
      </c>
      <c r="O237" s="3" t="str">
        <f t="shared" si="30"/>
        <v>No Issue</v>
      </c>
      <c r="P237" s="3" t="str">
        <f t="shared" si="31"/>
        <v>NoIssue</v>
      </c>
    </row>
    <row r="238" ht="15.75" customHeight="1">
      <c r="A238" s="28"/>
      <c r="B238" s="3" t="s">
        <v>64</v>
      </c>
      <c r="C238" s="35"/>
      <c r="D238" s="3" t="str">
        <f t="shared" ref="D238:I238" si="32">SUMPRODUCT(D182:D237,$C182:$C237)</f>
        <v>0</v>
      </c>
      <c r="E238" s="3" t="str">
        <f t="shared" si="32"/>
        <v>0</v>
      </c>
      <c r="F238" s="3" t="str">
        <f t="shared" si="32"/>
        <v>0</v>
      </c>
      <c r="G238" s="3" t="str">
        <f t="shared" si="32"/>
        <v>0</v>
      </c>
      <c r="H238" s="3" t="str">
        <f t="shared" si="32"/>
        <v>0</v>
      </c>
      <c r="I238" s="3" t="str">
        <f t="shared" si="32"/>
        <v>0</v>
      </c>
      <c r="J238" s="3" t="str">
        <f t="shared" si="25"/>
        <v>0</v>
      </c>
      <c r="K238" s="27" t="str">
        <f t="shared" si="26"/>
        <v> No Issue</v>
      </c>
      <c r="L238" s="3" t="str">
        <f t="shared" si="27"/>
        <v>No Issue</v>
      </c>
      <c r="M238" s="3" t="str">
        <f t="shared" si="28"/>
        <v>No Issue</v>
      </c>
      <c r="N238" s="3" t="str">
        <f t="shared" si="29"/>
        <v>No Issue</v>
      </c>
      <c r="O238" s="3" t="str">
        <f t="shared" si="30"/>
        <v>No Issue</v>
      </c>
      <c r="P238" s="3" t="str">
        <f t="shared" si="31"/>
        <v>NoIssue</v>
      </c>
    </row>
    <row r="239" ht="15.75" customHeight="1">
      <c r="A239" s="10"/>
      <c r="B239" s="11" t="s">
        <v>3</v>
      </c>
      <c r="C239" s="39"/>
      <c r="D239" s="13"/>
      <c r="E239" s="11"/>
      <c r="F239" s="15"/>
      <c r="G239" s="16"/>
      <c r="H239" s="17"/>
      <c r="I239" s="15"/>
      <c r="J239" s="18"/>
      <c r="K239" s="19" t="s">
        <v>5</v>
      </c>
      <c r="L239" s="20"/>
      <c r="M239" s="20"/>
      <c r="N239" s="20"/>
      <c r="O239" s="20"/>
      <c r="P239" s="21"/>
    </row>
    <row r="240" ht="15.75" customHeight="1">
      <c r="A240" s="40" t="s">
        <v>6</v>
      </c>
      <c r="B240" s="27" t="s">
        <v>7</v>
      </c>
      <c r="C240" s="27" t="s">
        <v>8</v>
      </c>
      <c r="D240" s="26" t="s">
        <v>9</v>
      </c>
      <c r="E240" s="26" t="s">
        <v>10</v>
      </c>
      <c r="F240" s="26" t="s">
        <v>11</v>
      </c>
      <c r="G240" s="26" t="s">
        <v>12</v>
      </c>
      <c r="H240" s="26" t="s">
        <v>13</v>
      </c>
      <c r="I240" s="26" t="s">
        <v>14</v>
      </c>
      <c r="J240" s="26" t="s">
        <v>15</v>
      </c>
      <c r="K240" s="27" t="s">
        <v>16</v>
      </c>
      <c r="L240" s="27" t="s">
        <v>17</v>
      </c>
      <c r="M240" s="27" t="s">
        <v>18</v>
      </c>
      <c r="N240" s="27" t="s">
        <v>19</v>
      </c>
      <c r="O240" s="27" t="s">
        <v>20</v>
      </c>
      <c r="P240" s="27" t="s">
        <v>21</v>
      </c>
    </row>
    <row r="241" ht="15.75" customHeight="1">
      <c r="A241" s="28">
        <v>1.0</v>
      </c>
      <c r="B241" s="29" t="s">
        <v>22</v>
      </c>
      <c r="C241" s="30">
        <v>192.17</v>
      </c>
      <c r="D241" s="3"/>
      <c r="E241" s="3"/>
      <c r="F241" s="3"/>
      <c r="G241" s="3"/>
      <c r="H241" s="3"/>
      <c r="I241" s="3"/>
      <c r="J241" s="3" t="str">
        <f t="shared" ref="J241:J297" si="33">D241+E241-F241-G241+H241</f>
        <v>0</v>
      </c>
      <c r="K241" s="27" t="str">
        <f t="shared" ref="K241:K297" si="34">IF(I241&lt;&gt;(D241+E241-F241-G241+H241),"Closing stock Not Correct-Problem"," No Issue")</f>
        <v> No Issue</v>
      </c>
      <c r="L241" s="3" t="str">
        <f t="shared" ref="L241:L297" si="35">IF((D241+E241)&lt;F241,"High Sale and Less Stock-Problem","No Issue")</f>
        <v>No Issue</v>
      </c>
      <c r="M241" s="3" t="str">
        <f t="shared" ref="M241:M297" si="36">IF(AND((D241+E241+I241)=0,F241&gt;0),"No Stock Sale Present Problem","No Issue")</f>
        <v>No Issue</v>
      </c>
      <c r="N241" s="3" t="str">
        <f t="shared" ref="N241:N297" si="37">IF(AND(SUM(D241:H241)=0,I241&gt;0),"Only Closing Entered Other Parameters No Entired Problem","No Issue")</f>
        <v>No Issue</v>
      </c>
      <c r="O241" s="3" t="str">
        <f t="shared" ref="O241:O297" si="38">IF(F241&gt;5000,"Check Once Sales quantity or Value Problem","No Issue")</f>
        <v>No Issue</v>
      </c>
      <c r="P241" s="3" t="str">
        <f t="shared" ref="P241:P297" si="39">IF(I241&gt;5000,"Check Once Closing quantity or Value Problem","NoIssue")</f>
        <v>NoIssue</v>
      </c>
    </row>
    <row r="242" ht="15.75" customHeight="1">
      <c r="A242" s="28">
        <v>2.0</v>
      </c>
      <c r="B242" s="29" t="s">
        <v>23</v>
      </c>
      <c r="C242" s="30">
        <v>9.26</v>
      </c>
      <c r="D242" s="3"/>
      <c r="E242" s="3"/>
      <c r="F242" s="3"/>
      <c r="G242" s="3"/>
      <c r="H242" s="3"/>
      <c r="I242" s="3"/>
      <c r="J242" s="3" t="str">
        <f t="shared" si="33"/>
        <v>0</v>
      </c>
      <c r="K242" s="27" t="str">
        <f t="shared" si="34"/>
        <v> No Issue</v>
      </c>
      <c r="L242" s="3" t="str">
        <f t="shared" si="35"/>
        <v>No Issue</v>
      </c>
      <c r="M242" s="3" t="str">
        <f t="shared" si="36"/>
        <v>No Issue</v>
      </c>
      <c r="N242" s="3" t="str">
        <f t="shared" si="37"/>
        <v>No Issue</v>
      </c>
      <c r="O242" s="3" t="str">
        <f t="shared" si="38"/>
        <v>No Issue</v>
      </c>
      <c r="P242" s="3" t="str">
        <f t="shared" si="39"/>
        <v>NoIssue</v>
      </c>
    </row>
    <row r="243" ht="15.75" customHeight="1">
      <c r="A243" s="28">
        <v>3.0</v>
      </c>
      <c r="B243" s="29" t="s">
        <v>24</v>
      </c>
      <c r="C243" s="30">
        <v>87.79</v>
      </c>
      <c r="D243" s="3"/>
      <c r="E243" s="3"/>
      <c r="F243" s="3"/>
      <c r="G243" s="3"/>
      <c r="H243" s="3"/>
      <c r="I243" s="3"/>
      <c r="J243" s="3" t="str">
        <f t="shared" si="33"/>
        <v>0</v>
      </c>
      <c r="K243" s="27" t="str">
        <f t="shared" si="34"/>
        <v> No Issue</v>
      </c>
      <c r="L243" s="3" t="str">
        <f t="shared" si="35"/>
        <v>No Issue</v>
      </c>
      <c r="M243" s="3" t="str">
        <f t="shared" si="36"/>
        <v>No Issue</v>
      </c>
      <c r="N243" s="3" t="str">
        <f t="shared" si="37"/>
        <v>No Issue</v>
      </c>
      <c r="O243" s="3" t="str">
        <f t="shared" si="38"/>
        <v>No Issue</v>
      </c>
      <c r="P243" s="3" t="str">
        <f t="shared" si="39"/>
        <v>NoIssue</v>
      </c>
    </row>
    <row r="244" ht="15.75" customHeight="1">
      <c r="A244" s="28">
        <v>4.0</v>
      </c>
      <c r="B244" s="29" t="s">
        <v>25</v>
      </c>
      <c r="C244" s="30">
        <v>55.55</v>
      </c>
      <c r="D244" s="3"/>
      <c r="E244" s="3"/>
      <c r="F244" s="3"/>
      <c r="G244" s="3"/>
      <c r="H244" s="3"/>
      <c r="I244" s="3"/>
      <c r="J244" s="3" t="str">
        <f t="shared" si="33"/>
        <v>0</v>
      </c>
      <c r="K244" s="27" t="str">
        <f t="shared" si="34"/>
        <v> No Issue</v>
      </c>
      <c r="L244" s="3" t="str">
        <f t="shared" si="35"/>
        <v>No Issue</v>
      </c>
      <c r="M244" s="3" t="str">
        <f t="shared" si="36"/>
        <v>No Issue</v>
      </c>
      <c r="N244" s="3" t="str">
        <f t="shared" si="37"/>
        <v>No Issue</v>
      </c>
      <c r="O244" s="3" t="str">
        <f t="shared" si="38"/>
        <v>No Issue</v>
      </c>
      <c r="P244" s="3" t="str">
        <f t="shared" si="39"/>
        <v>NoIssue</v>
      </c>
    </row>
    <row r="245" ht="15.75" customHeight="1">
      <c r="A245" s="28">
        <v>5.0</v>
      </c>
      <c r="B245" s="29" t="s">
        <v>26</v>
      </c>
      <c r="C245" s="30">
        <v>70.01</v>
      </c>
      <c r="D245" s="3"/>
      <c r="E245" s="3"/>
      <c r="F245" s="3"/>
      <c r="G245" s="3"/>
      <c r="H245" s="3"/>
      <c r="I245" s="3"/>
      <c r="J245" s="3" t="str">
        <f t="shared" si="33"/>
        <v>0</v>
      </c>
      <c r="K245" s="27" t="str">
        <f t="shared" si="34"/>
        <v> No Issue</v>
      </c>
      <c r="L245" s="3" t="str">
        <f t="shared" si="35"/>
        <v>No Issue</v>
      </c>
      <c r="M245" s="3" t="str">
        <f t="shared" si="36"/>
        <v>No Issue</v>
      </c>
      <c r="N245" s="3" t="str">
        <f t="shared" si="37"/>
        <v>No Issue</v>
      </c>
      <c r="O245" s="3" t="str">
        <f t="shared" si="38"/>
        <v>No Issue</v>
      </c>
      <c r="P245" s="3" t="str">
        <f t="shared" si="39"/>
        <v>NoIssue</v>
      </c>
    </row>
    <row r="246" ht="15.75" customHeight="1">
      <c r="A246" s="28">
        <v>6.0</v>
      </c>
      <c r="B246" s="29" t="s">
        <v>27</v>
      </c>
      <c r="C246" s="30">
        <v>73.92999999999999</v>
      </c>
      <c r="D246" s="3"/>
      <c r="E246" s="3"/>
      <c r="F246" s="3"/>
      <c r="G246" s="3"/>
      <c r="H246" s="3"/>
      <c r="I246" s="3"/>
      <c r="J246" s="3" t="str">
        <f t="shared" si="33"/>
        <v>0</v>
      </c>
      <c r="K246" s="27" t="str">
        <f t="shared" si="34"/>
        <v> No Issue</v>
      </c>
      <c r="L246" s="3" t="str">
        <f t="shared" si="35"/>
        <v>No Issue</v>
      </c>
      <c r="M246" s="3" t="str">
        <f t="shared" si="36"/>
        <v>No Issue</v>
      </c>
      <c r="N246" s="3" t="str">
        <f t="shared" si="37"/>
        <v>No Issue</v>
      </c>
      <c r="O246" s="3" t="str">
        <f t="shared" si="38"/>
        <v>No Issue</v>
      </c>
      <c r="P246" s="3" t="str">
        <f t="shared" si="39"/>
        <v>NoIssue</v>
      </c>
    </row>
    <row r="247" ht="15.75" customHeight="1">
      <c r="A247" s="28">
        <v>7.0</v>
      </c>
      <c r="B247" s="29" t="s">
        <v>28</v>
      </c>
      <c r="C247" s="30">
        <v>13.91</v>
      </c>
      <c r="D247" s="3"/>
      <c r="E247" s="3"/>
      <c r="F247" s="3"/>
      <c r="G247" s="3"/>
      <c r="H247" s="3"/>
      <c r="I247" s="3"/>
      <c r="J247" s="3" t="str">
        <f t="shared" si="33"/>
        <v>0</v>
      </c>
      <c r="K247" s="27" t="str">
        <f t="shared" si="34"/>
        <v> No Issue</v>
      </c>
      <c r="L247" s="3" t="str">
        <f t="shared" si="35"/>
        <v>No Issue</v>
      </c>
      <c r="M247" s="3" t="str">
        <f t="shared" si="36"/>
        <v>No Issue</v>
      </c>
      <c r="N247" s="3" t="str">
        <f t="shared" si="37"/>
        <v>No Issue</v>
      </c>
      <c r="O247" s="3" t="str">
        <f t="shared" si="38"/>
        <v>No Issue</v>
      </c>
      <c r="P247" s="3" t="str">
        <f t="shared" si="39"/>
        <v>NoIssue</v>
      </c>
    </row>
    <row r="248" ht="15.75" customHeight="1">
      <c r="A248" s="28">
        <v>8.0</v>
      </c>
      <c r="B248" s="29" t="s">
        <v>29</v>
      </c>
      <c r="C248" s="30">
        <v>19.5</v>
      </c>
      <c r="D248" s="3"/>
      <c r="E248" s="3"/>
      <c r="F248" s="3"/>
      <c r="G248" s="3"/>
      <c r="H248" s="3"/>
      <c r="I248" s="3"/>
      <c r="J248" s="3" t="str">
        <f t="shared" si="33"/>
        <v>0</v>
      </c>
      <c r="K248" s="27" t="str">
        <f t="shared" si="34"/>
        <v> No Issue</v>
      </c>
      <c r="L248" s="3" t="str">
        <f t="shared" si="35"/>
        <v>No Issue</v>
      </c>
      <c r="M248" s="3" t="str">
        <f t="shared" si="36"/>
        <v>No Issue</v>
      </c>
      <c r="N248" s="3" t="str">
        <f t="shared" si="37"/>
        <v>No Issue</v>
      </c>
      <c r="O248" s="3" t="str">
        <f t="shared" si="38"/>
        <v>No Issue</v>
      </c>
      <c r="P248" s="3" t="str">
        <f t="shared" si="39"/>
        <v>NoIssue</v>
      </c>
    </row>
    <row r="249" ht="15.75" customHeight="1">
      <c r="A249" s="28">
        <v>9.0</v>
      </c>
      <c r="B249" s="29" t="s">
        <v>30</v>
      </c>
      <c r="C249" s="30">
        <v>28.83</v>
      </c>
      <c r="D249" s="3"/>
      <c r="E249" s="3"/>
      <c r="F249" s="3"/>
      <c r="G249" s="3"/>
      <c r="H249" s="3"/>
      <c r="I249" s="3"/>
      <c r="J249" s="3" t="str">
        <f t="shared" si="33"/>
        <v>0</v>
      </c>
      <c r="K249" s="27" t="str">
        <f t="shared" si="34"/>
        <v> No Issue</v>
      </c>
      <c r="L249" s="3" t="str">
        <f t="shared" si="35"/>
        <v>No Issue</v>
      </c>
      <c r="M249" s="3" t="str">
        <f t="shared" si="36"/>
        <v>No Issue</v>
      </c>
      <c r="N249" s="3" t="str">
        <f t="shared" si="37"/>
        <v>No Issue</v>
      </c>
      <c r="O249" s="3" t="str">
        <f t="shared" si="38"/>
        <v>No Issue</v>
      </c>
      <c r="P249" s="3" t="str">
        <f t="shared" si="39"/>
        <v>NoIssue</v>
      </c>
    </row>
    <row r="250" ht="15.75" customHeight="1">
      <c r="A250" s="28">
        <v>10.0</v>
      </c>
      <c r="B250" s="29" t="s">
        <v>31</v>
      </c>
      <c r="C250" s="30">
        <v>8.51</v>
      </c>
      <c r="D250" s="3"/>
      <c r="E250" s="3"/>
      <c r="F250" s="3"/>
      <c r="G250" s="3"/>
      <c r="H250" s="3"/>
      <c r="I250" s="3"/>
      <c r="J250" s="3" t="str">
        <f t="shared" si="33"/>
        <v>0</v>
      </c>
      <c r="K250" s="27" t="str">
        <f t="shared" si="34"/>
        <v> No Issue</v>
      </c>
      <c r="L250" s="3" t="str">
        <f t="shared" si="35"/>
        <v>No Issue</v>
      </c>
      <c r="M250" s="3" t="str">
        <f t="shared" si="36"/>
        <v>No Issue</v>
      </c>
      <c r="N250" s="3" t="str">
        <f t="shared" si="37"/>
        <v>No Issue</v>
      </c>
      <c r="O250" s="3" t="str">
        <f t="shared" si="38"/>
        <v>No Issue</v>
      </c>
      <c r="P250" s="3" t="str">
        <f t="shared" si="39"/>
        <v>NoIssue</v>
      </c>
    </row>
    <row r="251" ht="15.75" customHeight="1">
      <c r="A251" s="28">
        <v>11.0</v>
      </c>
      <c r="B251" s="29" t="s">
        <v>32</v>
      </c>
      <c r="C251" s="30">
        <v>102.17</v>
      </c>
      <c r="D251" s="3"/>
      <c r="E251" s="3"/>
      <c r="F251" s="3"/>
      <c r="G251" s="3"/>
      <c r="H251" s="3"/>
      <c r="I251" s="3"/>
      <c r="J251" s="3" t="str">
        <f t="shared" si="33"/>
        <v>0</v>
      </c>
      <c r="K251" s="27" t="str">
        <f t="shared" si="34"/>
        <v> No Issue</v>
      </c>
      <c r="L251" s="3" t="str">
        <f t="shared" si="35"/>
        <v>No Issue</v>
      </c>
      <c r="M251" s="3" t="str">
        <f t="shared" si="36"/>
        <v>No Issue</v>
      </c>
      <c r="N251" s="3" t="str">
        <f t="shared" si="37"/>
        <v>No Issue</v>
      </c>
      <c r="O251" s="3" t="str">
        <f t="shared" si="38"/>
        <v>No Issue</v>
      </c>
      <c r="P251" s="3" t="str">
        <f t="shared" si="39"/>
        <v>NoIssue</v>
      </c>
    </row>
    <row r="252" ht="15.75" customHeight="1">
      <c r="A252" s="28">
        <v>12.0</v>
      </c>
      <c r="B252" s="29" t="s">
        <v>33</v>
      </c>
      <c r="C252" s="30">
        <v>59.93</v>
      </c>
      <c r="D252" s="3"/>
      <c r="E252" s="3"/>
      <c r="F252" s="3"/>
      <c r="G252" s="3"/>
      <c r="H252" s="3"/>
      <c r="I252" s="3"/>
      <c r="J252" s="3" t="str">
        <f t="shared" si="33"/>
        <v>0</v>
      </c>
      <c r="K252" s="27" t="str">
        <f t="shared" si="34"/>
        <v> No Issue</v>
      </c>
      <c r="L252" s="3" t="str">
        <f t="shared" si="35"/>
        <v>No Issue</v>
      </c>
      <c r="M252" s="3" t="str">
        <f t="shared" si="36"/>
        <v>No Issue</v>
      </c>
      <c r="N252" s="3" t="str">
        <f t="shared" si="37"/>
        <v>No Issue</v>
      </c>
      <c r="O252" s="3" t="str">
        <f t="shared" si="38"/>
        <v>No Issue</v>
      </c>
      <c r="P252" s="3" t="str">
        <f t="shared" si="39"/>
        <v>NoIssue</v>
      </c>
    </row>
    <row r="253" ht="15.75" customHeight="1">
      <c r="A253" s="28">
        <v>13.0</v>
      </c>
      <c r="B253" s="29" t="s">
        <v>34</v>
      </c>
      <c r="C253" s="30">
        <v>118.0</v>
      </c>
      <c r="D253" s="3"/>
      <c r="E253" s="3"/>
      <c r="F253" s="3"/>
      <c r="G253" s="3"/>
      <c r="H253" s="3"/>
      <c r="I253" s="3"/>
      <c r="J253" s="3" t="str">
        <f t="shared" si="33"/>
        <v>0</v>
      </c>
      <c r="K253" s="27" t="str">
        <f t="shared" si="34"/>
        <v> No Issue</v>
      </c>
      <c r="L253" s="3" t="str">
        <f t="shared" si="35"/>
        <v>No Issue</v>
      </c>
      <c r="M253" s="3" t="str">
        <f t="shared" si="36"/>
        <v>No Issue</v>
      </c>
      <c r="N253" s="3" t="str">
        <f t="shared" si="37"/>
        <v>No Issue</v>
      </c>
      <c r="O253" s="3" t="str">
        <f t="shared" si="38"/>
        <v>No Issue</v>
      </c>
      <c r="P253" s="3" t="str">
        <f t="shared" si="39"/>
        <v>NoIssue</v>
      </c>
    </row>
    <row r="254" ht="15.75" customHeight="1">
      <c r="A254" s="28">
        <v>14.0</v>
      </c>
      <c r="B254" s="29" t="s">
        <v>35</v>
      </c>
      <c r="C254" s="30">
        <v>52.83</v>
      </c>
      <c r="D254" s="3"/>
      <c r="E254" s="3"/>
      <c r="F254" s="3"/>
      <c r="G254" s="3"/>
      <c r="H254" s="3"/>
      <c r="I254" s="3"/>
      <c r="J254" s="3" t="str">
        <f t="shared" si="33"/>
        <v>0</v>
      </c>
      <c r="K254" s="27" t="str">
        <f t="shared" si="34"/>
        <v> No Issue</v>
      </c>
      <c r="L254" s="3" t="str">
        <f t="shared" si="35"/>
        <v>No Issue</v>
      </c>
      <c r="M254" s="3" t="str">
        <f t="shared" si="36"/>
        <v>No Issue</v>
      </c>
      <c r="N254" s="3" t="str">
        <f t="shared" si="37"/>
        <v>No Issue</v>
      </c>
      <c r="O254" s="3" t="str">
        <f t="shared" si="38"/>
        <v>No Issue</v>
      </c>
      <c r="P254" s="3" t="str">
        <f t="shared" si="39"/>
        <v>NoIssue</v>
      </c>
    </row>
    <row r="255" ht="15.75" customHeight="1">
      <c r="A255" s="28">
        <v>15.0</v>
      </c>
      <c r="B255" s="29" t="s">
        <v>36</v>
      </c>
      <c r="C255" s="30">
        <v>93.2</v>
      </c>
      <c r="D255" s="3"/>
      <c r="E255" s="3"/>
      <c r="F255" s="3"/>
      <c r="G255" s="3"/>
      <c r="H255" s="3"/>
      <c r="I255" s="3"/>
      <c r="J255" s="3" t="str">
        <f t="shared" si="33"/>
        <v>0</v>
      </c>
      <c r="K255" s="27" t="str">
        <f t="shared" si="34"/>
        <v> No Issue</v>
      </c>
      <c r="L255" s="3" t="str">
        <f t="shared" si="35"/>
        <v>No Issue</v>
      </c>
      <c r="M255" s="3" t="str">
        <f t="shared" si="36"/>
        <v>No Issue</v>
      </c>
      <c r="N255" s="3" t="str">
        <f t="shared" si="37"/>
        <v>No Issue</v>
      </c>
      <c r="O255" s="3" t="str">
        <f t="shared" si="38"/>
        <v>No Issue</v>
      </c>
      <c r="P255" s="3" t="str">
        <f t="shared" si="39"/>
        <v>NoIssue</v>
      </c>
    </row>
    <row r="256" ht="15.75" customHeight="1">
      <c r="A256" s="28">
        <v>16.0</v>
      </c>
      <c r="B256" s="29" t="s">
        <v>37</v>
      </c>
      <c r="C256" s="30">
        <v>61.02</v>
      </c>
      <c r="D256" s="3"/>
      <c r="E256" s="3"/>
      <c r="F256" s="3"/>
      <c r="G256" s="3"/>
      <c r="H256" s="3"/>
      <c r="I256" s="3"/>
      <c r="J256" s="3" t="str">
        <f t="shared" si="33"/>
        <v>0</v>
      </c>
      <c r="K256" s="27" t="str">
        <f t="shared" si="34"/>
        <v> No Issue</v>
      </c>
      <c r="L256" s="3" t="str">
        <f t="shared" si="35"/>
        <v>No Issue</v>
      </c>
      <c r="M256" s="3" t="str">
        <f t="shared" si="36"/>
        <v>No Issue</v>
      </c>
      <c r="N256" s="3" t="str">
        <f t="shared" si="37"/>
        <v>No Issue</v>
      </c>
      <c r="O256" s="3" t="str">
        <f t="shared" si="38"/>
        <v>No Issue</v>
      </c>
      <c r="P256" s="3" t="str">
        <f t="shared" si="39"/>
        <v>NoIssue</v>
      </c>
    </row>
    <row r="257" ht="15.75" customHeight="1">
      <c r="A257" s="28">
        <v>17.0</v>
      </c>
      <c r="B257" s="29" t="s">
        <v>38</v>
      </c>
      <c r="C257" s="30">
        <v>36.62</v>
      </c>
      <c r="D257" s="3"/>
      <c r="E257" s="3"/>
      <c r="F257" s="3"/>
      <c r="G257" s="3"/>
      <c r="H257" s="3"/>
      <c r="I257" s="3"/>
      <c r="J257" s="3" t="str">
        <f t="shared" si="33"/>
        <v>0</v>
      </c>
      <c r="K257" s="27" t="str">
        <f t="shared" si="34"/>
        <v> No Issue</v>
      </c>
      <c r="L257" s="3" t="str">
        <f t="shared" si="35"/>
        <v>No Issue</v>
      </c>
      <c r="M257" s="3" t="str">
        <f t="shared" si="36"/>
        <v>No Issue</v>
      </c>
      <c r="N257" s="3" t="str">
        <f t="shared" si="37"/>
        <v>No Issue</v>
      </c>
      <c r="O257" s="3" t="str">
        <f t="shared" si="38"/>
        <v>No Issue</v>
      </c>
      <c r="P257" s="3" t="str">
        <f t="shared" si="39"/>
        <v>NoIssue</v>
      </c>
    </row>
    <row r="258" ht="15.75" customHeight="1">
      <c r="A258" s="28">
        <v>18.0</v>
      </c>
      <c r="B258" s="29" t="s">
        <v>39</v>
      </c>
      <c r="C258" s="30">
        <v>80.36</v>
      </c>
      <c r="D258" s="3"/>
      <c r="E258" s="3"/>
      <c r="F258" s="3"/>
      <c r="G258" s="3"/>
      <c r="H258" s="3"/>
      <c r="I258" s="3"/>
      <c r="J258" s="3" t="str">
        <f t="shared" si="33"/>
        <v>0</v>
      </c>
      <c r="K258" s="27" t="str">
        <f t="shared" si="34"/>
        <v> No Issue</v>
      </c>
      <c r="L258" s="3" t="str">
        <f t="shared" si="35"/>
        <v>No Issue</v>
      </c>
      <c r="M258" s="3" t="str">
        <f t="shared" si="36"/>
        <v>No Issue</v>
      </c>
      <c r="N258" s="3" t="str">
        <f t="shared" si="37"/>
        <v>No Issue</v>
      </c>
      <c r="O258" s="3" t="str">
        <f t="shared" si="38"/>
        <v>No Issue</v>
      </c>
      <c r="P258" s="3" t="str">
        <f t="shared" si="39"/>
        <v>NoIssue</v>
      </c>
    </row>
    <row r="259" ht="15.75" customHeight="1">
      <c r="A259" s="28">
        <v>19.0</v>
      </c>
      <c r="B259" s="29" t="s">
        <v>40</v>
      </c>
      <c r="C259" s="30">
        <v>160.56</v>
      </c>
      <c r="D259" s="3"/>
      <c r="E259" s="3"/>
      <c r="F259" s="3"/>
      <c r="G259" s="3"/>
      <c r="H259" s="3"/>
      <c r="I259" s="3"/>
      <c r="J259" s="3" t="str">
        <f t="shared" si="33"/>
        <v>0</v>
      </c>
      <c r="K259" s="27" t="str">
        <f t="shared" si="34"/>
        <v> No Issue</v>
      </c>
      <c r="L259" s="3" t="str">
        <f t="shared" si="35"/>
        <v>No Issue</v>
      </c>
      <c r="M259" s="3" t="str">
        <f t="shared" si="36"/>
        <v>No Issue</v>
      </c>
      <c r="N259" s="3" t="str">
        <f t="shared" si="37"/>
        <v>No Issue</v>
      </c>
      <c r="O259" s="3" t="str">
        <f t="shared" si="38"/>
        <v>No Issue</v>
      </c>
      <c r="P259" s="3" t="str">
        <f t="shared" si="39"/>
        <v>NoIssue</v>
      </c>
    </row>
    <row r="260" ht="15.75" customHeight="1">
      <c r="A260" s="28">
        <v>20.0</v>
      </c>
      <c r="B260" s="29" t="s">
        <v>41</v>
      </c>
      <c r="C260" s="30">
        <v>186.44</v>
      </c>
      <c r="D260" s="3"/>
      <c r="E260" s="3"/>
      <c r="F260" s="3"/>
      <c r="G260" s="3"/>
      <c r="H260" s="3"/>
      <c r="I260" s="3"/>
      <c r="J260" s="3" t="str">
        <f t="shared" si="33"/>
        <v>0</v>
      </c>
      <c r="K260" s="27" t="str">
        <f t="shared" si="34"/>
        <v> No Issue</v>
      </c>
      <c r="L260" s="3" t="str">
        <f t="shared" si="35"/>
        <v>No Issue</v>
      </c>
      <c r="M260" s="3" t="str">
        <f t="shared" si="36"/>
        <v>No Issue</v>
      </c>
      <c r="N260" s="3" t="str">
        <f t="shared" si="37"/>
        <v>No Issue</v>
      </c>
      <c r="O260" s="3" t="str">
        <f t="shared" si="38"/>
        <v>No Issue</v>
      </c>
      <c r="P260" s="3" t="str">
        <f t="shared" si="39"/>
        <v>NoIssue</v>
      </c>
    </row>
    <row r="261" ht="15.75" customHeight="1">
      <c r="A261" s="28">
        <v>21.0</v>
      </c>
      <c r="B261" s="29" t="s">
        <v>42</v>
      </c>
      <c r="C261" s="30">
        <v>92.59</v>
      </c>
      <c r="D261" s="3"/>
      <c r="E261" s="3"/>
      <c r="F261" s="3"/>
      <c r="G261" s="3"/>
      <c r="H261" s="3"/>
      <c r="I261" s="3"/>
      <c r="J261" s="3" t="str">
        <f t="shared" si="33"/>
        <v>0</v>
      </c>
      <c r="K261" s="27" t="str">
        <f t="shared" si="34"/>
        <v> No Issue</v>
      </c>
      <c r="L261" s="3" t="str">
        <f t="shared" si="35"/>
        <v>No Issue</v>
      </c>
      <c r="M261" s="3" t="str">
        <f t="shared" si="36"/>
        <v>No Issue</v>
      </c>
      <c r="N261" s="3" t="str">
        <f t="shared" si="37"/>
        <v>No Issue</v>
      </c>
      <c r="O261" s="3" t="str">
        <f t="shared" si="38"/>
        <v>No Issue</v>
      </c>
      <c r="P261" s="3" t="str">
        <f t="shared" si="39"/>
        <v>NoIssue</v>
      </c>
    </row>
    <row r="262" ht="15.75" customHeight="1">
      <c r="A262" s="28">
        <v>22.0</v>
      </c>
      <c r="B262" s="29" t="s">
        <v>43</v>
      </c>
      <c r="C262" s="30">
        <v>95.17</v>
      </c>
      <c r="D262" s="3"/>
      <c r="E262" s="3"/>
      <c r="F262" s="3"/>
      <c r="G262" s="3"/>
      <c r="H262" s="3"/>
      <c r="I262" s="3"/>
      <c r="J262" s="3" t="str">
        <f t="shared" si="33"/>
        <v>0</v>
      </c>
      <c r="K262" s="27" t="str">
        <f t="shared" si="34"/>
        <v> No Issue</v>
      </c>
      <c r="L262" s="3" t="str">
        <f t="shared" si="35"/>
        <v>No Issue</v>
      </c>
      <c r="M262" s="3" t="str">
        <f t="shared" si="36"/>
        <v>No Issue</v>
      </c>
      <c r="N262" s="3" t="str">
        <f t="shared" si="37"/>
        <v>No Issue</v>
      </c>
      <c r="O262" s="3" t="str">
        <f t="shared" si="38"/>
        <v>No Issue</v>
      </c>
      <c r="P262" s="3" t="str">
        <f t="shared" si="39"/>
        <v>NoIssue</v>
      </c>
    </row>
    <row r="263" ht="15.75" customHeight="1">
      <c r="A263" s="28">
        <v>23.0</v>
      </c>
      <c r="B263" s="29" t="s">
        <v>44</v>
      </c>
      <c r="C263" s="30">
        <v>92.94</v>
      </c>
      <c r="D263" s="3"/>
      <c r="E263" s="3"/>
      <c r="F263" s="3"/>
      <c r="G263" s="3"/>
      <c r="H263" s="3"/>
      <c r="I263" s="3"/>
      <c r="J263" s="3" t="str">
        <f t="shared" si="33"/>
        <v>0</v>
      </c>
      <c r="K263" s="27" t="str">
        <f t="shared" si="34"/>
        <v> No Issue</v>
      </c>
      <c r="L263" s="3" t="str">
        <f t="shared" si="35"/>
        <v>No Issue</v>
      </c>
      <c r="M263" s="3" t="str">
        <f t="shared" si="36"/>
        <v>No Issue</v>
      </c>
      <c r="N263" s="3" t="str">
        <f t="shared" si="37"/>
        <v>No Issue</v>
      </c>
      <c r="O263" s="3" t="str">
        <f t="shared" si="38"/>
        <v>No Issue</v>
      </c>
      <c r="P263" s="3" t="str">
        <f t="shared" si="39"/>
        <v>NoIssue</v>
      </c>
    </row>
    <row r="264" ht="15.75" customHeight="1">
      <c r="A264" s="28">
        <v>24.0</v>
      </c>
      <c r="B264" s="29" t="s">
        <v>45</v>
      </c>
      <c r="C264" s="30">
        <v>101.82</v>
      </c>
      <c r="D264" s="3"/>
      <c r="E264" s="3"/>
      <c r="F264" s="3"/>
      <c r="G264" s="3"/>
      <c r="H264" s="3"/>
      <c r="I264" s="3"/>
      <c r="J264" s="3" t="str">
        <f t="shared" si="33"/>
        <v>0</v>
      </c>
      <c r="K264" s="27" t="str">
        <f t="shared" si="34"/>
        <v> No Issue</v>
      </c>
      <c r="L264" s="3" t="str">
        <f t="shared" si="35"/>
        <v>No Issue</v>
      </c>
      <c r="M264" s="3" t="str">
        <f t="shared" si="36"/>
        <v>No Issue</v>
      </c>
      <c r="N264" s="3" t="str">
        <f t="shared" si="37"/>
        <v>No Issue</v>
      </c>
      <c r="O264" s="3" t="str">
        <f t="shared" si="38"/>
        <v>No Issue</v>
      </c>
      <c r="P264" s="3" t="str">
        <f t="shared" si="39"/>
        <v>NoIssue</v>
      </c>
    </row>
    <row r="265" ht="15.75" customHeight="1">
      <c r="A265" s="28">
        <v>25.0</v>
      </c>
      <c r="B265" s="29" t="s">
        <v>46</v>
      </c>
      <c r="C265" s="30">
        <v>53.49</v>
      </c>
      <c r="D265" s="3"/>
      <c r="E265" s="3"/>
      <c r="F265" s="3"/>
      <c r="G265" s="3"/>
      <c r="H265" s="3"/>
      <c r="I265" s="3"/>
      <c r="J265" s="3" t="str">
        <f t="shared" si="33"/>
        <v>0</v>
      </c>
      <c r="K265" s="27" t="str">
        <f t="shared" si="34"/>
        <v> No Issue</v>
      </c>
      <c r="L265" s="3" t="str">
        <f t="shared" si="35"/>
        <v>No Issue</v>
      </c>
      <c r="M265" s="3" t="str">
        <f t="shared" si="36"/>
        <v>No Issue</v>
      </c>
      <c r="N265" s="3" t="str">
        <f t="shared" si="37"/>
        <v>No Issue</v>
      </c>
      <c r="O265" s="3" t="str">
        <f t="shared" si="38"/>
        <v>No Issue</v>
      </c>
      <c r="P265" s="3" t="str">
        <f t="shared" si="39"/>
        <v>NoIssue</v>
      </c>
    </row>
    <row r="266" ht="15.75" customHeight="1">
      <c r="A266" s="28">
        <v>26.0</v>
      </c>
      <c r="B266" s="29" t="s">
        <v>47</v>
      </c>
      <c r="C266" s="30">
        <v>32.92</v>
      </c>
      <c r="D266" s="3"/>
      <c r="E266" s="3"/>
      <c r="F266" s="3"/>
      <c r="G266" s="3"/>
      <c r="H266" s="3"/>
      <c r="I266" s="3"/>
      <c r="J266" s="3" t="str">
        <f t="shared" si="33"/>
        <v>0</v>
      </c>
      <c r="K266" s="27" t="str">
        <f t="shared" si="34"/>
        <v> No Issue</v>
      </c>
      <c r="L266" s="3" t="str">
        <f t="shared" si="35"/>
        <v>No Issue</v>
      </c>
      <c r="M266" s="3" t="str">
        <f t="shared" si="36"/>
        <v>No Issue</v>
      </c>
      <c r="N266" s="3" t="str">
        <f t="shared" si="37"/>
        <v>No Issue</v>
      </c>
      <c r="O266" s="3" t="str">
        <f t="shared" si="38"/>
        <v>No Issue</v>
      </c>
      <c r="P266" s="3" t="str">
        <f t="shared" si="39"/>
        <v>NoIssue</v>
      </c>
    </row>
    <row r="267" ht="15.75" customHeight="1">
      <c r="A267" s="28">
        <v>27.0</v>
      </c>
      <c r="B267" s="29" t="s">
        <v>48</v>
      </c>
      <c r="C267" s="30">
        <v>116.68</v>
      </c>
      <c r="D267" s="3"/>
      <c r="E267" s="3"/>
      <c r="F267" s="3"/>
      <c r="G267" s="3"/>
      <c r="H267" s="3"/>
      <c r="I267" s="3"/>
      <c r="J267" s="3" t="str">
        <f t="shared" si="33"/>
        <v>0</v>
      </c>
      <c r="K267" s="27" t="str">
        <f t="shared" si="34"/>
        <v> No Issue</v>
      </c>
      <c r="L267" s="3" t="str">
        <f t="shared" si="35"/>
        <v>No Issue</v>
      </c>
      <c r="M267" s="3" t="str">
        <f t="shared" si="36"/>
        <v>No Issue</v>
      </c>
      <c r="N267" s="3" t="str">
        <f t="shared" si="37"/>
        <v>No Issue</v>
      </c>
      <c r="O267" s="3" t="str">
        <f t="shared" si="38"/>
        <v>No Issue</v>
      </c>
      <c r="P267" s="3" t="str">
        <f t="shared" si="39"/>
        <v>NoIssue</v>
      </c>
    </row>
    <row r="268" ht="15.75" customHeight="1">
      <c r="A268" s="28">
        <v>28.0</v>
      </c>
      <c r="B268" s="29" t="s">
        <v>49</v>
      </c>
      <c r="C268" s="30">
        <v>107.96</v>
      </c>
      <c r="D268" s="3"/>
      <c r="E268" s="3"/>
      <c r="F268" s="3"/>
      <c r="G268" s="3"/>
      <c r="H268" s="3"/>
      <c r="I268" s="3"/>
      <c r="J268" s="3" t="str">
        <f t="shared" si="33"/>
        <v>0</v>
      </c>
      <c r="K268" s="27" t="str">
        <f t="shared" si="34"/>
        <v> No Issue</v>
      </c>
      <c r="L268" s="3" t="str">
        <f t="shared" si="35"/>
        <v>No Issue</v>
      </c>
      <c r="M268" s="3" t="str">
        <f t="shared" si="36"/>
        <v>No Issue</v>
      </c>
      <c r="N268" s="3" t="str">
        <f t="shared" si="37"/>
        <v>No Issue</v>
      </c>
      <c r="O268" s="3" t="str">
        <f t="shared" si="38"/>
        <v>No Issue</v>
      </c>
      <c r="P268" s="3" t="str">
        <f t="shared" si="39"/>
        <v>NoIssue</v>
      </c>
    </row>
    <row r="269" ht="15.75" customHeight="1">
      <c r="A269" s="28">
        <v>29.0</v>
      </c>
      <c r="B269" s="29" t="s">
        <v>50</v>
      </c>
      <c r="C269" s="30">
        <v>248.89</v>
      </c>
      <c r="D269" s="3"/>
      <c r="E269" s="3"/>
      <c r="F269" s="3"/>
      <c r="G269" s="3"/>
      <c r="H269" s="3"/>
      <c r="I269" s="3"/>
      <c r="J269" s="3" t="str">
        <f t="shared" si="33"/>
        <v>0</v>
      </c>
      <c r="K269" s="27" t="str">
        <f t="shared" si="34"/>
        <v> No Issue</v>
      </c>
      <c r="L269" s="3" t="str">
        <f t="shared" si="35"/>
        <v>No Issue</v>
      </c>
      <c r="M269" s="3" t="str">
        <f t="shared" si="36"/>
        <v>No Issue</v>
      </c>
      <c r="N269" s="3" t="str">
        <f t="shared" si="37"/>
        <v>No Issue</v>
      </c>
      <c r="O269" s="3" t="str">
        <f t="shared" si="38"/>
        <v>No Issue</v>
      </c>
      <c r="P269" s="3" t="str">
        <f t="shared" si="39"/>
        <v>NoIssue</v>
      </c>
    </row>
    <row r="270" ht="15.75" customHeight="1">
      <c r="A270" s="28">
        <v>30.0</v>
      </c>
      <c r="B270" s="29" t="s">
        <v>51</v>
      </c>
      <c r="C270" s="30">
        <v>80.36</v>
      </c>
      <c r="D270" s="3"/>
      <c r="E270" s="3"/>
      <c r="F270" s="27"/>
      <c r="G270" s="27"/>
      <c r="H270" s="27"/>
      <c r="I270" s="3"/>
      <c r="J270" s="3" t="str">
        <f t="shared" si="33"/>
        <v>0</v>
      </c>
      <c r="K270" s="27" t="str">
        <f t="shared" si="34"/>
        <v> No Issue</v>
      </c>
      <c r="L270" s="3" t="str">
        <f t="shared" si="35"/>
        <v>No Issue</v>
      </c>
      <c r="M270" s="3" t="str">
        <f t="shared" si="36"/>
        <v>No Issue</v>
      </c>
      <c r="N270" s="3" t="str">
        <f t="shared" si="37"/>
        <v>No Issue</v>
      </c>
      <c r="O270" s="3" t="str">
        <f t="shared" si="38"/>
        <v>No Issue</v>
      </c>
      <c r="P270" s="3" t="str">
        <f t="shared" si="39"/>
        <v>NoIssue</v>
      </c>
    </row>
    <row r="271" ht="15.75" customHeight="1">
      <c r="A271" s="28">
        <v>31.0</v>
      </c>
      <c r="B271" s="29" t="s">
        <v>52</v>
      </c>
      <c r="C271" s="30">
        <v>52.46</v>
      </c>
      <c r="D271" s="3"/>
      <c r="E271" s="3"/>
      <c r="F271" s="27"/>
      <c r="G271" s="27"/>
      <c r="H271" s="27"/>
      <c r="I271" s="3"/>
      <c r="J271" s="3" t="str">
        <f t="shared" si="33"/>
        <v>0</v>
      </c>
      <c r="K271" s="27" t="str">
        <f t="shared" si="34"/>
        <v> No Issue</v>
      </c>
      <c r="L271" s="3" t="str">
        <f t="shared" si="35"/>
        <v>No Issue</v>
      </c>
      <c r="M271" s="3" t="str">
        <f t="shared" si="36"/>
        <v>No Issue</v>
      </c>
      <c r="N271" s="3" t="str">
        <f t="shared" si="37"/>
        <v>No Issue</v>
      </c>
      <c r="O271" s="3" t="str">
        <f t="shared" si="38"/>
        <v>No Issue</v>
      </c>
      <c r="P271" s="3" t="str">
        <f t="shared" si="39"/>
        <v>NoIssue</v>
      </c>
    </row>
    <row r="272" ht="15.75" customHeight="1">
      <c r="A272" s="28">
        <v>32.0</v>
      </c>
      <c r="B272" s="29" t="s">
        <v>53</v>
      </c>
      <c r="C272" s="30">
        <v>71.21</v>
      </c>
      <c r="D272" s="3"/>
      <c r="E272" s="3"/>
      <c r="F272" s="27"/>
      <c r="G272" s="27"/>
      <c r="H272" s="27"/>
      <c r="I272" s="3"/>
      <c r="J272" s="3" t="str">
        <f t="shared" si="33"/>
        <v>0</v>
      </c>
      <c r="K272" s="27" t="str">
        <f t="shared" si="34"/>
        <v> No Issue</v>
      </c>
      <c r="L272" s="3" t="str">
        <f t="shared" si="35"/>
        <v>No Issue</v>
      </c>
      <c r="M272" s="3" t="str">
        <f t="shared" si="36"/>
        <v>No Issue</v>
      </c>
      <c r="N272" s="3" t="str">
        <f t="shared" si="37"/>
        <v>No Issue</v>
      </c>
      <c r="O272" s="3" t="str">
        <f t="shared" si="38"/>
        <v>No Issue</v>
      </c>
      <c r="P272" s="3" t="str">
        <f t="shared" si="39"/>
        <v>NoIssue</v>
      </c>
    </row>
    <row r="273" ht="15.75" customHeight="1">
      <c r="A273" s="28">
        <v>33.0</v>
      </c>
      <c r="B273" s="29" t="s">
        <v>54</v>
      </c>
      <c r="C273" s="30">
        <v>80.35</v>
      </c>
      <c r="D273" s="3"/>
      <c r="E273" s="3"/>
      <c r="F273" s="27"/>
      <c r="G273" s="27"/>
      <c r="H273" s="27"/>
      <c r="I273" s="3"/>
      <c r="J273" s="3" t="str">
        <f t="shared" si="33"/>
        <v>0</v>
      </c>
      <c r="K273" s="27" t="str">
        <f t="shared" si="34"/>
        <v> No Issue</v>
      </c>
      <c r="L273" s="3" t="str">
        <f t="shared" si="35"/>
        <v>No Issue</v>
      </c>
      <c r="M273" s="3" t="str">
        <f t="shared" si="36"/>
        <v>No Issue</v>
      </c>
      <c r="N273" s="3" t="str">
        <f t="shared" si="37"/>
        <v>No Issue</v>
      </c>
      <c r="O273" s="3" t="str">
        <f t="shared" si="38"/>
        <v>No Issue</v>
      </c>
      <c r="P273" s="3" t="str">
        <f t="shared" si="39"/>
        <v>NoIssue</v>
      </c>
    </row>
    <row r="274" ht="15.75" customHeight="1">
      <c r="A274" s="28">
        <v>34.0</v>
      </c>
      <c r="B274" s="29" t="s">
        <v>55</v>
      </c>
      <c r="C274" s="30">
        <v>64.18</v>
      </c>
      <c r="D274" s="3"/>
      <c r="E274" s="3"/>
      <c r="F274" s="27"/>
      <c r="G274" s="27"/>
      <c r="H274" s="27"/>
      <c r="I274" s="3"/>
      <c r="J274" s="3" t="str">
        <f t="shared" si="33"/>
        <v>0</v>
      </c>
      <c r="K274" s="27" t="str">
        <f t="shared" si="34"/>
        <v> No Issue</v>
      </c>
      <c r="L274" s="3" t="str">
        <f t="shared" si="35"/>
        <v>No Issue</v>
      </c>
      <c r="M274" s="3" t="str">
        <f t="shared" si="36"/>
        <v>No Issue</v>
      </c>
      <c r="N274" s="3" t="str">
        <f t="shared" si="37"/>
        <v>No Issue</v>
      </c>
      <c r="O274" s="3" t="str">
        <f t="shared" si="38"/>
        <v>No Issue</v>
      </c>
      <c r="P274" s="3" t="str">
        <f t="shared" si="39"/>
        <v>NoIssue</v>
      </c>
    </row>
    <row r="275" ht="15.75" customHeight="1">
      <c r="A275" s="28">
        <v>35.0</v>
      </c>
      <c r="B275" s="29" t="s">
        <v>56</v>
      </c>
      <c r="C275" s="30">
        <v>36.9</v>
      </c>
      <c r="D275" s="3"/>
      <c r="E275" s="3"/>
      <c r="F275" s="27"/>
      <c r="G275" s="27"/>
      <c r="H275" s="27"/>
      <c r="I275" s="3"/>
      <c r="J275" s="3" t="str">
        <f t="shared" si="33"/>
        <v>0</v>
      </c>
      <c r="K275" s="27" t="str">
        <f t="shared" si="34"/>
        <v> No Issue</v>
      </c>
      <c r="L275" s="3" t="str">
        <f t="shared" si="35"/>
        <v>No Issue</v>
      </c>
      <c r="M275" s="3" t="str">
        <f t="shared" si="36"/>
        <v>No Issue</v>
      </c>
      <c r="N275" s="3" t="str">
        <f t="shared" si="37"/>
        <v>No Issue</v>
      </c>
      <c r="O275" s="3" t="str">
        <f t="shared" si="38"/>
        <v>No Issue</v>
      </c>
      <c r="P275" s="3" t="str">
        <f t="shared" si="39"/>
        <v>NoIssue</v>
      </c>
    </row>
    <row r="276" ht="15.75" customHeight="1">
      <c r="A276" s="28">
        <v>36.0</v>
      </c>
      <c r="B276" s="29" t="s">
        <v>57</v>
      </c>
      <c r="C276" s="30">
        <v>101.54</v>
      </c>
      <c r="D276" s="3"/>
      <c r="E276" s="3"/>
      <c r="F276" s="27"/>
      <c r="G276" s="27"/>
      <c r="H276" s="27"/>
      <c r="I276" s="3"/>
      <c r="J276" s="3" t="str">
        <f t="shared" si="33"/>
        <v>0</v>
      </c>
      <c r="K276" s="27" t="str">
        <f t="shared" si="34"/>
        <v> No Issue</v>
      </c>
      <c r="L276" s="3" t="str">
        <f t="shared" si="35"/>
        <v>No Issue</v>
      </c>
      <c r="M276" s="3" t="str">
        <f t="shared" si="36"/>
        <v>No Issue</v>
      </c>
      <c r="N276" s="3" t="str">
        <f t="shared" si="37"/>
        <v>No Issue</v>
      </c>
      <c r="O276" s="3" t="str">
        <f t="shared" si="38"/>
        <v>No Issue</v>
      </c>
      <c r="P276" s="3" t="str">
        <f t="shared" si="39"/>
        <v>NoIssue</v>
      </c>
    </row>
    <row r="277" ht="15.75" customHeight="1">
      <c r="A277" s="28">
        <v>37.0</v>
      </c>
      <c r="B277" s="29" t="s">
        <v>58</v>
      </c>
      <c r="C277" s="30">
        <v>40.5</v>
      </c>
      <c r="D277" s="3"/>
      <c r="E277" s="3"/>
      <c r="F277" s="27"/>
      <c r="G277" s="27"/>
      <c r="H277" s="27"/>
      <c r="I277" s="3"/>
      <c r="J277" s="3" t="str">
        <f t="shared" si="33"/>
        <v>0</v>
      </c>
      <c r="K277" s="27" t="str">
        <f t="shared" si="34"/>
        <v> No Issue</v>
      </c>
      <c r="L277" s="3" t="str">
        <f t="shared" si="35"/>
        <v>No Issue</v>
      </c>
      <c r="M277" s="3" t="str">
        <f t="shared" si="36"/>
        <v>No Issue</v>
      </c>
      <c r="N277" s="3" t="str">
        <f t="shared" si="37"/>
        <v>No Issue</v>
      </c>
      <c r="O277" s="3" t="str">
        <f t="shared" si="38"/>
        <v>No Issue</v>
      </c>
      <c r="P277" s="3" t="str">
        <f t="shared" si="39"/>
        <v>NoIssue</v>
      </c>
    </row>
    <row r="278" ht="15.75" customHeight="1">
      <c r="A278" s="28">
        <v>38.0</v>
      </c>
      <c r="B278" s="29" t="s">
        <v>59</v>
      </c>
      <c r="C278" s="30">
        <v>66.69</v>
      </c>
      <c r="D278" s="3"/>
      <c r="E278" s="3"/>
      <c r="F278" s="27"/>
      <c r="G278" s="27"/>
      <c r="H278" s="27"/>
      <c r="I278" s="3"/>
      <c r="J278" s="3" t="str">
        <f t="shared" si="33"/>
        <v>0</v>
      </c>
      <c r="K278" s="27" t="str">
        <f t="shared" si="34"/>
        <v> No Issue</v>
      </c>
      <c r="L278" s="3" t="str">
        <f t="shared" si="35"/>
        <v>No Issue</v>
      </c>
      <c r="M278" s="3" t="str">
        <f t="shared" si="36"/>
        <v>No Issue</v>
      </c>
      <c r="N278" s="3" t="str">
        <f t="shared" si="37"/>
        <v>No Issue</v>
      </c>
      <c r="O278" s="3" t="str">
        <f t="shared" si="38"/>
        <v>No Issue</v>
      </c>
      <c r="P278" s="3" t="str">
        <f t="shared" si="39"/>
        <v>NoIssue</v>
      </c>
    </row>
    <row r="279" ht="15.75" customHeight="1">
      <c r="A279" s="28">
        <v>39.0</v>
      </c>
      <c r="B279" s="29" t="s">
        <v>60</v>
      </c>
      <c r="C279" s="29">
        <v>150.85999999999999</v>
      </c>
      <c r="D279" s="3"/>
      <c r="E279" s="3"/>
      <c r="F279" s="27"/>
      <c r="G279" s="27"/>
      <c r="H279" s="27"/>
      <c r="I279" s="3"/>
      <c r="J279" s="3" t="str">
        <f t="shared" si="33"/>
        <v>0</v>
      </c>
      <c r="K279" s="27" t="str">
        <f t="shared" si="34"/>
        <v> No Issue</v>
      </c>
      <c r="L279" s="3" t="str">
        <f t="shared" si="35"/>
        <v>No Issue</v>
      </c>
      <c r="M279" s="3" t="str">
        <f t="shared" si="36"/>
        <v>No Issue</v>
      </c>
      <c r="N279" s="3" t="str">
        <f t="shared" si="37"/>
        <v>No Issue</v>
      </c>
      <c r="O279" s="3" t="str">
        <f t="shared" si="38"/>
        <v>No Issue</v>
      </c>
      <c r="P279" s="3" t="str">
        <f t="shared" si="39"/>
        <v>NoIssue</v>
      </c>
    </row>
    <row r="280" ht="15.75" customHeight="1">
      <c r="A280" s="28">
        <v>40.0</v>
      </c>
      <c r="B280" s="33" t="s">
        <v>61</v>
      </c>
      <c r="C280" s="30">
        <v>180.0</v>
      </c>
      <c r="D280" s="3"/>
      <c r="E280" s="3"/>
      <c r="F280" s="27"/>
      <c r="G280" s="27"/>
      <c r="H280" s="27"/>
      <c r="I280" s="3"/>
      <c r="J280" s="3" t="str">
        <f t="shared" si="33"/>
        <v>0</v>
      </c>
      <c r="K280" s="27" t="str">
        <f t="shared" si="34"/>
        <v> No Issue</v>
      </c>
      <c r="L280" s="3" t="str">
        <f t="shared" si="35"/>
        <v>No Issue</v>
      </c>
      <c r="M280" s="3" t="str">
        <f t="shared" si="36"/>
        <v>No Issue</v>
      </c>
      <c r="N280" s="3" t="str">
        <f t="shared" si="37"/>
        <v>No Issue</v>
      </c>
      <c r="O280" s="3" t="str">
        <f t="shared" si="38"/>
        <v>No Issue</v>
      </c>
      <c r="P280" s="3" t="str">
        <f t="shared" si="39"/>
        <v>NoIssue</v>
      </c>
    </row>
    <row r="281" ht="15.75" customHeight="1">
      <c r="A281" s="28">
        <v>41.0</v>
      </c>
      <c r="B281" s="33" t="s">
        <v>62</v>
      </c>
      <c r="C281" s="29">
        <v>128.57</v>
      </c>
      <c r="D281" s="3"/>
      <c r="E281" s="3"/>
      <c r="F281" s="27"/>
      <c r="G281" s="27"/>
      <c r="H281" s="27"/>
      <c r="I281" s="3"/>
      <c r="J281" s="3" t="str">
        <f t="shared" si="33"/>
        <v>0</v>
      </c>
      <c r="K281" s="27" t="str">
        <f t="shared" si="34"/>
        <v> No Issue</v>
      </c>
      <c r="L281" s="3" t="str">
        <f t="shared" si="35"/>
        <v>No Issue</v>
      </c>
      <c r="M281" s="3" t="str">
        <f t="shared" si="36"/>
        <v>No Issue</v>
      </c>
      <c r="N281" s="3" t="str">
        <f t="shared" si="37"/>
        <v>No Issue</v>
      </c>
      <c r="O281" s="3" t="str">
        <f t="shared" si="38"/>
        <v>No Issue</v>
      </c>
      <c r="P281" s="3" t="str">
        <f t="shared" si="39"/>
        <v>NoIssue</v>
      </c>
    </row>
    <row r="282" ht="15.75" customHeight="1">
      <c r="A282" s="28">
        <v>42.0</v>
      </c>
      <c r="B282" s="29"/>
      <c r="C282" s="29"/>
      <c r="D282" s="3"/>
      <c r="E282" s="3"/>
      <c r="F282" s="27"/>
      <c r="G282" s="27"/>
      <c r="H282" s="27"/>
      <c r="I282" s="3"/>
      <c r="J282" s="3" t="str">
        <f t="shared" si="33"/>
        <v>0</v>
      </c>
      <c r="K282" s="27" t="str">
        <f t="shared" si="34"/>
        <v> No Issue</v>
      </c>
      <c r="L282" s="3" t="str">
        <f t="shared" si="35"/>
        <v>No Issue</v>
      </c>
      <c r="M282" s="3" t="str">
        <f t="shared" si="36"/>
        <v>No Issue</v>
      </c>
      <c r="N282" s="3" t="str">
        <f t="shared" si="37"/>
        <v>No Issue</v>
      </c>
      <c r="O282" s="3" t="str">
        <f t="shared" si="38"/>
        <v>No Issue</v>
      </c>
      <c r="P282" s="3" t="str">
        <f t="shared" si="39"/>
        <v>NoIssue</v>
      </c>
    </row>
    <row r="283" ht="15.75" customHeight="1">
      <c r="A283" s="28">
        <v>43.0</v>
      </c>
      <c r="B283" s="34"/>
      <c r="C283" s="34"/>
      <c r="D283" s="3"/>
      <c r="E283" s="3"/>
      <c r="F283" s="27"/>
      <c r="G283" s="27"/>
      <c r="H283" s="27"/>
      <c r="I283" s="3"/>
      <c r="J283" s="3" t="str">
        <f t="shared" si="33"/>
        <v>0</v>
      </c>
      <c r="K283" s="27" t="str">
        <f t="shared" si="34"/>
        <v> No Issue</v>
      </c>
      <c r="L283" s="3" t="str">
        <f t="shared" si="35"/>
        <v>No Issue</v>
      </c>
      <c r="M283" s="3" t="str">
        <f t="shared" si="36"/>
        <v>No Issue</v>
      </c>
      <c r="N283" s="3" t="str">
        <f t="shared" si="37"/>
        <v>No Issue</v>
      </c>
      <c r="O283" s="3" t="str">
        <f t="shared" si="38"/>
        <v>No Issue</v>
      </c>
      <c r="P283" s="3" t="str">
        <f t="shared" si="39"/>
        <v>NoIssue</v>
      </c>
    </row>
    <row r="284" ht="15.75" customHeight="1">
      <c r="A284" s="28">
        <v>44.0</v>
      </c>
      <c r="B284" s="34"/>
      <c r="C284" s="34"/>
      <c r="D284" s="3"/>
      <c r="E284" s="3"/>
      <c r="F284" s="27"/>
      <c r="G284" s="27"/>
      <c r="H284" s="27"/>
      <c r="I284" s="3"/>
      <c r="J284" s="3" t="str">
        <f t="shared" si="33"/>
        <v>0</v>
      </c>
      <c r="K284" s="27" t="str">
        <f t="shared" si="34"/>
        <v> No Issue</v>
      </c>
      <c r="L284" s="3" t="str">
        <f t="shared" si="35"/>
        <v>No Issue</v>
      </c>
      <c r="M284" s="3" t="str">
        <f t="shared" si="36"/>
        <v>No Issue</v>
      </c>
      <c r="N284" s="3" t="str">
        <f t="shared" si="37"/>
        <v>No Issue</v>
      </c>
      <c r="O284" s="3" t="str">
        <f t="shared" si="38"/>
        <v>No Issue</v>
      </c>
      <c r="P284" s="3" t="str">
        <f t="shared" si="39"/>
        <v>NoIssue</v>
      </c>
    </row>
    <row r="285" ht="15.75" customHeight="1">
      <c r="A285" s="28">
        <v>45.0</v>
      </c>
      <c r="B285" s="34"/>
      <c r="C285" s="34"/>
      <c r="D285" s="3"/>
      <c r="E285" s="3"/>
      <c r="F285" s="27"/>
      <c r="G285" s="27"/>
      <c r="H285" s="27"/>
      <c r="I285" s="3"/>
      <c r="J285" s="3" t="str">
        <f t="shared" si="33"/>
        <v>0</v>
      </c>
      <c r="K285" s="27" t="str">
        <f t="shared" si="34"/>
        <v> No Issue</v>
      </c>
      <c r="L285" s="3" t="str">
        <f t="shared" si="35"/>
        <v>No Issue</v>
      </c>
      <c r="M285" s="3" t="str">
        <f t="shared" si="36"/>
        <v>No Issue</v>
      </c>
      <c r="N285" s="3" t="str">
        <f t="shared" si="37"/>
        <v>No Issue</v>
      </c>
      <c r="O285" s="3" t="str">
        <f t="shared" si="38"/>
        <v>No Issue</v>
      </c>
      <c r="P285" s="3" t="str">
        <f t="shared" si="39"/>
        <v>NoIssue</v>
      </c>
    </row>
    <row r="286" ht="15.75" customHeight="1">
      <c r="A286" s="28">
        <v>46.0</v>
      </c>
      <c r="B286" s="34"/>
      <c r="C286" s="34"/>
      <c r="D286" s="3"/>
      <c r="E286" s="3"/>
      <c r="F286" s="27"/>
      <c r="G286" s="27"/>
      <c r="H286" s="27"/>
      <c r="I286" s="3"/>
      <c r="J286" s="3" t="str">
        <f t="shared" si="33"/>
        <v>0</v>
      </c>
      <c r="K286" s="27" t="str">
        <f t="shared" si="34"/>
        <v> No Issue</v>
      </c>
      <c r="L286" s="3" t="str">
        <f t="shared" si="35"/>
        <v>No Issue</v>
      </c>
      <c r="M286" s="3" t="str">
        <f t="shared" si="36"/>
        <v>No Issue</v>
      </c>
      <c r="N286" s="3" t="str">
        <f t="shared" si="37"/>
        <v>No Issue</v>
      </c>
      <c r="O286" s="3" t="str">
        <f t="shared" si="38"/>
        <v>No Issue</v>
      </c>
      <c r="P286" s="3" t="str">
        <f t="shared" si="39"/>
        <v>NoIssue</v>
      </c>
    </row>
    <row r="287" ht="15.75" customHeight="1">
      <c r="A287" s="28">
        <v>47.0</v>
      </c>
      <c r="B287" s="35"/>
      <c r="C287" s="36"/>
      <c r="D287" s="3"/>
      <c r="E287" s="3"/>
      <c r="F287" s="27"/>
      <c r="G287" s="27"/>
      <c r="H287" s="27"/>
      <c r="I287" s="3"/>
      <c r="J287" s="3" t="str">
        <f t="shared" si="33"/>
        <v>0</v>
      </c>
      <c r="K287" s="27" t="str">
        <f t="shared" si="34"/>
        <v> No Issue</v>
      </c>
      <c r="L287" s="3" t="str">
        <f t="shared" si="35"/>
        <v>No Issue</v>
      </c>
      <c r="M287" s="3" t="str">
        <f t="shared" si="36"/>
        <v>No Issue</v>
      </c>
      <c r="N287" s="3" t="str">
        <f t="shared" si="37"/>
        <v>No Issue</v>
      </c>
      <c r="O287" s="3" t="str">
        <f t="shared" si="38"/>
        <v>No Issue</v>
      </c>
      <c r="P287" s="3" t="str">
        <f t="shared" si="39"/>
        <v>NoIssue</v>
      </c>
    </row>
    <row r="288" ht="15.75" customHeight="1">
      <c r="A288" s="28">
        <v>48.0</v>
      </c>
      <c r="B288" s="35"/>
      <c r="C288" s="36"/>
      <c r="D288" s="3"/>
      <c r="E288" s="3"/>
      <c r="F288" s="27"/>
      <c r="G288" s="27"/>
      <c r="H288" s="27"/>
      <c r="I288" s="3"/>
      <c r="J288" s="3" t="str">
        <f t="shared" si="33"/>
        <v>0</v>
      </c>
      <c r="K288" s="27" t="str">
        <f t="shared" si="34"/>
        <v> No Issue</v>
      </c>
      <c r="L288" s="3" t="str">
        <f t="shared" si="35"/>
        <v>No Issue</v>
      </c>
      <c r="M288" s="3" t="str">
        <f t="shared" si="36"/>
        <v>No Issue</v>
      </c>
      <c r="N288" s="3" t="str">
        <f t="shared" si="37"/>
        <v>No Issue</v>
      </c>
      <c r="O288" s="3" t="str">
        <f t="shared" si="38"/>
        <v>No Issue</v>
      </c>
      <c r="P288" s="3" t="str">
        <f t="shared" si="39"/>
        <v>NoIssue</v>
      </c>
    </row>
    <row r="289" ht="15.75" customHeight="1">
      <c r="A289" s="28">
        <v>49.0</v>
      </c>
      <c r="B289" s="35"/>
      <c r="C289" s="36"/>
      <c r="D289" s="3"/>
      <c r="E289" s="3"/>
      <c r="F289" s="27"/>
      <c r="G289" s="27"/>
      <c r="H289" s="27"/>
      <c r="I289" s="3"/>
      <c r="J289" s="3" t="str">
        <f t="shared" si="33"/>
        <v>0</v>
      </c>
      <c r="K289" s="27" t="str">
        <f t="shared" si="34"/>
        <v> No Issue</v>
      </c>
      <c r="L289" s="3" t="str">
        <f t="shared" si="35"/>
        <v>No Issue</v>
      </c>
      <c r="M289" s="3" t="str">
        <f t="shared" si="36"/>
        <v>No Issue</v>
      </c>
      <c r="N289" s="3" t="str">
        <f t="shared" si="37"/>
        <v>No Issue</v>
      </c>
      <c r="O289" s="3" t="str">
        <f t="shared" si="38"/>
        <v>No Issue</v>
      </c>
      <c r="P289" s="3" t="str">
        <f t="shared" si="39"/>
        <v>NoIssue</v>
      </c>
    </row>
    <row r="290" ht="15.75" customHeight="1">
      <c r="A290" s="28">
        <v>50.0</v>
      </c>
      <c r="B290" s="35"/>
      <c r="C290" s="36"/>
      <c r="D290" s="3"/>
      <c r="E290" s="3"/>
      <c r="F290" s="27"/>
      <c r="G290" s="27"/>
      <c r="H290" s="27"/>
      <c r="I290" s="3"/>
      <c r="J290" s="3" t="str">
        <f t="shared" si="33"/>
        <v>0</v>
      </c>
      <c r="K290" s="27" t="str">
        <f t="shared" si="34"/>
        <v> No Issue</v>
      </c>
      <c r="L290" s="3" t="str">
        <f t="shared" si="35"/>
        <v>No Issue</v>
      </c>
      <c r="M290" s="3" t="str">
        <f t="shared" si="36"/>
        <v>No Issue</v>
      </c>
      <c r="N290" s="3" t="str">
        <f t="shared" si="37"/>
        <v>No Issue</v>
      </c>
      <c r="O290" s="3" t="str">
        <f t="shared" si="38"/>
        <v>No Issue</v>
      </c>
      <c r="P290" s="3" t="str">
        <f t="shared" si="39"/>
        <v>NoIssue</v>
      </c>
    </row>
    <row r="291" ht="15.75" customHeight="1">
      <c r="A291" s="28">
        <v>51.0</v>
      </c>
      <c r="B291" s="35"/>
      <c r="C291" s="36"/>
      <c r="D291" s="3"/>
      <c r="E291" s="3"/>
      <c r="F291" s="27"/>
      <c r="G291" s="27"/>
      <c r="H291" s="27"/>
      <c r="I291" s="3"/>
      <c r="J291" s="3" t="str">
        <f t="shared" si="33"/>
        <v>0</v>
      </c>
      <c r="K291" s="27" t="str">
        <f t="shared" si="34"/>
        <v> No Issue</v>
      </c>
      <c r="L291" s="3" t="str">
        <f t="shared" si="35"/>
        <v>No Issue</v>
      </c>
      <c r="M291" s="3" t="str">
        <f t="shared" si="36"/>
        <v>No Issue</v>
      </c>
      <c r="N291" s="3" t="str">
        <f t="shared" si="37"/>
        <v>No Issue</v>
      </c>
      <c r="O291" s="3" t="str">
        <f t="shared" si="38"/>
        <v>No Issue</v>
      </c>
      <c r="P291" s="3" t="str">
        <f t="shared" si="39"/>
        <v>NoIssue</v>
      </c>
    </row>
    <row r="292" ht="15.75" customHeight="1">
      <c r="A292" s="28">
        <v>52.0</v>
      </c>
      <c r="B292" s="35"/>
      <c r="C292" s="36"/>
      <c r="D292" s="3"/>
      <c r="E292" s="3"/>
      <c r="F292" s="27"/>
      <c r="G292" s="27"/>
      <c r="H292" s="27"/>
      <c r="I292" s="3"/>
      <c r="J292" s="3" t="str">
        <f t="shared" si="33"/>
        <v>0</v>
      </c>
      <c r="K292" s="27" t="str">
        <f t="shared" si="34"/>
        <v> No Issue</v>
      </c>
      <c r="L292" s="3" t="str">
        <f t="shared" si="35"/>
        <v>No Issue</v>
      </c>
      <c r="M292" s="3" t="str">
        <f t="shared" si="36"/>
        <v>No Issue</v>
      </c>
      <c r="N292" s="3" t="str">
        <f t="shared" si="37"/>
        <v>No Issue</v>
      </c>
      <c r="O292" s="3" t="str">
        <f t="shared" si="38"/>
        <v>No Issue</v>
      </c>
      <c r="P292" s="3" t="str">
        <f t="shared" si="39"/>
        <v>NoIssue</v>
      </c>
    </row>
    <row r="293" ht="15.75" customHeight="1">
      <c r="A293" s="28">
        <v>53.0</v>
      </c>
      <c r="B293" s="35"/>
      <c r="C293" s="36"/>
      <c r="D293" s="3"/>
      <c r="E293" s="3"/>
      <c r="F293" s="27"/>
      <c r="G293" s="27"/>
      <c r="H293" s="27"/>
      <c r="I293" s="3"/>
      <c r="J293" s="3" t="str">
        <f t="shared" si="33"/>
        <v>0</v>
      </c>
      <c r="K293" s="27" t="str">
        <f t="shared" si="34"/>
        <v> No Issue</v>
      </c>
      <c r="L293" s="3" t="str">
        <f t="shared" si="35"/>
        <v>No Issue</v>
      </c>
      <c r="M293" s="3" t="str">
        <f t="shared" si="36"/>
        <v>No Issue</v>
      </c>
      <c r="N293" s="3" t="str">
        <f t="shared" si="37"/>
        <v>No Issue</v>
      </c>
      <c r="O293" s="3" t="str">
        <f t="shared" si="38"/>
        <v>No Issue</v>
      </c>
      <c r="P293" s="3" t="str">
        <f t="shared" si="39"/>
        <v>NoIssue</v>
      </c>
    </row>
    <row r="294" ht="15.75" customHeight="1">
      <c r="A294" s="28">
        <v>54.0</v>
      </c>
      <c r="B294" s="34"/>
      <c r="C294" s="34"/>
      <c r="D294" s="3"/>
      <c r="E294" s="3"/>
      <c r="F294" s="27"/>
      <c r="G294" s="27"/>
      <c r="H294" s="27"/>
      <c r="I294" s="3"/>
      <c r="J294" s="3" t="str">
        <f t="shared" si="33"/>
        <v>0</v>
      </c>
      <c r="K294" s="27" t="str">
        <f t="shared" si="34"/>
        <v> No Issue</v>
      </c>
      <c r="L294" s="3" t="str">
        <f t="shared" si="35"/>
        <v>No Issue</v>
      </c>
      <c r="M294" s="3" t="str">
        <f t="shared" si="36"/>
        <v>No Issue</v>
      </c>
      <c r="N294" s="3" t="str">
        <f t="shared" si="37"/>
        <v>No Issue</v>
      </c>
      <c r="O294" s="3" t="str">
        <f t="shared" si="38"/>
        <v>No Issue</v>
      </c>
      <c r="P294" s="3" t="str">
        <f t="shared" si="39"/>
        <v>NoIssue</v>
      </c>
    </row>
    <row r="295" ht="15.75" customHeight="1">
      <c r="A295" s="28">
        <v>55.0</v>
      </c>
      <c r="B295" s="35"/>
      <c r="C295" s="36"/>
      <c r="D295" s="3"/>
      <c r="E295" s="3"/>
      <c r="F295" s="27"/>
      <c r="G295" s="27"/>
      <c r="H295" s="27"/>
      <c r="I295" s="3"/>
      <c r="J295" s="3" t="str">
        <f t="shared" si="33"/>
        <v>0</v>
      </c>
      <c r="K295" s="27" t="str">
        <f t="shared" si="34"/>
        <v> No Issue</v>
      </c>
      <c r="L295" s="3" t="str">
        <f t="shared" si="35"/>
        <v>No Issue</v>
      </c>
      <c r="M295" s="3" t="str">
        <f t="shared" si="36"/>
        <v>No Issue</v>
      </c>
      <c r="N295" s="3" t="str">
        <f t="shared" si="37"/>
        <v>No Issue</v>
      </c>
      <c r="O295" s="3" t="str">
        <f t="shared" si="38"/>
        <v>No Issue</v>
      </c>
      <c r="P295" s="3" t="str">
        <f t="shared" si="39"/>
        <v>NoIssue</v>
      </c>
    </row>
    <row r="296" ht="15.75" customHeight="1">
      <c r="A296" s="28">
        <v>56.0</v>
      </c>
      <c r="B296" s="35"/>
      <c r="C296" s="36"/>
      <c r="D296" s="3"/>
      <c r="E296" s="3"/>
      <c r="F296" s="27"/>
      <c r="G296" s="27"/>
      <c r="H296" s="27"/>
      <c r="I296" s="3"/>
      <c r="J296" s="3" t="str">
        <f t="shared" si="33"/>
        <v>0</v>
      </c>
      <c r="K296" s="27" t="str">
        <f t="shared" si="34"/>
        <v> No Issue</v>
      </c>
      <c r="L296" s="3" t="str">
        <f t="shared" si="35"/>
        <v>No Issue</v>
      </c>
      <c r="M296" s="3" t="str">
        <f t="shared" si="36"/>
        <v>No Issue</v>
      </c>
      <c r="N296" s="3" t="str">
        <f t="shared" si="37"/>
        <v>No Issue</v>
      </c>
      <c r="O296" s="3" t="str">
        <f t="shared" si="38"/>
        <v>No Issue</v>
      </c>
      <c r="P296" s="3" t="str">
        <f t="shared" si="39"/>
        <v>NoIssue</v>
      </c>
    </row>
    <row r="297" ht="15.75" customHeight="1">
      <c r="A297" s="28"/>
      <c r="B297" s="3" t="s">
        <v>64</v>
      </c>
      <c r="C297" s="35"/>
      <c r="D297" s="3" t="str">
        <f t="shared" ref="D297:I297" si="40">SUMPRODUCT(D241:D296,$C241:$C296)</f>
        <v>0</v>
      </c>
      <c r="E297" s="3" t="str">
        <f t="shared" si="40"/>
        <v>0</v>
      </c>
      <c r="F297" s="3" t="str">
        <f t="shared" si="40"/>
        <v>0</v>
      </c>
      <c r="G297" s="3" t="str">
        <f t="shared" si="40"/>
        <v>0</v>
      </c>
      <c r="H297" s="3" t="str">
        <f t="shared" si="40"/>
        <v>0</v>
      </c>
      <c r="I297" s="3" t="str">
        <f t="shared" si="40"/>
        <v>0</v>
      </c>
      <c r="J297" s="3" t="str">
        <f t="shared" si="33"/>
        <v>0</v>
      </c>
      <c r="K297" s="27" t="str">
        <f t="shared" si="34"/>
        <v> No Issue</v>
      </c>
      <c r="L297" s="3" t="str">
        <f t="shared" si="35"/>
        <v>No Issue</v>
      </c>
      <c r="M297" s="3" t="str">
        <f t="shared" si="36"/>
        <v>No Issue</v>
      </c>
      <c r="N297" s="3" t="str">
        <f t="shared" si="37"/>
        <v>No Issue</v>
      </c>
      <c r="O297" s="3" t="str">
        <f t="shared" si="38"/>
        <v>No Issue</v>
      </c>
      <c r="P297" s="3" t="str">
        <f t="shared" si="39"/>
        <v>NoIssue</v>
      </c>
    </row>
    <row r="298" ht="15.75" customHeight="1">
      <c r="A298" s="10"/>
      <c r="B298" s="11" t="s">
        <v>3</v>
      </c>
      <c r="C298" s="39"/>
      <c r="D298" s="13"/>
      <c r="E298" s="11"/>
      <c r="F298" s="15"/>
      <c r="G298" s="16"/>
      <c r="H298" s="17"/>
      <c r="I298" s="15"/>
      <c r="J298" s="18"/>
      <c r="K298" s="19" t="s">
        <v>5</v>
      </c>
      <c r="L298" s="20"/>
      <c r="M298" s="20"/>
      <c r="N298" s="20"/>
      <c r="O298" s="20"/>
      <c r="P298" s="21"/>
    </row>
    <row r="299" ht="15.75" customHeight="1">
      <c r="A299" s="40" t="s">
        <v>6</v>
      </c>
      <c r="B299" s="27" t="s">
        <v>7</v>
      </c>
      <c r="C299" s="27" t="s">
        <v>8</v>
      </c>
      <c r="D299" s="26" t="s">
        <v>9</v>
      </c>
      <c r="E299" s="26" t="s">
        <v>10</v>
      </c>
      <c r="F299" s="26" t="s">
        <v>11</v>
      </c>
      <c r="G299" s="26" t="s">
        <v>12</v>
      </c>
      <c r="H299" s="26" t="s">
        <v>13</v>
      </c>
      <c r="I299" s="26" t="s">
        <v>14</v>
      </c>
      <c r="J299" s="26" t="s">
        <v>15</v>
      </c>
      <c r="K299" s="27" t="s">
        <v>16</v>
      </c>
      <c r="L299" s="27" t="s">
        <v>17</v>
      </c>
      <c r="M299" s="27" t="s">
        <v>18</v>
      </c>
      <c r="N299" s="27" t="s">
        <v>19</v>
      </c>
      <c r="O299" s="27" t="s">
        <v>20</v>
      </c>
      <c r="P299" s="27" t="s">
        <v>21</v>
      </c>
    </row>
    <row r="300" ht="15.75" customHeight="1">
      <c r="A300" s="28">
        <v>1.0</v>
      </c>
      <c r="B300" s="29" t="s">
        <v>22</v>
      </c>
      <c r="C300" s="30">
        <v>192.17</v>
      </c>
      <c r="D300" s="3"/>
      <c r="E300" s="3"/>
      <c r="F300" s="3"/>
      <c r="G300" s="3"/>
      <c r="H300" s="3"/>
      <c r="I300" s="3"/>
      <c r="J300" s="3" t="str">
        <f t="shared" ref="J300:J356" si="41">D300+E300-F300-G300+H300</f>
        <v>0</v>
      </c>
      <c r="K300" s="27" t="str">
        <f t="shared" ref="K300:K356" si="42">IF(I300&lt;&gt;(D300+E300-F300-G300+H300),"Closing stock Not Correct-Problem"," No Issue")</f>
        <v> No Issue</v>
      </c>
      <c r="L300" s="3" t="str">
        <f t="shared" ref="L300:L356" si="43">IF((D300+E300)&lt;F300,"High Sale and Less Stock-Problem","No Issue")</f>
        <v>No Issue</v>
      </c>
      <c r="M300" s="3" t="str">
        <f t="shared" ref="M300:M356" si="44">IF(AND((D300+E300+I300)=0,F300&gt;0),"No Stock Sale Present Problem","No Issue")</f>
        <v>No Issue</v>
      </c>
      <c r="N300" s="3" t="str">
        <f t="shared" ref="N300:N356" si="45">IF(AND(SUM(D300:H300)=0,I300&gt;0),"Only Closing Entered Other Parameters No Entired Problem","No Issue")</f>
        <v>No Issue</v>
      </c>
      <c r="O300" s="3" t="str">
        <f t="shared" ref="O300:O356" si="46">IF(F300&gt;5000,"Check Once Sales quantity or Value Problem","No Issue")</f>
        <v>No Issue</v>
      </c>
      <c r="P300" s="3" t="str">
        <f t="shared" ref="P300:P356" si="47">IF(I300&gt;5000,"Check Once Closing quantity or Value Problem","NoIssue")</f>
        <v>NoIssue</v>
      </c>
    </row>
    <row r="301" ht="15.75" customHeight="1">
      <c r="A301" s="28">
        <v>2.0</v>
      </c>
      <c r="B301" s="29" t="s">
        <v>23</v>
      </c>
      <c r="C301" s="30">
        <v>9.26</v>
      </c>
      <c r="D301" s="3"/>
      <c r="E301" s="3"/>
      <c r="F301" s="3"/>
      <c r="G301" s="3"/>
      <c r="H301" s="3"/>
      <c r="I301" s="3"/>
      <c r="J301" s="3" t="str">
        <f t="shared" si="41"/>
        <v>0</v>
      </c>
      <c r="K301" s="27" t="str">
        <f t="shared" si="42"/>
        <v> No Issue</v>
      </c>
      <c r="L301" s="3" t="str">
        <f t="shared" si="43"/>
        <v>No Issue</v>
      </c>
      <c r="M301" s="3" t="str">
        <f t="shared" si="44"/>
        <v>No Issue</v>
      </c>
      <c r="N301" s="3" t="str">
        <f t="shared" si="45"/>
        <v>No Issue</v>
      </c>
      <c r="O301" s="3" t="str">
        <f t="shared" si="46"/>
        <v>No Issue</v>
      </c>
      <c r="P301" s="3" t="str">
        <f t="shared" si="47"/>
        <v>NoIssue</v>
      </c>
    </row>
    <row r="302" ht="15.75" customHeight="1">
      <c r="A302" s="28">
        <v>3.0</v>
      </c>
      <c r="B302" s="29" t="s">
        <v>24</v>
      </c>
      <c r="C302" s="30">
        <v>87.79</v>
      </c>
      <c r="D302" s="3"/>
      <c r="E302" s="3"/>
      <c r="F302" s="3"/>
      <c r="G302" s="3"/>
      <c r="H302" s="3"/>
      <c r="I302" s="3"/>
      <c r="J302" s="3" t="str">
        <f t="shared" si="41"/>
        <v>0</v>
      </c>
      <c r="K302" s="27" t="str">
        <f t="shared" si="42"/>
        <v> No Issue</v>
      </c>
      <c r="L302" s="3" t="str">
        <f t="shared" si="43"/>
        <v>No Issue</v>
      </c>
      <c r="M302" s="3" t="str">
        <f t="shared" si="44"/>
        <v>No Issue</v>
      </c>
      <c r="N302" s="3" t="str">
        <f t="shared" si="45"/>
        <v>No Issue</v>
      </c>
      <c r="O302" s="3" t="str">
        <f t="shared" si="46"/>
        <v>No Issue</v>
      </c>
      <c r="P302" s="3" t="str">
        <f t="shared" si="47"/>
        <v>NoIssue</v>
      </c>
    </row>
    <row r="303" ht="15.75" customHeight="1">
      <c r="A303" s="28">
        <v>4.0</v>
      </c>
      <c r="B303" s="29" t="s">
        <v>25</v>
      </c>
      <c r="C303" s="30">
        <v>55.55</v>
      </c>
      <c r="D303" s="3"/>
      <c r="E303" s="3"/>
      <c r="F303" s="3"/>
      <c r="G303" s="3"/>
      <c r="H303" s="3"/>
      <c r="I303" s="3"/>
      <c r="J303" s="3" t="str">
        <f t="shared" si="41"/>
        <v>0</v>
      </c>
      <c r="K303" s="27" t="str">
        <f t="shared" si="42"/>
        <v> No Issue</v>
      </c>
      <c r="L303" s="3" t="str">
        <f t="shared" si="43"/>
        <v>No Issue</v>
      </c>
      <c r="M303" s="3" t="str">
        <f t="shared" si="44"/>
        <v>No Issue</v>
      </c>
      <c r="N303" s="3" t="str">
        <f t="shared" si="45"/>
        <v>No Issue</v>
      </c>
      <c r="O303" s="3" t="str">
        <f t="shared" si="46"/>
        <v>No Issue</v>
      </c>
      <c r="P303" s="3" t="str">
        <f t="shared" si="47"/>
        <v>NoIssue</v>
      </c>
    </row>
    <row r="304" ht="15.75" customHeight="1">
      <c r="A304" s="28">
        <v>5.0</v>
      </c>
      <c r="B304" s="29" t="s">
        <v>26</v>
      </c>
      <c r="C304" s="30">
        <v>70.01</v>
      </c>
      <c r="D304" s="3"/>
      <c r="E304" s="3"/>
      <c r="F304" s="3"/>
      <c r="G304" s="3"/>
      <c r="H304" s="3"/>
      <c r="I304" s="3"/>
      <c r="J304" s="3" t="str">
        <f t="shared" si="41"/>
        <v>0</v>
      </c>
      <c r="K304" s="27" t="str">
        <f t="shared" si="42"/>
        <v> No Issue</v>
      </c>
      <c r="L304" s="3" t="str">
        <f t="shared" si="43"/>
        <v>No Issue</v>
      </c>
      <c r="M304" s="3" t="str">
        <f t="shared" si="44"/>
        <v>No Issue</v>
      </c>
      <c r="N304" s="3" t="str">
        <f t="shared" si="45"/>
        <v>No Issue</v>
      </c>
      <c r="O304" s="3" t="str">
        <f t="shared" si="46"/>
        <v>No Issue</v>
      </c>
      <c r="P304" s="3" t="str">
        <f t="shared" si="47"/>
        <v>NoIssue</v>
      </c>
    </row>
    <row r="305" ht="15.75" customHeight="1">
      <c r="A305" s="28">
        <v>6.0</v>
      </c>
      <c r="B305" s="29" t="s">
        <v>27</v>
      </c>
      <c r="C305" s="30">
        <v>73.92999999999999</v>
      </c>
      <c r="D305" s="3"/>
      <c r="E305" s="3"/>
      <c r="F305" s="3"/>
      <c r="G305" s="3"/>
      <c r="H305" s="3"/>
      <c r="I305" s="3"/>
      <c r="J305" s="3" t="str">
        <f t="shared" si="41"/>
        <v>0</v>
      </c>
      <c r="K305" s="27" t="str">
        <f t="shared" si="42"/>
        <v> No Issue</v>
      </c>
      <c r="L305" s="3" t="str">
        <f t="shared" si="43"/>
        <v>No Issue</v>
      </c>
      <c r="M305" s="3" t="str">
        <f t="shared" si="44"/>
        <v>No Issue</v>
      </c>
      <c r="N305" s="3" t="str">
        <f t="shared" si="45"/>
        <v>No Issue</v>
      </c>
      <c r="O305" s="3" t="str">
        <f t="shared" si="46"/>
        <v>No Issue</v>
      </c>
      <c r="P305" s="3" t="str">
        <f t="shared" si="47"/>
        <v>NoIssue</v>
      </c>
    </row>
    <row r="306" ht="15.75" customHeight="1">
      <c r="A306" s="28">
        <v>7.0</v>
      </c>
      <c r="B306" s="29" t="s">
        <v>28</v>
      </c>
      <c r="C306" s="30">
        <v>13.91</v>
      </c>
      <c r="D306" s="3"/>
      <c r="E306" s="3"/>
      <c r="F306" s="3"/>
      <c r="G306" s="3"/>
      <c r="H306" s="3"/>
      <c r="I306" s="3"/>
      <c r="J306" s="3" t="str">
        <f t="shared" si="41"/>
        <v>0</v>
      </c>
      <c r="K306" s="27" t="str">
        <f t="shared" si="42"/>
        <v> No Issue</v>
      </c>
      <c r="L306" s="3" t="str">
        <f t="shared" si="43"/>
        <v>No Issue</v>
      </c>
      <c r="M306" s="3" t="str">
        <f t="shared" si="44"/>
        <v>No Issue</v>
      </c>
      <c r="N306" s="3" t="str">
        <f t="shared" si="45"/>
        <v>No Issue</v>
      </c>
      <c r="O306" s="3" t="str">
        <f t="shared" si="46"/>
        <v>No Issue</v>
      </c>
      <c r="P306" s="3" t="str">
        <f t="shared" si="47"/>
        <v>NoIssue</v>
      </c>
    </row>
    <row r="307" ht="15.75" customHeight="1">
      <c r="A307" s="28">
        <v>8.0</v>
      </c>
      <c r="B307" s="29" t="s">
        <v>29</v>
      </c>
      <c r="C307" s="30">
        <v>19.5</v>
      </c>
      <c r="D307" s="3"/>
      <c r="E307" s="3"/>
      <c r="F307" s="3"/>
      <c r="G307" s="3"/>
      <c r="H307" s="3"/>
      <c r="I307" s="3"/>
      <c r="J307" s="3" t="str">
        <f t="shared" si="41"/>
        <v>0</v>
      </c>
      <c r="K307" s="27" t="str">
        <f t="shared" si="42"/>
        <v> No Issue</v>
      </c>
      <c r="L307" s="3" t="str">
        <f t="shared" si="43"/>
        <v>No Issue</v>
      </c>
      <c r="M307" s="3" t="str">
        <f t="shared" si="44"/>
        <v>No Issue</v>
      </c>
      <c r="N307" s="3" t="str">
        <f t="shared" si="45"/>
        <v>No Issue</v>
      </c>
      <c r="O307" s="3" t="str">
        <f t="shared" si="46"/>
        <v>No Issue</v>
      </c>
      <c r="P307" s="3" t="str">
        <f t="shared" si="47"/>
        <v>NoIssue</v>
      </c>
    </row>
    <row r="308" ht="15.75" customHeight="1">
      <c r="A308" s="28">
        <v>9.0</v>
      </c>
      <c r="B308" s="29" t="s">
        <v>30</v>
      </c>
      <c r="C308" s="30">
        <v>28.83</v>
      </c>
      <c r="D308" s="3"/>
      <c r="E308" s="3"/>
      <c r="F308" s="3"/>
      <c r="G308" s="3"/>
      <c r="H308" s="3"/>
      <c r="I308" s="3"/>
      <c r="J308" s="3" t="str">
        <f t="shared" si="41"/>
        <v>0</v>
      </c>
      <c r="K308" s="27" t="str">
        <f t="shared" si="42"/>
        <v> No Issue</v>
      </c>
      <c r="L308" s="3" t="str">
        <f t="shared" si="43"/>
        <v>No Issue</v>
      </c>
      <c r="M308" s="3" t="str">
        <f t="shared" si="44"/>
        <v>No Issue</v>
      </c>
      <c r="N308" s="3" t="str">
        <f t="shared" si="45"/>
        <v>No Issue</v>
      </c>
      <c r="O308" s="3" t="str">
        <f t="shared" si="46"/>
        <v>No Issue</v>
      </c>
      <c r="P308" s="3" t="str">
        <f t="shared" si="47"/>
        <v>NoIssue</v>
      </c>
    </row>
    <row r="309" ht="15.75" customHeight="1">
      <c r="A309" s="28">
        <v>10.0</v>
      </c>
      <c r="B309" s="29" t="s">
        <v>31</v>
      </c>
      <c r="C309" s="30">
        <v>8.51</v>
      </c>
      <c r="D309" s="3"/>
      <c r="E309" s="3"/>
      <c r="F309" s="3"/>
      <c r="G309" s="3"/>
      <c r="H309" s="3"/>
      <c r="I309" s="3"/>
      <c r="J309" s="3" t="str">
        <f t="shared" si="41"/>
        <v>0</v>
      </c>
      <c r="K309" s="27" t="str">
        <f t="shared" si="42"/>
        <v> No Issue</v>
      </c>
      <c r="L309" s="3" t="str">
        <f t="shared" si="43"/>
        <v>No Issue</v>
      </c>
      <c r="M309" s="3" t="str">
        <f t="shared" si="44"/>
        <v>No Issue</v>
      </c>
      <c r="N309" s="3" t="str">
        <f t="shared" si="45"/>
        <v>No Issue</v>
      </c>
      <c r="O309" s="3" t="str">
        <f t="shared" si="46"/>
        <v>No Issue</v>
      </c>
      <c r="P309" s="3" t="str">
        <f t="shared" si="47"/>
        <v>NoIssue</v>
      </c>
    </row>
    <row r="310" ht="15.75" customHeight="1">
      <c r="A310" s="28">
        <v>11.0</v>
      </c>
      <c r="B310" s="29" t="s">
        <v>32</v>
      </c>
      <c r="C310" s="30">
        <v>102.17</v>
      </c>
      <c r="D310" s="3"/>
      <c r="E310" s="3"/>
      <c r="F310" s="3"/>
      <c r="G310" s="3"/>
      <c r="H310" s="3"/>
      <c r="I310" s="3"/>
      <c r="J310" s="3" t="str">
        <f t="shared" si="41"/>
        <v>0</v>
      </c>
      <c r="K310" s="27" t="str">
        <f t="shared" si="42"/>
        <v> No Issue</v>
      </c>
      <c r="L310" s="3" t="str">
        <f t="shared" si="43"/>
        <v>No Issue</v>
      </c>
      <c r="M310" s="3" t="str">
        <f t="shared" si="44"/>
        <v>No Issue</v>
      </c>
      <c r="N310" s="3" t="str">
        <f t="shared" si="45"/>
        <v>No Issue</v>
      </c>
      <c r="O310" s="3" t="str">
        <f t="shared" si="46"/>
        <v>No Issue</v>
      </c>
      <c r="P310" s="3" t="str">
        <f t="shared" si="47"/>
        <v>NoIssue</v>
      </c>
    </row>
    <row r="311" ht="15.75" customHeight="1">
      <c r="A311" s="28">
        <v>12.0</v>
      </c>
      <c r="B311" s="29" t="s">
        <v>33</v>
      </c>
      <c r="C311" s="30">
        <v>59.93</v>
      </c>
      <c r="D311" s="3"/>
      <c r="E311" s="3"/>
      <c r="F311" s="3"/>
      <c r="G311" s="3"/>
      <c r="H311" s="3"/>
      <c r="I311" s="3"/>
      <c r="J311" s="3" t="str">
        <f t="shared" si="41"/>
        <v>0</v>
      </c>
      <c r="K311" s="27" t="str">
        <f t="shared" si="42"/>
        <v> No Issue</v>
      </c>
      <c r="L311" s="3" t="str">
        <f t="shared" si="43"/>
        <v>No Issue</v>
      </c>
      <c r="M311" s="3" t="str">
        <f t="shared" si="44"/>
        <v>No Issue</v>
      </c>
      <c r="N311" s="3" t="str">
        <f t="shared" si="45"/>
        <v>No Issue</v>
      </c>
      <c r="O311" s="3" t="str">
        <f t="shared" si="46"/>
        <v>No Issue</v>
      </c>
      <c r="P311" s="3" t="str">
        <f t="shared" si="47"/>
        <v>NoIssue</v>
      </c>
    </row>
    <row r="312" ht="15.75" customHeight="1">
      <c r="A312" s="28">
        <v>13.0</v>
      </c>
      <c r="B312" s="29" t="s">
        <v>34</v>
      </c>
      <c r="C312" s="30">
        <v>118.0</v>
      </c>
      <c r="D312" s="3"/>
      <c r="E312" s="3"/>
      <c r="F312" s="3"/>
      <c r="G312" s="3"/>
      <c r="H312" s="3"/>
      <c r="I312" s="3"/>
      <c r="J312" s="3" t="str">
        <f t="shared" si="41"/>
        <v>0</v>
      </c>
      <c r="K312" s="27" t="str">
        <f t="shared" si="42"/>
        <v> No Issue</v>
      </c>
      <c r="L312" s="3" t="str">
        <f t="shared" si="43"/>
        <v>No Issue</v>
      </c>
      <c r="M312" s="3" t="str">
        <f t="shared" si="44"/>
        <v>No Issue</v>
      </c>
      <c r="N312" s="3" t="str">
        <f t="shared" si="45"/>
        <v>No Issue</v>
      </c>
      <c r="O312" s="3" t="str">
        <f t="shared" si="46"/>
        <v>No Issue</v>
      </c>
      <c r="P312" s="3" t="str">
        <f t="shared" si="47"/>
        <v>NoIssue</v>
      </c>
    </row>
    <row r="313" ht="15.75" customHeight="1">
      <c r="A313" s="28">
        <v>14.0</v>
      </c>
      <c r="B313" s="29" t="s">
        <v>35</v>
      </c>
      <c r="C313" s="30">
        <v>52.83</v>
      </c>
      <c r="D313" s="3"/>
      <c r="E313" s="3"/>
      <c r="F313" s="3"/>
      <c r="G313" s="3"/>
      <c r="H313" s="3"/>
      <c r="I313" s="3"/>
      <c r="J313" s="3" t="str">
        <f t="shared" si="41"/>
        <v>0</v>
      </c>
      <c r="K313" s="27" t="str">
        <f t="shared" si="42"/>
        <v> No Issue</v>
      </c>
      <c r="L313" s="3" t="str">
        <f t="shared" si="43"/>
        <v>No Issue</v>
      </c>
      <c r="M313" s="3" t="str">
        <f t="shared" si="44"/>
        <v>No Issue</v>
      </c>
      <c r="N313" s="3" t="str">
        <f t="shared" si="45"/>
        <v>No Issue</v>
      </c>
      <c r="O313" s="3" t="str">
        <f t="shared" si="46"/>
        <v>No Issue</v>
      </c>
      <c r="P313" s="3" t="str">
        <f t="shared" si="47"/>
        <v>NoIssue</v>
      </c>
    </row>
    <row r="314" ht="15.75" customHeight="1">
      <c r="A314" s="28">
        <v>15.0</v>
      </c>
      <c r="B314" s="29" t="s">
        <v>36</v>
      </c>
      <c r="C314" s="30">
        <v>93.2</v>
      </c>
      <c r="D314" s="3"/>
      <c r="E314" s="3"/>
      <c r="F314" s="3"/>
      <c r="G314" s="3"/>
      <c r="H314" s="3"/>
      <c r="I314" s="3"/>
      <c r="J314" s="3" t="str">
        <f t="shared" si="41"/>
        <v>0</v>
      </c>
      <c r="K314" s="27" t="str">
        <f t="shared" si="42"/>
        <v> No Issue</v>
      </c>
      <c r="L314" s="3" t="str">
        <f t="shared" si="43"/>
        <v>No Issue</v>
      </c>
      <c r="M314" s="3" t="str">
        <f t="shared" si="44"/>
        <v>No Issue</v>
      </c>
      <c r="N314" s="3" t="str">
        <f t="shared" si="45"/>
        <v>No Issue</v>
      </c>
      <c r="O314" s="3" t="str">
        <f t="shared" si="46"/>
        <v>No Issue</v>
      </c>
      <c r="P314" s="3" t="str">
        <f t="shared" si="47"/>
        <v>NoIssue</v>
      </c>
    </row>
    <row r="315" ht="15.75" customHeight="1">
      <c r="A315" s="28">
        <v>16.0</v>
      </c>
      <c r="B315" s="29" t="s">
        <v>37</v>
      </c>
      <c r="C315" s="30">
        <v>61.02</v>
      </c>
      <c r="D315" s="3"/>
      <c r="E315" s="3"/>
      <c r="F315" s="3"/>
      <c r="G315" s="3"/>
      <c r="H315" s="3"/>
      <c r="I315" s="3"/>
      <c r="J315" s="3" t="str">
        <f t="shared" si="41"/>
        <v>0</v>
      </c>
      <c r="K315" s="27" t="str">
        <f t="shared" si="42"/>
        <v> No Issue</v>
      </c>
      <c r="L315" s="3" t="str">
        <f t="shared" si="43"/>
        <v>No Issue</v>
      </c>
      <c r="M315" s="3" t="str">
        <f t="shared" si="44"/>
        <v>No Issue</v>
      </c>
      <c r="N315" s="3" t="str">
        <f t="shared" si="45"/>
        <v>No Issue</v>
      </c>
      <c r="O315" s="3" t="str">
        <f t="shared" si="46"/>
        <v>No Issue</v>
      </c>
      <c r="P315" s="3" t="str">
        <f t="shared" si="47"/>
        <v>NoIssue</v>
      </c>
    </row>
    <row r="316" ht="15.75" customHeight="1">
      <c r="A316" s="28">
        <v>17.0</v>
      </c>
      <c r="B316" s="29" t="s">
        <v>38</v>
      </c>
      <c r="C316" s="30">
        <v>36.62</v>
      </c>
      <c r="D316" s="3"/>
      <c r="E316" s="3"/>
      <c r="F316" s="3"/>
      <c r="G316" s="3"/>
      <c r="H316" s="3"/>
      <c r="I316" s="3"/>
      <c r="J316" s="3" t="str">
        <f t="shared" si="41"/>
        <v>0</v>
      </c>
      <c r="K316" s="27" t="str">
        <f t="shared" si="42"/>
        <v> No Issue</v>
      </c>
      <c r="L316" s="3" t="str">
        <f t="shared" si="43"/>
        <v>No Issue</v>
      </c>
      <c r="M316" s="3" t="str">
        <f t="shared" si="44"/>
        <v>No Issue</v>
      </c>
      <c r="N316" s="3" t="str">
        <f t="shared" si="45"/>
        <v>No Issue</v>
      </c>
      <c r="O316" s="3" t="str">
        <f t="shared" si="46"/>
        <v>No Issue</v>
      </c>
      <c r="P316" s="3" t="str">
        <f t="shared" si="47"/>
        <v>NoIssue</v>
      </c>
    </row>
    <row r="317" ht="15.75" customHeight="1">
      <c r="A317" s="28">
        <v>18.0</v>
      </c>
      <c r="B317" s="29" t="s">
        <v>39</v>
      </c>
      <c r="C317" s="30">
        <v>80.36</v>
      </c>
      <c r="D317" s="3"/>
      <c r="E317" s="3"/>
      <c r="F317" s="3"/>
      <c r="G317" s="3"/>
      <c r="H317" s="3"/>
      <c r="I317" s="3"/>
      <c r="J317" s="3" t="str">
        <f t="shared" si="41"/>
        <v>0</v>
      </c>
      <c r="K317" s="27" t="str">
        <f t="shared" si="42"/>
        <v> No Issue</v>
      </c>
      <c r="L317" s="3" t="str">
        <f t="shared" si="43"/>
        <v>No Issue</v>
      </c>
      <c r="M317" s="3" t="str">
        <f t="shared" si="44"/>
        <v>No Issue</v>
      </c>
      <c r="N317" s="3" t="str">
        <f t="shared" si="45"/>
        <v>No Issue</v>
      </c>
      <c r="O317" s="3" t="str">
        <f t="shared" si="46"/>
        <v>No Issue</v>
      </c>
      <c r="P317" s="3" t="str">
        <f t="shared" si="47"/>
        <v>NoIssue</v>
      </c>
    </row>
    <row r="318" ht="15.75" customHeight="1">
      <c r="A318" s="28">
        <v>19.0</v>
      </c>
      <c r="B318" s="29" t="s">
        <v>40</v>
      </c>
      <c r="C318" s="30">
        <v>160.56</v>
      </c>
      <c r="D318" s="3"/>
      <c r="E318" s="3"/>
      <c r="F318" s="3"/>
      <c r="G318" s="3"/>
      <c r="H318" s="3"/>
      <c r="I318" s="3"/>
      <c r="J318" s="3" t="str">
        <f t="shared" si="41"/>
        <v>0</v>
      </c>
      <c r="K318" s="27" t="str">
        <f t="shared" si="42"/>
        <v> No Issue</v>
      </c>
      <c r="L318" s="3" t="str">
        <f t="shared" si="43"/>
        <v>No Issue</v>
      </c>
      <c r="M318" s="3" t="str">
        <f t="shared" si="44"/>
        <v>No Issue</v>
      </c>
      <c r="N318" s="3" t="str">
        <f t="shared" si="45"/>
        <v>No Issue</v>
      </c>
      <c r="O318" s="3" t="str">
        <f t="shared" si="46"/>
        <v>No Issue</v>
      </c>
      <c r="P318" s="3" t="str">
        <f t="shared" si="47"/>
        <v>NoIssue</v>
      </c>
    </row>
    <row r="319" ht="15.75" customHeight="1">
      <c r="A319" s="28">
        <v>20.0</v>
      </c>
      <c r="B319" s="29" t="s">
        <v>41</v>
      </c>
      <c r="C319" s="30">
        <v>186.44</v>
      </c>
      <c r="D319" s="3"/>
      <c r="E319" s="3"/>
      <c r="F319" s="3"/>
      <c r="G319" s="3"/>
      <c r="H319" s="3"/>
      <c r="I319" s="3"/>
      <c r="J319" s="3" t="str">
        <f t="shared" si="41"/>
        <v>0</v>
      </c>
      <c r="K319" s="27" t="str">
        <f t="shared" si="42"/>
        <v> No Issue</v>
      </c>
      <c r="L319" s="3" t="str">
        <f t="shared" si="43"/>
        <v>No Issue</v>
      </c>
      <c r="M319" s="3" t="str">
        <f t="shared" si="44"/>
        <v>No Issue</v>
      </c>
      <c r="N319" s="3" t="str">
        <f t="shared" si="45"/>
        <v>No Issue</v>
      </c>
      <c r="O319" s="3" t="str">
        <f t="shared" si="46"/>
        <v>No Issue</v>
      </c>
      <c r="P319" s="3" t="str">
        <f t="shared" si="47"/>
        <v>NoIssue</v>
      </c>
    </row>
    <row r="320" ht="15.75" customHeight="1">
      <c r="A320" s="28">
        <v>21.0</v>
      </c>
      <c r="B320" s="29" t="s">
        <v>42</v>
      </c>
      <c r="C320" s="30">
        <v>92.59</v>
      </c>
      <c r="D320" s="3"/>
      <c r="E320" s="3"/>
      <c r="F320" s="3"/>
      <c r="G320" s="3"/>
      <c r="H320" s="3"/>
      <c r="I320" s="3"/>
      <c r="J320" s="3" t="str">
        <f t="shared" si="41"/>
        <v>0</v>
      </c>
      <c r="K320" s="27" t="str">
        <f t="shared" si="42"/>
        <v> No Issue</v>
      </c>
      <c r="L320" s="3" t="str">
        <f t="shared" si="43"/>
        <v>No Issue</v>
      </c>
      <c r="M320" s="3" t="str">
        <f t="shared" si="44"/>
        <v>No Issue</v>
      </c>
      <c r="N320" s="3" t="str">
        <f t="shared" si="45"/>
        <v>No Issue</v>
      </c>
      <c r="O320" s="3" t="str">
        <f t="shared" si="46"/>
        <v>No Issue</v>
      </c>
      <c r="P320" s="3" t="str">
        <f t="shared" si="47"/>
        <v>NoIssue</v>
      </c>
    </row>
    <row r="321" ht="15.75" customHeight="1">
      <c r="A321" s="28">
        <v>22.0</v>
      </c>
      <c r="B321" s="29" t="s">
        <v>43</v>
      </c>
      <c r="C321" s="30">
        <v>95.17</v>
      </c>
      <c r="D321" s="3"/>
      <c r="E321" s="3"/>
      <c r="F321" s="3"/>
      <c r="G321" s="3"/>
      <c r="H321" s="3"/>
      <c r="I321" s="3"/>
      <c r="J321" s="3" t="str">
        <f t="shared" si="41"/>
        <v>0</v>
      </c>
      <c r="K321" s="27" t="str">
        <f t="shared" si="42"/>
        <v> No Issue</v>
      </c>
      <c r="L321" s="3" t="str">
        <f t="shared" si="43"/>
        <v>No Issue</v>
      </c>
      <c r="M321" s="3" t="str">
        <f t="shared" si="44"/>
        <v>No Issue</v>
      </c>
      <c r="N321" s="3" t="str">
        <f t="shared" si="45"/>
        <v>No Issue</v>
      </c>
      <c r="O321" s="3" t="str">
        <f t="shared" si="46"/>
        <v>No Issue</v>
      </c>
      <c r="P321" s="3" t="str">
        <f t="shared" si="47"/>
        <v>NoIssue</v>
      </c>
    </row>
    <row r="322" ht="15.75" customHeight="1">
      <c r="A322" s="28">
        <v>23.0</v>
      </c>
      <c r="B322" s="29" t="s">
        <v>44</v>
      </c>
      <c r="C322" s="30">
        <v>92.94</v>
      </c>
      <c r="D322" s="3"/>
      <c r="E322" s="3"/>
      <c r="F322" s="3"/>
      <c r="G322" s="3"/>
      <c r="H322" s="3"/>
      <c r="I322" s="3"/>
      <c r="J322" s="3" t="str">
        <f t="shared" si="41"/>
        <v>0</v>
      </c>
      <c r="K322" s="27" t="str">
        <f t="shared" si="42"/>
        <v> No Issue</v>
      </c>
      <c r="L322" s="3" t="str">
        <f t="shared" si="43"/>
        <v>No Issue</v>
      </c>
      <c r="M322" s="3" t="str">
        <f t="shared" si="44"/>
        <v>No Issue</v>
      </c>
      <c r="N322" s="3" t="str">
        <f t="shared" si="45"/>
        <v>No Issue</v>
      </c>
      <c r="O322" s="3" t="str">
        <f t="shared" si="46"/>
        <v>No Issue</v>
      </c>
      <c r="P322" s="3" t="str">
        <f t="shared" si="47"/>
        <v>NoIssue</v>
      </c>
    </row>
    <row r="323" ht="15.75" customHeight="1">
      <c r="A323" s="28">
        <v>24.0</v>
      </c>
      <c r="B323" s="29" t="s">
        <v>45</v>
      </c>
      <c r="C323" s="30">
        <v>101.82</v>
      </c>
      <c r="D323" s="3"/>
      <c r="E323" s="3"/>
      <c r="F323" s="3"/>
      <c r="G323" s="3"/>
      <c r="H323" s="3"/>
      <c r="I323" s="3"/>
      <c r="J323" s="3" t="str">
        <f t="shared" si="41"/>
        <v>0</v>
      </c>
      <c r="K323" s="27" t="str">
        <f t="shared" si="42"/>
        <v> No Issue</v>
      </c>
      <c r="L323" s="3" t="str">
        <f t="shared" si="43"/>
        <v>No Issue</v>
      </c>
      <c r="M323" s="3" t="str">
        <f t="shared" si="44"/>
        <v>No Issue</v>
      </c>
      <c r="N323" s="3" t="str">
        <f t="shared" si="45"/>
        <v>No Issue</v>
      </c>
      <c r="O323" s="3" t="str">
        <f t="shared" si="46"/>
        <v>No Issue</v>
      </c>
      <c r="P323" s="3" t="str">
        <f t="shared" si="47"/>
        <v>NoIssue</v>
      </c>
    </row>
    <row r="324" ht="15.75" customHeight="1">
      <c r="A324" s="28">
        <v>25.0</v>
      </c>
      <c r="B324" s="29" t="s">
        <v>46</v>
      </c>
      <c r="C324" s="30">
        <v>53.49</v>
      </c>
      <c r="D324" s="3"/>
      <c r="E324" s="3"/>
      <c r="F324" s="3"/>
      <c r="G324" s="3"/>
      <c r="H324" s="3"/>
      <c r="I324" s="3"/>
      <c r="J324" s="3" t="str">
        <f t="shared" si="41"/>
        <v>0</v>
      </c>
      <c r="K324" s="27" t="str">
        <f t="shared" si="42"/>
        <v> No Issue</v>
      </c>
      <c r="L324" s="3" t="str">
        <f t="shared" si="43"/>
        <v>No Issue</v>
      </c>
      <c r="M324" s="3" t="str">
        <f t="shared" si="44"/>
        <v>No Issue</v>
      </c>
      <c r="N324" s="3" t="str">
        <f t="shared" si="45"/>
        <v>No Issue</v>
      </c>
      <c r="O324" s="3" t="str">
        <f t="shared" si="46"/>
        <v>No Issue</v>
      </c>
      <c r="P324" s="3" t="str">
        <f t="shared" si="47"/>
        <v>NoIssue</v>
      </c>
    </row>
    <row r="325" ht="15.75" customHeight="1">
      <c r="A325" s="28">
        <v>26.0</v>
      </c>
      <c r="B325" s="29" t="s">
        <v>47</v>
      </c>
      <c r="C325" s="30">
        <v>32.92</v>
      </c>
      <c r="D325" s="3"/>
      <c r="E325" s="3"/>
      <c r="F325" s="3"/>
      <c r="G325" s="3"/>
      <c r="H325" s="3"/>
      <c r="I325" s="3"/>
      <c r="J325" s="3" t="str">
        <f t="shared" si="41"/>
        <v>0</v>
      </c>
      <c r="K325" s="27" t="str">
        <f t="shared" si="42"/>
        <v> No Issue</v>
      </c>
      <c r="L325" s="3" t="str">
        <f t="shared" si="43"/>
        <v>No Issue</v>
      </c>
      <c r="M325" s="3" t="str">
        <f t="shared" si="44"/>
        <v>No Issue</v>
      </c>
      <c r="N325" s="3" t="str">
        <f t="shared" si="45"/>
        <v>No Issue</v>
      </c>
      <c r="O325" s="3" t="str">
        <f t="shared" si="46"/>
        <v>No Issue</v>
      </c>
      <c r="P325" s="3" t="str">
        <f t="shared" si="47"/>
        <v>NoIssue</v>
      </c>
    </row>
    <row r="326" ht="15.75" customHeight="1">
      <c r="A326" s="28">
        <v>27.0</v>
      </c>
      <c r="B326" s="29" t="s">
        <v>48</v>
      </c>
      <c r="C326" s="30">
        <v>116.68</v>
      </c>
      <c r="D326" s="3"/>
      <c r="E326" s="3"/>
      <c r="F326" s="3"/>
      <c r="G326" s="3"/>
      <c r="H326" s="3"/>
      <c r="I326" s="3"/>
      <c r="J326" s="3" t="str">
        <f t="shared" si="41"/>
        <v>0</v>
      </c>
      <c r="K326" s="27" t="str">
        <f t="shared" si="42"/>
        <v> No Issue</v>
      </c>
      <c r="L326" s="3" t="str">
        <f t="shared" si="43"/>
        <v>No Issue</v>
      </c>
      <c r="M326" s="3" t="str">
        <f t="shared" si="44"/>
        <v>No Issue</v>
      </c>
      <c r="N326" s="3" t="str">
        <f t="shared" si="45"/>
        <v>No Issue</v>
      </c>
      <c r="O326" s="3" t="str">
        <f t="shared" si="46"/>
        <v>No Issue</v>
      </c>
      <c r="P326" s="3" t="str">
        <f t="shared" si="47"/>
        <v>NoIssue</v>
      </c>
    </row>
    <row r="327" ht="15.75" customHeight="1">
      <c r="A327" s="28">
        <v>28.0</v>
      </c>
      <c r="B327" s="29" t="s">
        <v>49</v>
      </c>
      <c r="C327" s="30">
        <v>107.96</v>
      </c>
      <c r="D327" s="3"/>
      <c r="E327" s="3"/>
      <c r="F327" s="3"/>
      <c r="G327" s="3"/>
      <c r="H327" s="3"/>
      <c r="I327" s="3"/>
      <c r="J327" s="3" t="str">
        <f t="shared" si="41"/>
        <v>0</v>
      </c>
      <c r="K327" s="27" t="str">
        <f t="shared" si="42"/>
        <v> No Issue</v>
      </c>
      <c r="L327" s="3" t="str">
        <f t="shared" si="43"/>
        <v>No Issue</v>
      </c>
      <c r="M327" s="3" t="str">
        <f t="shared" si="44"/>
        <v>No Issue</v>
      </c>
      <c r="N327" s="3" t="str">
        <f t="shared" si="45"/>
        <v>No Issue</v>
      </c>
      <c r="O327" s="3" t="str">
        <f t="shared" si="46"/>
        <v>No Issue</v>
      </c>
      <c r="P327" s="3" t="str">
        <f t="shared" si="47"/>
        <v>NoIssue</v>
      </c>
    </row>
    <row r="328" ht="15.75" customHeight="1">
      <c r="A328" s="28">
        <v>29.0</v>
      </c>
      <c r="B328" s="29" t="s">
        <v>50</v>
      </c>
      <c r="C328" s="30">
        <v>248.89</v>
      </c>
      <c r="D328" s="3"/>
      <c r="E328" s="3"/>
      <c r="F328" s="3"/>
      <c r="G328" s="3"/>
      <c r="H328" s="3"/>
      <c r="I328" s="3"/>
      <c r="J328" s="3" t="str">
        <f t="shared" si="41"/>
        <v>0</v>
      </c>
      <c r="K328" s="27" t="str">
        <f t="shared" si="42"/>
        <v> No Issue</v>
      </c>
      <c r="L328" s="3" t="str">
        <f t="shared" si="43"/>
        <v>No Issue</v>
      </c>
      <c r="M328" s="3" t="str">
        <f t="shared" si="44"/>
        <v>No Issue</v>
      </c>
      <c r="N328" s="3" t="str">
        <f t="shared" si="45"/>
        <v>No Issue</v>
      </c>
      <c r="O328" s="3" t="str">
        <f t="shared" si="46"/>
        <v>No Issue</v>
      </c>
      <c r="P328" s="3" t="str">
        <f t="shared" si="47"/>
        <v>NoIssue</v>
      </c>
    </row>
    <row r="329" ht="15.75" customHeight="1">
      <c r="A329" s="28">
        <v>30.0</v>
      </c>
      <c r="B329" s="29" t="s">
        <v>51</v>
      </c>
      <c r="C329" s="30">
        <v>80.36</v>
      </c>
      <c r="D329" s="3"/>
      <c r="E329" s="3"/>
      <c r="F329" s="27"/>
      <c r="G329" s="27"/>
      <c r="H329" s="27"/>
      <c r="I329" s="3"/>
      <c r="J329" s="3" t="str">
        <f t="shared" si="41"/>
        <v>0</v>
      </c>
      <c r="K329" s="27" t="str">
        <f t="shared" si="42"/>
        <v> No Issue</v>
      </c>
      <c r="L329" s="3" t="str">
        <f t="shared" si="43"/>
        <v>No Issue</v>
      </c>
      <c r="M329" s="3" t="str">
        <f t="shared" si="44"/>
        <v>No Issue</v>
      </c>
      <c r="N329" s="3" t="str">
        <f t="shared" si="45"/>
        <v>No Issue</v>
      </c>
      <c r="O329" s="3" t="str">
        <f t="shared" si="46"/>
        <v>No Issue</v>
      </c>
      <c r="P329" s="3" t="str">
        <f t="shared" si="47"/>
        <v>NoIssue</v>
      </c>
    </row>
    <row r="330" ht="15.75" customHeight="1">
      <c r="A330" s="28">
        <v>31.0</v>
      </c>
      <c r="B330" s="29" t="s">
        <v>52</v>
      </c>
      <c r="C330" s="30">
        <v>52.46</v>
      </c>
      <c r="D330" s="3"/>
      <c r="E330" s="3"/>
      <c r="F330" s="27"/>
      <c r="G330" s="27"/>
      <c r="H330" s="27"/>
      <c r="I330" s="3"/>
      <c r="J330" s="3" t="str">
        <f t="shared" si="41"/>
        <v>0</v>
      </c>
      <c r="K330" s="27" t="str">
        <f t="shared" si="42"/>
        <v> No Issue</v>
      </c>
      <c r="L330" s="3" t="str">
        <f t="shared" si="43"/>
        <v>No Issue</v>
      </c>
      <c r="M330" s="3" t="str">
        <f t="shared" si="44"/>
        <v>No Issue</v>
      </c>
      <c r="N330" s="3" t="str">
        <f t="shared" si="45"/>
        <v>No Issue</v>
      </c>
      <c r="O330" s="3" t="str">
        <f t="shared" si="46"/>
        <v>No Issue</v>
      </c>
      <c r="P330" s="3" t="str">
        <f t="shared" si="47"/>
        <v>NoIssue</v>
      </c>
    </row>
    <row r="331" ht="15.75" customHeight="1">
      <c r="A331" s="28">
        <v>32.0</v>
      </c>
      <c r="B331" s="29" t="s">
        <v>53</v>
      </c>
      <c r="C331" s="30">
        <v>71.21</v>
      </c>
      <c r="D331" s="3"/>
      <c r="E331" s="3"/>
      <c r="F331" s="27"/>
      <c r="G331" s="27"/>
      <c r="H331" s="27"/>
      <c r="I331" s="3"/>
      <c r="J331" s="3" t="str">
        <f t="shared" si="41"/>
        <v>0</v>
      </c>
      <c r="K331" s="27" t="str">
        <f t="shared" si="42"/>
        <v> No Issue</v>
      </c>
      <c r="L331" s="3" t="str">
        <f t="shared" si="43"/>
        <v>No Issue</v>
      </c>
      <c r="M331" s="3" t="str">
        <f t="shared" si="44"/>
        <v>No Issue</v>
      </c>
      <c r="N331" s="3" t="str">
        <f t="shared" si="45"/>
        <v>No Issue</v>
      </c>
      <c r="O331" s="3" t="str">
        <f t="shared" si="46"/>
        <v>No Issue</v>
      </c>
      <c r="P331" s="3" t="str">
        <f t="shared" si="47"/>
        <v>NoIssue</v>
      </c>
    </row>
    <row r="332" ht="15.75" customHeight="1">
      <c r="A332" s="28">
        <v>33.0</v>
      </c>
      <c r="B332" s="29" t="s">
        <v>54</v>
      </c>
      <c r="C332" s="30">
        <v>80.35</v>
      </c>
      <c r="D332" s="3"/>
      <c r="E332" s="3"/>
      <c r="F332" s="27"/>
      <c r="G332" s="27"/>
      <c r="H332" s="27"/>
      <c r="I332" s="3"/>
      <c r="J332" s="3" t="str">
        <f t="shared" si="41"/>
        <v>0</v>
      </c>
      <c r="K332" s="27" t="str">
        <f t="shared" si="42"/>
        <v> No Issue</v>
      </c>
      <c r="L332" s="3" t="str">
        <f t="shared" si="43"/>
        <v>No Issue</v>
      </c>
      <c r="M332" s="3" t="str">
        <f t="shared" si="44"/>
        <v>No Issue</v>
      </c>
      <c r="N332" s="3" t="str">
        <f t="shared" si="45"/>
        <v>No Issue</v>
      </c>
      <c r="O332" s="3" t="str">
        <f t="shared" si="46"/>
        <v>No Issue</v>
      </c>
      <c r="P332" s="3" t="str">
        <f t="shared" si="47"/>
        <v>NoIssue</v>
      </c>
    </row>
    <row r="333" ht="15.75" customHeight="1">
      <c r="A333" s="28">
        <v>34.0</v>
      </c>
      <c r="B333" s="29" t="s">
        <v>55</v>
      </c>
      <c r="C333" s="30">
        <v>64.18</v>
      </c>
      <c r="D333" s="3"/>
      <c r="E333" s="3"/>
      <c r="F333" s="27"/>
      <c r="G333" s="27"/>
      <c r="H333" s="27"/>
      <c r="I333" s="3"/>
      <c r="J333" s="3" t="str">
        <f t="shared" si="41"/>
        <v>0</v>
      </c>
      <c r="K333" s="27" t="str">
        <f t="shared" si="42"/>
        <v> No Issue</v>
      </c>
      <c r="L333" s="3" t="str">
        <f t="shared" si="43"/>
        <v>No Issue</v>
      </c>
      <c r="M333" s="3" t="str">
        <f t="shared" si="44"/>
        <v>No Issue</v>
      </c>
      <c r="N333" s="3" t="str">
        <f t="shared" si="45"/>
        <v>No Issue</v>
      </c>
      <c r="O333" s="3" t="str">
        <f t="shared" si="46"/>
        <v>No Issue</v>
      </c>
      <c r="P333" s="3" t="str">
        <f t="shared" si="47"/>
        <v>NoIssue</v>
      </c>
    </row>
    <row r="334" ht="15.75" customHeight="1">
      <c r="A334" s="28">
        <v>35.0</v>
      </c>
      <c r="B334" s="29" t="s">
        <v>56</v>
      </c>
      <c r="C334" s="30">
        <v>36.9</v>
      </c>
      <c r="D334" s="3"/>
      <c r="E334" s="3"/>
      <c r="F334" s="27"/>
      <c r="G334" s="27"/>
      <c r="H334" s="27"/>
      <c r="I334" s="3"/>
      <c r="J334" s="3" t="str">
        <f t="shared" si="41"/>
        <v>0</v>
      </c>
      <c r="K334" s="27" t="str">
        <f t="shared" si="42"/>
        <v> No Issue</v>
      </c>
      <c r="L334" s="3" t="str">
        <f t="shared" si="43"/>
        <v>No Issue</v>
      </c>
      <c r="M334" s="3" t="str">
        <f t="shared" si="44"/>
        <v>No Issue</v>
      </c>
      <c r="N334" s="3" t="str">
        <f t="shared" si="45"/>
        <v>No Issue</v>
      </c>
      <c r="O334" s="3" t="str">
        <f t="shared" si="46"/>
        <v>No Issue</v>
      </c>
      <c r="P334" s="3" t="str">
        <f t="shared" si="47"/>
        <v>NoIssue</v>
      </c>
    </row>
    <row r="335" ht="15.75" customHeight="1">
      <c r="A335" s="28">
        <v>36.0</v>
      </c>
      <c r="B335" s="29" t="s">
        <v>57</v>
      </c>
      <c r="C335" s="30">
        <v>101.54</v>
      </c>
      <c r="D335" s="3"/>
      <c r="E335" s="3"/>
      <c r="F335" s="27"/>
      <c r="G335" s="27"/>
      <c r="H335" s="27"/>
      <c r="I335" s="3"/>
      <c r="J335" s="3" t="str">
        <f t="shared" si="41"/>
        <v>0</v>
      </c>
      <c r="K335" s="27" t="str">
        <f t="shared" si="42"/>
        <v> No Issue</v>
      </c>
      <c r="L335" s="3" t="str">
        <f t="shared" si="43"/>
        <v>No Issue</v>
      </c>
      <c r="M335" s="3" t="str">
        <f t="shared" si="44"/>
        <v>No Issue</v>
      </c>
      <c r="N335" s="3" t="str">
        <f t="shared" si="45"/>
        <v>No Issue</v>
      </c>
      <c r="O335" s="3" t="str">
        <f t="shared" si="46"/>
        <v>No Issue</v>
      </c>
      <c r="P335" s="3" t="str">
        <f t="shared" si="47"/>
        <v>NoIssue</v>
      </c>
    </row>
    <row r="336" ht="15.75" customHeight="1">
      <c r="A336" s="28">
        <v>37.0</v>
      </c>
      <c r="B336" s="29" t="s">
        <v>58</v>
      </c>
      <c r="C336" s="30">
        <v>40.5</v>
      </c>
      <c r="D336" s="3"/>
      <c r="E336" s="3"/>
      <c r="F336" s="27"/>
      <c r="G336" s="27"/>
      <c r="H336" s="27"/>
      <c r="I336" s="3"/>
      <c r="J336" s="3" t="str">
        <f t="shared" si="41"/>
        <v>0</v>
      </c>
      <c r="K336" s="27" t="str">
        <f t="shared" si="42"/>
        <v> No Issue</v>
      </c>
      <c r="L336" s="3" t="str">
        <f t="shared" si="43"/>
        <v>No Issue</v>
      </c>
      <c r="M336" s="3" t="str">
        <f t="shared" si="44"/>
        <v>No Issue</v>
      </c>
      <c r="N336" s="3" t="str">
        <f t="shared" si="45"/>
        <v>No Issue</v>
      </c>
      <c r="O336" s="3" t="str">
        <f t="shared" si="46"/>
        <v>No Issue</v>
      </c>
      <c r="P336" s="3" t="str">
        <f t="shared" si="47"/>
        <v>NoIssue</v>
      </c>
    </row>
    <row r="337" ht="15.75" customHeight="1">
      <c r="A337" s="28">
        <v>38.0</v>
      </c>
      <c r="B337" s="29" t="s">
        <v>59</v>
      </c>
      <c r="C337" s="30">
        <v>66.69</v>
      </c>
      <c r="D337" s="3"/>
      <c r="E337" s="3"/>
      <c r="F337" s="27"/>
      <c r="G337" s="27"/>
      <c r="H337" s="27"/>
      <c r="I337" s="3"/>
      <c r="J337" s="3" t="str">
        <f t="shared" si="41"/>
        <v>0</v>
      </c>
      <c r="K337" s="27" t="str">
        <f t="shared" si="42"/>
        <v> No Issue</v>
      </c>
      <c r="L337" s="3" t="str">
        <f t="shared" si="43"/>
        <v>No Issue</v>
      </c>
      <c r="M337" s="3" t="str">
        <f t="shared" si="44"/>
        <v>No Issue</v>
      </c>
      <c r="N337" s="3" t="str">
        <f t="shared" si="45"/>
        <v>No Issue</v>
      </c>
      <c r="O337" s="3" t="str">
        <f t="shared" si="46"/>
        <v>No Issue</v>
      </c>
      <c r="P337" s="3" t="str">
        <f t="shared" si="47"/>
        <v>NoIssue</v>
      </c>
    </row>
    <row r="338" ht="15.75" customHeight="1">
      <c r="A338" s="28">
        <v>39.0</v>
      </c>
      <c r="B338" s="29" t="s">
        <v>60</v>
      </c>
      <c r="C338" s="29">
        <v>150.85999999999999</v>
      </c>
      <c r="D338" s="3"/>
      <c r="E338" s="3"/>
      <c r="F338" s="27"/>
      <c r="G338" s="27"/>
      <c r="H338" s="27"/>
      <c r="I338" s="3"/>
      <c r="J338" s="3" t="str">
        <f t="shared" si="41"/>
        <v>0</v>
      </c>
      <c r="K338" s="27" t="str">
        <f t="shared" si="42"/>
        <v> No Issue</v>
      </c>
      <c r="L338" s="3" t="str">
        <f t="shared" si="43"/>
        <v>No Issue</v>
      </c>
      <c r="M338" s="3" t="str">
        <f t="shared" si="44"/>
        <v>No Issue</v>
      </c>
      <c r="N338" s="3" t="str">
        <f t="shared" si="45"/>
        <v>No Issue</v>
      </c>
      <c r="O338" s="3" t="str">
        <f t="shared" si="46"/>
        <v>No Issue</v>
      </c>
      <c r="P338" s="3" t="str">
        <f t="shared" si="47"/>
        <v>NoIssue</v>
      </c>
    </row>
    <row r="339" ht="15.75" customHeight="1">
      <c r="A339" s="28">
        <v>40.0</v>
      </c>
      <c r="B339" s="33" t="s">
        <v>61</v>
      </c>
      <c r="C339" s="30">
        <v>180.0</v>
      </c>
      <c r="D339" s="3"/>
      <c r="E339" s="3"/>
      <c r="F339" s="27"/>
      <c r="G339" s="27"/>
      <c r="H339" s="27"/>
      <c r="I339" s="3"/>
      <c r="J339" s="3" t="str">
        <f t="shared" si="41"/>
        <v>0</v>
      </c>
      <c r="K339" s="27" t="str">
        <f t="shared" si="42"/>
        <v> No Issue</v>
      </c>
      <c r="L339" s="3" t="str">
        <f t="shared" si="43"/>
        <v>No Issue</v>
      </c>
      <c r="M339" s="3" t="str">
        <f t="shared" si="44"/>
        <v>No Issue</v>
      </c>
      <c r="N339" s="3" t="str">
        <f t="shared" si="45"/>
        <v>No Issue</v>
      </c>
      <c r="O339" s="3" t="str">
        <f t="shared" si="46"/>
        <v>No Issue</v>
      </c>
      <c r="P339" s="3" t="str">
        <f t="shared" si="47"/>
        <v>NoIssue</v>
      </c>
    </row>
    <row r="340" ht="15.75" customHeight="1">
      <c r="A340" s="28">
        <v>41.0</v>
      </c>
      <c r="B340" s="33" t="s">
        <v>62</v>
      </c>
      <c r="C340" s="29">
        <v>128.57</v>
      </c>
      <c r="D340" s="3"/>
      <c r="E340" s="3"/>
      <c r="F340" s="27"/>
      <c r="G340" s="27"/>
      <c r="H340" s="27"/>
      <c r="I340" s="3"/>
      <c r="J340" s="3" t="str">
        <f t="shared" si="41"/>
        <v>0</v>
      </c>
      <c r="K340" s="27" t="str">
        <f t="shared" si="42"/>
        <v> No Issue</v>
      </c>
      <c r="L340" s="3" t="str">
        <f t="shared" si="43"/>
        <v>No Issue</v>
      </c>
      <c r="M340" s="3" t="str">
        <f t="shared" si="44"/>
        <v>No Issue</v>
      </c>
      <c r="N340" s="3" t="str">
        <f t="shared" si="45"/>
        <v>No Issue</v>
      </c>
      <c r="O340" s="3" t="str">
        <f t="shared" si="46"/>
        <v>No Issue</v>
      </c>
      <c r="P340" s="3" t="str">
        <f t="shared" si="47"/>
        <v>NoIssue</v>
      </c>
    </row>
    <row r="341" ht="15.75" customHeight="1">
      <c r="A341" s="28">
        <v>42.0</v>
      </c>
      <c r="B341" s="29"/>
      <c r="C341" s="29"/>
      <c r="D341" s="3"/>
      <c r="E341" s="3"/>
      <c r="F341" s="27"/>
      <c r="G341" s="27"/>
      <c r="H341" s="27"/>
      <c r="I341" s="3"/>
      <c r="J341" s="3" t="str">
        <f t="shared" si="41"/>
        <v>0</v>
      </c>
      <c r="K341" s="27" t="str">
        <f t="shared" si="42"/>
        <v> No Issue</v>
      </c>
      <c r="L341" s="3" t="str">
        <f t="shared" si="43"/>
        <v>No Issue</v>
      </c>
      <c r="M341" s="3" t="str">
        <f t="shared" si="44"/>
        <v>No Issue</v>
      </c>
      <c r="N341" s="3" t="str">
        <f t="shared" si="45"/>
        <v>No Issue</v>
      </c>
      <c r="O341" s="3" t="str">
        <f t="shared" si="46"/>
        <v>No Issue</v>
      </c>
      <c r="P341" s="3" t="str">
        <f t="shared" si="47"/>
        <v>NoIssue</v>
      </c>
    </row>
    <row r="342" ht="15.75" customHeight="1">
      <c r="A342" s="28">
        <v>43.0</v>
      </c>
      <c r="B342" s="34"/>
      <c r="C342" s="34"/>
      <c r="D342" s="3"/>
      <c r="E342" s="3"/>
      <c r="F342" s="27"/>
      <c r="G342" s="27"/>
      <c r="H342" s="27"/>
      <c r="I342" s="3"/>
      <c r="J342" s="3" t="str">
        <f t="shared" si="41"/>
        <v>0</v>
      </c>
      <c r="K342" s="27" t="str">
        <f t="shared" si="42"/>
        <v> No Issue</v>
      </c>
      <c r="L342" s="3" t="str">
        <f t="shared" si="43"/>
        <v>No Issue</v>
      </c>
      <c r="M342" s="3" t="str">
        <f t="shared" si="44"/>
        <v>No Issue</v>
      </c>
      <c r="N342" s="3" t="str">
        <f t="shared" si="45"/>
        <v>No Issue</v>
      </c>
      <c r="O342" s="3" t="str">
        <f t="shared" si="46"/>
        <v>No Issue</v>
      </c>
      <c r="P342" s="3" t="str">
        <f t="shared" si="47"/>
        <v>NoIssue</v>
      </c>
    </row>
    <row r="343" ht="15.75" customHeight="1">
      <c r="A343" s="28">
        <v>44.0</v>
      </c>
      <c r="B343" s="34"/>
      <c r="C343" s="34"/>
      <c r="D343" s="3"/>
      <c r="E343" s="3"/>
      <c r="F343" s="27"/>
      <c r="G343" s="27"/>
      <c r="H343" s="27"/>
      <c r="I343" s="3"/>
      <c r="J343" s="3" t="str">
        <f t="shared" si="41"/>
        <v>0</v>
      </c>
      <c r="K343" s="27" t="str">
        <f t="shared" si="42"/>
        <v> No Issue</v>
      </c>
      <c r="L343" s="3" t="str">
        <f t="shared" si="43"/>
        <v>No Issue</v>
      </c>
      <c r="M343" s="3" t="str">
        <f t="shared" si="44"/>
        <v>No Issue</v>
      </c>
      <c r="N343" s="3" t="str">
        <f t="shared" si="45"/>
        <v>No Issue</v>
      </c>
      <c r="O343" s="3" t="str">
        <f t="shared" si="46"/>
        <v>No Issue</v>
      </c>
      <c r="P343" s="3" t="str">
        <f t="shared" si="47"/>
        <v>NoIssue</v>
      </c>
    </row>
    <row r="344" ht="15.75" customHeight="1">
      <c r="A344" s="28">
        <v>45.0</v>
      </c>
      <c r="B344" s="34"/>
      <c r="C344" s="34"/>
      <c r="D344" s="3"/>
      <c r="E344" s="3"/>
      <c r="F344" s="27"/>
      <c r="G344" s="27"/>
      <c r="H344" s="27"/>
      <c r="I344" s="3"/>
      <c r="J344" s="3" t="str">
        <f t="shared" si="41"/>
        <v>0</v>
      </c>
      <c r="K344" s="27" t="str">
        <f t="shared" si="42"/>
        <v> No Issue</v>
      </c>
      <c r="L344" s="3" t="str">
        <f t="shared" si="43"/>
        <v>No Issue</v>
      </c>
      <c r="M344" s="3" t="str">
        <f t="shared" si="44"/>
        <v>No Issue</v>
      </c>
      <c r="N344" s="3" t="str">
        <f t="shared" si="45"/>
        <v>No Issue</v>
      </c>
      <c r="O344" s="3" t="str">
        <f t="shared" si="46"/>
        <v>No Issue</v>
      </c>
      <c r="P344" s="3" t="str">
        <f t="shared" si="47"/>
        <v>NoIssue</v>
      </c>
    </row>
    <row r="345" ht="15.75" customHeight="1">
      <c r="A345" s="28">
        <v>46.0</v>
      </c>
      <c r="B345" s="34"/>
      <c r="C345" s="34"/>
      <c r="D345" s="3"/>
      <c r="E345" s="3"/>
      <c r="F345" s="27"/>
      <c r="G345" s="27"/>
      <c r="H345" s="27"/>
      <c r="I345" s="3"/>
      <c r="J345" s="3" t="str">
        <f t="shared" si="41"/>
        <v>0</v>
      </c>
      <c r="K345" s="27" t="str">
        <f t="shared" si="42"/>
        <v> No Issue</v>
      </c>
      <c r="L345" s="3" t="str">
        <f t="shared" si="43"/>
        <v>No Issue</v>
      </c>
      <c r="M345" s="3" t="str">
        <f t="shared" si="44"/>
        <v>No Issue</v>
      </c>
      <c r="N345" s="3" t="str">
        <f t="shared" si="45"/>
        <v>No Issue</v>
      </c>
      <c r="O345" s="3" t="str">
        <f t="shared" si="46"/>
        <v>No Issue</v>
      </c>
      <c r="P345" s="3" t="str">
        <f t="shared" si="47"/>
        <v>NoIssue</v>
      </c>
    </row>
    <row r="346" ht="15.75" customHeight="1">
      <c r="A346" s="28">
        <v>47.0</v>
      </c>
      <c r="B346" s="35"/>
      <c r="C346" s="36"/>
      <c r="D346" s="3"/>
      <c r="E346" s="3"/>
      <c r="F346" s="27"/>
      <c r="G346" s="27"/>
      <c r="H346" s="27"/>
      <c r="I346" s="3"/>
      <c r="J346" s="3" t="str">
        <f t="shared" si="41"/>
        <v>0</v>
      </c>
      <c r="K346" s="27" t="str">
        <f t="shared" si="42"/>
        <v> No Issue</v>
      </c>
      <c r="L346" s="3" t="str">
        <f t="shared" si="43"/>
        <v>No Issue</v>
      </c>
      <c r="M346" s="3" t="str">
        <f t="shared" si="44"/>
        <v>No Issue</v>
      </c>
      <c r="N346" s="3" t="str">
        <f t="shared" si="45"/>
        <v>No Issue</v>
      </c>
      <c r="O346" s="3" t="str">
        <f t="shared" si="46"/>
        <v>No Issue</v>
      </c>
      <c r="P346" s="3" t="str">
        <f t="shared" si="47"/>
        <v>NoIssue</v>
      </c>
    </row>
    <row r="347" ht="15.75" customHeight="1">
      <c r="A347" s="28">
        <v>48.0</v>
      </c>
      <c r="B347" s="35"/>
      <c r="C347" s="36"/>
      <c r="D347" s="3"/>
      <c r="E347" s="3"/>
      <c r="F347" s="27"/>
      <c r="G347" s="27"/>
      <c r="H347" s="27"/>
      <c r="I347" s="3"/>
      <c r="J347" s="3" t="str">
        <f t="shared" si="41"/>
        <v>0</v>
      </c>
      <c r="K347" s="27" t="str">
        <f t="shared" si="42"/>
        <v> No Issue</v>
      </c>
      <c r="L347" s="3" t="str">
        <f t="shared" si="43"/>
        <v>No Issue</v>
      </c>
      <c r="M347" s="3" t="str">
        <f t="shared" si="44"/>
        <v>No Issue</v>
      </c>
      <c r="N347" s="3" t="str">
        <f t="shared" si="45"/>
        <v>No Issue</v>
      </c>
      <c r="O347" s="3" t="str">
        <f t="shared" si="46"/>
        <v>No Issue</v>
      </c>
      <c r="P347" s="3" t="str">
        <f t="shared" si="47"/>
        <v>NoIssue</v>
      </c>
    </row>
    <row r="348" ht="15.75" customHeight="1">
      <c r="A348" s="28">
        <v>49.0</v>
      </c>
      <c r="B348" s="35"/>
      <c r="C348" s="36"/>
      <c r="D348" s="3"/>
      <c r="E348" s="3"/>
      <c r="F348" s="27"/>
      <c r="G348" s="27"/>
      <c r="H348" s="27"/>
      <c r="I348" s="3"/>
      <c r="J348" s="3" t="str">
        <f t="shared" si="41"/>
        <v>0</v>
      </c>
      <c r="K348" s="27" t="str">
        <f t="shared" si="42"/>
        <v> No Issue</v>
      </c>
      <c r="L348" s="3" t="str">
        <f t="shared" si="43"/>
        <v>No Issue</v>
      </c>
      <c r="M348" s="3" t="str">
        <f t="shared" si="44"/>
        <v>No Issue</v>
      </c>
      <c r="N348" s="3" t="str">
        <f t="shared" si="45"/>
        <v>No Issue</v>
      </c>
      <c r="O348" s="3" t="str">
        <f t="shared" si="46"/>
        <v>No Issue</v>
      </c>
      <c r="P348" s="3" t="str">
        <f t="shared" si="47"/>
        <v>NoIssue</v>
      </c>
    </row>
    <row r="349" ht="15.75" customHeight="1">
      <c r="A349" s="28">
        <v>50.0</v>
      </c>
      <c r="B349" s="35"/>
      <c r="C349" s="36"/>
      <c r="D349" s="3"/>
      <c r="E349" s="3"/>
      <c r="F349" s="27"/>
      <c r="G349" s="27"/>
      <c r="H349" s="27"/>
      <c r="I349" s="3"/>
      <c r="J349" s="3" t="str">
        <f t="shared" si="41"/>
        <v>0</v>
      </c>
      <c r="K349" s="27" t="str">
        <f t="shared" si="42"/>
        <v> No Issue</v>
      </c>
      <c r="L349" s="3" t="str">
        <f t="shared" si="43"/>
        <v>No Issue</v>
      </c>
      <c r="M349" s="3" t="str">
        <f t="shared" si="44"/>
        <v>No Issue</v>
      </c>
      <c r="N349" s="3" t="str">
        <f t="shared" si="45"/>
        <v>No Issue</v>
      </c>
      <c r="O349" s="3" t="str">
        <f t="shared" si="46"/>
        <v>No Issue</v>
      </c>
      <c r="P349" s="3" t="str">
        <f t="shared" si="47"/>
        <v>NoIssue</v>
      </c>
    </row>
    <row r="350" ht="15.75" customHeight="1">
      <c r="A350" s="28">
        <v>51.0</v>
      </c>
      <c r="B350" s="35"/>
      <c r="C350" s="36"/>
      <c r="D350" s="3"/>
      <c r="E350" s="3"/>
      <c r="F350" s="27"/>
      <c r="G350" s="27"/>
      <c r="H350" s="27"/>
      <c r="I350" s="3"/>
      <c r="J350" s="3" t="str">
        <f t="shared" si="41"/>
        <v>0</v>
      </c>
      <c r="K350" s="27" t="str">
        <f t="shared" si="42"/>
        <v> No Issue</v>
      </c>
      <c r="L350" s="3" t="str">
        <f t="shared" si="43"/>
        <v>No Issue</v>
      </c>
      <c r="M350" s="3" t="str">
        <f t="shared" si="44"/>
        <v>No Issue</v>
      </c>
      <c r="N350" s="3" t="str">
        <f t="shared" si="45"/>
        <v>No Issue</v>
      </c>
      <c r="O350" s="3" t="str">
        <f t="shared" si="46"/>
        <v>No Issue</v>
      </c>
      <c r="P350" s="3" t="str">
        <f t="shared" si="47"/>
        <v>NoIssue</v>
      </c>
    </row>
    <row r="351" ht="15.75" customHeight="1">
      <c r="A351" s="28">
        <v>52.0</v>
      </c>
      <c r="B351" s="35"/>
      <c r="C351" s="36"/>
      <c r="D351" s="3"/>
      <c r="E351" s="3"/>
      <c r="F351" s="27"/>
      <c r="G351" s="27"/>
      <c r="H351" s="27"/>
      <c r="I351" s="3"/>
      <c r="J351" s="3" t="str">
        <f t="shared" si="41"/>
        <v>0</v>
      </c>
      <c r="K351" s="27" t="str">
        <f t="shared" si="42"/>
        <v> No Issue</v>
      </c>
      <c r="L351" s="3" t="str">
        <f t="shared" si="43"/>
        <v>No Issue</v>
      </c>
      <c r="M351" s="3" t="str">
        <f t="shared" si="44"/>
        <v>No Issue</v>
      </c>
      <c r="N351" s="3" t="str">
        <f t="shared" si="45"/>
        <v>No Issue</v>
      </c>
      <c r="O351" s="3" t="str">
        <f t="shared" si="46"/>
        <v>No Issue</v>
      </c>
      <c r="P351" s="3" t="str">
        <f t="shared" si="47"/>
        <v>NoIssue</v>
      </c>
    </row>
    <row r="352" ht="15.75" customHeight="1">
      <c r="A352" s="28">
        <v>53.0</v>
      </c>
      <c r="B352" s="35"/>
      <c r="C352" s="36"/>
      <c r="D352" s="3"/>
      <c r="E352" s="3"/>
      <c r="F352" s="27"/>
      <c r="G352" s="27"/>
      <c r="H352" s="27"/>
      <c r="I352" s="3"/>
      <c r="J352" s="3" t="str">
        <f t="shared" si="41"/>
        <v>0</v>
      </c>
      <c r="K352" s="27" t="str">
        <f t="shared" si="42"/>
        <v> No Issue</v>
      </c>
      <c r="L352" s="3" t="str">
        <f t="shared" si="43"/>
        <v>No Issue</v>
      </c>
      <c r="M352" s="3" t="str">
        <f t="shared" si="44"/>
        <v>No Issue</v>
      </c>
      <c r="N352" s="3" t="str">
        <f t="shared" si="45"/>
        <v>No Issue</v>
      </c>
      <c r="O352" s="3" t="str">
        <f t="shared" si="46"/>
        <v>No Issue</v>
      </c>
      <c r="P352" s="3" t="str">
        <f t="shared" si="47"/>
        <v>NoIssue</v>
      </c>
    </row>
    <row r="353" ht="15.75" customHeight="1">
      <c r="A353" s="28">
        <v>54.0</v>
      </c>
      <c r="B353" s="34"/>
      <c r="C353" s="34"/>
      <c r="D353" s="3"/>
      <c r="E353" s="3"/>
      <c r="F353" s="27"/>
      <c r="G353" s="27"/>
      <c r="H353" s="27"/>
      <c r="I353" s="3"/>
      <c r="J353" s="3" t="str">
        <f t="shared" si="41"/>
        <v>0</v>
      </c>
      <c r="K353" s="27" t="str">
        <f t="shared" si="42"/>
        <v> No Issue</v>
      </c>
      <c r="L353" s="3" t="str">
        <f t="shared" si="43"/>
        <v>No Issue</v>
      </c>
      <c r="M353" s="3" t="str">
        <f t="shared" si="44"/>
        <v>No Issue</v>
      </c>
      <c r="N353" s="3" t="str">
        <f t="shared" si="45"/>
        <v>No Issue</v>
      </c>
      <c r="O353" s="3" t="str">
        <f t="shared" si="46"/>
        <v>No Issue</v>
      </c>
      <c r="P353" s="3" t="str">
        <f t="shared" si="47"/>
        <v>NoIssue</v>
      </c>
    </row>
    <row r="354" ht="15.75" customHeight="1">
      <c r="A354" s="28">
        <v>55.0</v>
      </c>
      <c r="B354" s="35"/>
      <c r="C354" s="36"/>
      <c r="D354" s="3"/>
      <c r="E354" s="3"/>
      <c r="F354" s="27"/>
      <c r="G354" s="27"/>
      <c r="H354" s="27"/>
      <c r="I354" s="3"/>
      <c r="J354" s="3" t="str">
        <f t="shared" si="41"/>
        <v>0</v>
      </c>
      <c r="K354" s="27" t="str">
        <f t="shared" si="42"/>
        <v> No Issue</v>
      </c>
      <c r="L354" s="3" t="str">
        <f t="shared" si="43"/>
        <v>No Issue</v>
      </c>
      <c r="M354" s="3" t="str">
        <f t="shared" si="44"/>
        <v>No Issue</v>
      </c>
      <c r="N354" s="3" t="str">
        <f t="shared" si="45"/>
        <v>No Issue</v>
      </c>
      <c r="O354" s="3" t="str">
        <f t="shared" si="46"/>
        <v>No Issue</v>
      </c>
      <c r="P354" s="3" t="str">
        <f t="shared" si="47"/>
        <v>NoIssue</v>
      </c>
    </row>
    <row r="355" ht="15.75" customHeight="1">
      <c r="A355" s="28">
        <v>56.0</v>
      </c>
      <c r="B355" s="35"/>
      <c r="C355" s="36"/>
      <c r="D355" s="3"/>
      <c r="E355" s="3"/>
      <c r="F355" s="27"/>
      <c r="G355" s="27"/>
      <c r="H355" s="27"/>
      <c r="I355" s="3"/>
      <c r="J355" s="3" t="str">
        <f t="shared" si="41"/>
        <v>0</v>
      </c>
      <c r="K355" s="27" t="str">
        <f t="shared" si="42"/>
        <v> No Issue</v>
      </c>
      <c r="L355" s="3" t="str">
        <f t="shared" si="43"/>
        <v>No Issue</v>
      </c>
      <c r="M355" s="3" t="str">
        <f t="shared" si="44"/>
        <v>No Issue</v>
      </c>
      <c r="N355" s="3" t="str">
        <f t="shared" si="45"/>
        <v>No Issue</v>
      </c>
      <c r="O355" s="3" t="str">
        <f t="shared" si="46"/>
        <v>No Issue</v>
      </c>
      <c r="P355" s="3" t="str">
        <f t="shared" si="47"/>
        <v>NoIssue</v>
      </c>
    </row>
    <row r="356" ht="15.75" customHeight="1">
      <c r="A356" s="28"/>
      <c r="B356" s="3" t="s">
        <v>64</v>
      </c>
      <c r="C356" s="35"/>
      <c r="D356" s="3" t="str">
        <f t="shared" ref="D356:I356" si="48">SUMPRODUCT(D300:D355,$C300:$C355)</f>
        <v>0</v>
      </c>
      <c r="E356" s="3" t="str">
        <f t="shared" si="48"/>
        <v>0</v>
      </c>
      <c r="F356" s="3" t="str">
        <f t="shared" si="48"/>
        <v>0</v>
      </c>
      <c r="G356" s="3" t="str">
        <f t="shared" si="48"/>
        <v>0</v>
      </c>
      <c r="H356" s="3" t="str">
        <f t="shared" si="48"/>
        <v>0</v>
      </c>
      <c r="I356" s="3" t="str">
        <f t="shared" si="48"/>
        <v>0</v>
      </c>
      <c r="J356" s="3" t="str">
        <f t="shared" si="41"/>
        <v>0</v>
      </c>
      <c r="K356" s="27" t="str">
        <f t="shared" si="42"/>
        <v> No Issue</v>
      </c>
      <c r="L356" s="3" t="str">
        <f t="shared" si="43"/>
        <v>No Issue</v>
      </c>
      <c r="M356" s="3" t="str">
        <f t="shared" si="44"/>
        <v>No Issue</v>
      </c>
      <c r="N356" s="3" t="str">
        <f t="shared" si="45"/>
        <v>No Issue</v>
      </c>
      <c r="O356" s="3" t="str">
        <f t="shared" si="46"/>
        <v>No Issue</v>
      </c>
      <c r="P356" s="3" t="str">
        <f t="shared" si="47"/>
        <v>NoIssue</v>
      </c>
    </row>
    <row r="357" ht="15.75" customHeight="1">
      <c r="A357" s="10"/>
      <c r="B357" s="11" t="s">
        <v>3</v>
      </c>
      <c r="C357" s="39"/>
      <c r="D357" s="13"/>
      <c r="E357" s="11"/>
      <c r="F357" s="15"/>
      <c r="G357" s="16"/>
      <c r="H357" s="17"/>
      <c r="I357" s="15"/>
      <c r="J357" s="18"/>
      <c r="K357" s="19" t="s">
        <v>5</v>
      </c>
      <c r="L357" s="20"/>
      <c r="M357" s="20"/>
      <c r="N357" s="20"/>
      <c r="O357" s="20"/>
      <c r="P357" s="21"/>
    </row>
    <row r="358" ht="15.75" customHeight="1">
      <c r="A358" s="40" t="s">
        <v>6</v>
      </c>
      <c r="B358" s="27" t="s">
        <v>7</v>
      </c>
      <c r="C358" s="27" t="s">
        <v>8</v>
      </c>
      <c r="D358" s="26" t="s">
        <v>9</v>
      </c>
      <c r="E358" s="26" t="s">
        <v>10</v>
      </c>
      <c r="F358" s="26" t="s">
        <v>11</v>
      </c>
      <c r="G358" s="26" t="s">
        <v>12</v>
      </c>
      <c r="H358" s="26" t="s">
        <v>13</v>
      </c>
      <c r="I358" s="26" t="s">
        <v>14</v>
      </c>
      <c r="J358" s="26" t="s">
        <v>15</v>
      </c>
      <c r="K358" s="27" t="s">
        <v>16</v>
      </c>
      <c r="L358" s="27" t="s">
        <v>17</v>
      </c>
      <c r="M358" s="27" t="s">
        <v>18</v>
      </c>
      <c r="N358" s="27" t="s">
        <v>19</v>
      </c>
      <c r="O358" s="27" t="s">
        <v>20</v>
      </c>
      <c r="P358" s="27" t="s">
        <v>21</v>
      </c>
    </row>
    <row r="359" ht="15.75" customHeight="1">
      <c r="A359" s="28">
        <v>1.0</v>
      </c>
      <c r="B359" s="29" t="s">
        <v>22</v>
      </c>
      <c r="C359" s="30">
        <v>192.17</v>
      </c>
      <c r="D359" s="3"/>
      <c r="E359" s="3"/>
      <c r="F359" s="3"/>
      <c r="G359" s="3"/>
      <c r="H359" s="3"/>
      <c r="I359" s="3"/>
      <c r="J359" s="3" t="str">
        <f t="shared" ref="J359:J415" si="49">D359+E359-F359-G359+H359</f>
        <v>0</v>
      </c>
      <c r="K359" s="27" t="str">
        <f t="shared" ref="K359:K415" si="50">IF(I359&lt;&gt;(D359+E359-F359-G359+H359),"Closing stock Not Correct-Problem"," No Issue")</f>
        <v> No Issue</v>
      </c>
      <c r="L359" s="3" t="str">
        <f t="shared" ref="L359:L415" si="51">IF((D359+E359)&lt;F359,"High Sale and Less Stock-Problem","No Issue")</f>
        <v>No Issue</v>
      </c>
      <c r="M359" s="3" t="str">
        <f t="shared" ref="M359:M415" si="52">IF(AND((D359+E359+I359)=0,F359&gt;0),"No Stock Sale Present Problem","No Issue")</f>
        <v>No Issue</v>
      </c>
      <c r="N359" s="3" t="str">
        <f t="shared" ref="N359:N415" si="53">IF(AND(SUM(D359:H359)=0,I359&gt;0),"Only Closing Entered Other Parameters No Entired Problem","No Issue")</f>
        <v>No Issue</v>
      </c>
      <c r="O359" s="3" t="str">
        <f t="shared" ref="O359:O415" si="54">IF(F359&gt;5000,"Check Once Sales quantity or Value Problem","No Issue")</f>
        <v>No Issue</v>
      </c>
      <c r="P359" s="3" t="str">
        <f t="shared" ref="P359:P415" si="55">IF(I359&gt;5000,"Check Once Closing quantity or Value Problem","NoIssue")</f>
        <v>NoIssue</v>
      </c>
    </row>
    <row r="360" ht="15.75" customHeight="1">
      <c r="A360" s="28">
        <v>2.0</v>
      </c>
      <c r="B360" s="29" t="s">
        <v>23</v>
      </c>
      <c r="C360" s="30">
        <v>9.26</v>
      </c>
      <c r="D360" s="3"/>
      <c r="E360" s="3"/>
      <c r="F360" s="3"/>
      <c r="G360" s="3"/>
      <c r="H360" s="3"/>
      <c r="I360" s="3"/>
      <c r="J360" s="3" t="str">
        <f t="shared" si="49"/>
        <v>0</v>
      </c>
      <c r="K360" s="27" t="str">
        <f t="shared" si="50"/>
        <v> No Issue</v>
      </c>
      <c r="L360" s="3" t="str">
        <f t="shared" si="51"/>
        <v>No Issue</v>
      </c>
      <c r="M360" s="3" t="str">
        <f t="shared" si="52"/>
        <v>No Issue</v>
      </c>
      <c r="N360" s="3" t="str">
        <f t="shared" si="53"/>
        <v>No Issue</v>
      </c>
      <c r="O360" s="3" t="str">
        <f t="shared" si="54"/>
        <v>No Issue</v>
      </c>
      <c r="P360" s="3" t="str">
        <f t="shared" si="55"/>
        <v>NoIssue</v>
      </c>
    </row>
    <row r="361" ht="15.75" customHeight="1">
      <c r="A361" s="28">
        <v>3.0</v>
      </c>
      <c r="B361" s="29" t="s">
        <v>24</v>
      </c>
      <c r="C361" s="30">
        <v>87.79</v>
      </c>
      <c r="D361" s="3"/>
      <c r="E361" s="3"/>
      <c r="F361" s="3"/>
      <c r="G361" s="3"/>
      <c r="H361" s="3"/>
      <c r="I361" s="3"/>
      <c r="J361" s="3" t="str">
        <f t="shared" si="49"/>
        <v>0</v>
      </c>
      <c r="K361" s="27" t="str">
        <f t="shared" si="50"/>
        <v> No Issue</v>
      </c>
      <c r="L361" s="3" t="str">
        <f t="shared" si="51"/>
        <v>No Issue</v>
      </c>
      <c r="M361" s="3" t="str">
        <f t="shared" si="52"/>
        <v>No Issue</v>
      </c>
      <c r="N361" s="3" t="str">
        <f t="shared" si="53"/>
        <v>No Issue</v>
      </c>
      <c r="O361" s="3" t="str">
        <f t="shared" si="54"/>
        <v>No Issue</v>
      </c>
      <c r="P361" s="3" t="str">
        <f t="shared" si="55"/>
        <v>NoIssue</v>
      </c>
    </row>
    <row r="362" ht="15.75" customHeight="1">
      <c r="A362" s="28">
        <v>4.0</v>
      </c>
      <c r="B362" s="29" t="s">
        <v>25</v>
      </c>
      <c r="C362" s="30">
        <v>55.55</v>
      </c>
      <c r="D362" s="3"/>
      <c r="E362" s="3"/>
      <c r="F362" s="3"/>
      <c r="G362" s="3"/>
      <c r="H362" s="3"/>
      <c r="I362" s="3"/>
      <c r="J362" s="3" t="str">
        <f t="shared" si="49"/>
        <v>0</v>
      </c>
      <c r="K362" s="27" t="str">
        <f t="shared" si="50"/>
        <v> No Issue</v>
      </c>
      <c r="L362" s="3" t="str">
        <f t="shared" si="51"/>
        <v>No Issue</v>
      </c>
      <c r="M362" s="3" t="str">
        <f t="shared" si="52"/>
        <v>No Issue</v>
      </c>
      <c r="N362" s="3" t="str">
        <f t="shared" si="53"/>
        <v>No Issue</v>
      </c>
      <c r="O362" s="3" t="str">
        <f t="shared" si="54"/>
        <v>No Issue</v>
      </c>
      <c r="P362" s="3" t="str">
        <f t="shared" si="55"/>
        <v>NoIssue</v>
      </c>
    </row>
    <row r="363" ht="15.75" customHeight="1">
      <c r="A363" s="28">
        <v>5.0</v>
      </c>
      <c r="B363" s="29" t="s">
        <v>26</v>
      </c>
      <c r="C363" s="30">
        <v>70.01</v>
      </c>
      <c r="D363" s="3"/>
      <c r="E363" s="3"/>
      <c r="F363" s="3"/>
      <c r="G363" s="3"/>
      <c r="H363" s="3"/>
      <c r="I363" s="3"/>
      <c r="J363" s="3" t="str">
        <f t="shared" si="49"/>
        <v>0</v>
      </c>
      <c r="K363" s="27" t="str">
        <f t="shared" si="50"/>
        <v> No Issue</v>
      </c>
      <c r="L363" s="3" t="str">
        <f t="shared" si="51"/>
        <v>No Issue</v>
      </c>
      <c r="M363" s="3" t="str">
        <f t="shared" si="52"/>
        <v>No Issue</v>
      </c>
      <c r="N363" s="3" t="str">
        <f t="shared" si="53"/>
        <v>No Issue</v>
      </c>
      <c r="O363" s="3" t="str">
        <f t="shared" si="54"/>
        <v>No Issue</v>
      </c>
      <c r="P363" s="3" t="str">
        <f t="shared" si="55"/>
        <v>NoIssue</v>
      </c>
    </row>
    <row r="364" ht="15.75" customHeight="1">
      <c r="A364" s="28">
        <v>6.0</v>
      </c>
      <c r="B364" s="29" t="s">
        <v>27</v>
      </c>
      <c r="C364" s="30">
        <v>73.92999999999999</v>
      </c>
      <c r="D364" s="3"/>
      <c r="E364" s="3"/>
      <c r="F364" s="3"/>
      <c r="G364" s="3"/>
      <c r="H364" s="3"/>
      <c r="I364" s="3"/>
      <c r="J364" s="3" t="str">
        <f t="shared" si="49"/>
        <v>0</v>
      </c>
      <c r="K364" s="27" t="str">
        <f t="shared" si="50"/>
        <v> No Issue</v>
      </c>
      <c r="L364" s="3" t="str">
        <f t="shared" si="51"/>
        <v>No Issue</v>
      </c>
      <c r="M364" s="3" t="str">
        <f t="shared" si="52"/>
        <v>No Issue</v>
      </c>
      <c r="N364" s="3" t="str">
        <f t="shared" si="53"/>
        <v>No Issue</v>
      </c>
      <c r="O364" s="3" t="str">
        <f t="shared" si="54"/>
        <v>No Issue</v>
      </c>
      <c r="P364" s="3" t="str">
        <f t="shared" si="55"/>
        <v>NoIssue</v>
      </c>
    </row>
    <row r="365" ht="15.75" customHeight="1">
      <c r="A365" s="28">
        <v>7.0</v>
      </c>
      <c r="B365" s="29" t="s">
        <v>28</v>
      </c>
      <c r="C365" s="30">
        <v>13.91</v>
      </c>
      <c r="D365" s="3"/>
      <c r="E365" s="3"/>
      <c r="F365" s="3"/>
      <c r="G365" s="3"/>
      <c r="H365" s="3"/>
      <c r="I365" s="3"/>
      <c r="J365" s="3" t="str">
        <f t="shared" si="49"/>
        <v>0</v>
      </c>
      <c r="K365" s="27" t="str">
        <f t="shared" si="50"/>
        <v> No Issue</v>
      </c>
      <c r="L365" s="3" t="str">
        <f t="shared" si="51"/>
        <v>No Issue</v>
      </c>
      <c r="M365" s="3" t="str">
        <f t="shared" si="52"/>
        <v>No Issue</v>
      </c>
      <c r="N365" s="3" t="str">
        <f t="shared" si="53"/>
        <v>No Issue</v>
      </c>
      <c r="O365" s="3" t="str">
        <f t="shared" si="54"/>
        <v>No Issue</v>
      </c>
      <c r="P365" s="3" t="str">
        <f t="shared" si="55"/>
        <v>NoIssue</v>
      </c>
    </row>
    <row r="366" ht="15.75" customHeight="1">
      <c r="A366" s="28">
        <v>8.0</v>
      </c>
      <c r="B366" s="29" t="s">
        <v>29</v>
      </c>
      <c r="C366" s="30">
        <v>19.5</v>
      </c>
      <c r="D366" s="3"/>
      <c r="E366" s="3"/>
      <c r="F366" s="3"/>
      <c r="G366" s="3"/>
      <c r="H366" s="3"/>
      <c r="I366" s="3"/>
      <c r="J366" s="3" t="str">
        <f t="shared" si="49"/>
        <v>0</v>
      </c>
      <c r="K366" s="27" t="str">
        <f t="shared" si="50"/>
        <v> No Issue</v>
      </c>
      <c r="L366" s="3" t="str">
        <f t="shared" si="51"/>
        <v>No Issue</v>
      </c>
      <c r="M366" s="3" t="str">
        <f t="shared" si="52"/>
        <v>No Issue</v>
      </c>
      <c r="N366" s="3" t="str">
        <f t="shared" si="53"/>
        <v>No Issue</v>
      </c>
      <c r="O366" s="3" t="str">
        <f t="shared" si="54"/>
        <v>No Issue</v>
      </c>
      <c r="P366" s="3" t="str">
        <f t="shared" si="55"/>
        <v>NoIssue</v>
      </c>
    </row>
    <row r="367" ht="15.75" customHeight="1">
      <c r="A367" s="28">
        <v>9.0</v>
      </c>
      <c r="B367" s="29" t="s">
        <v>30</v>
      </c>
      <c r="C367" s="30">
        <v>28.83</v>
      </c>
      <c r="D367" s="3"/>
      <c r="E367" s="3"/>
      <c r="F367" s="3"/>
      <c r="G367" s="3"/>
      <c r="H367" s="3"/>
      <c r="I367" s="3"/>
      <c r="J367" s="3" t="str">
        <f t="shared" si="49"/>
        <v>0</v>
      </c>
      <c r="K367" s="27" t="str">
        <f t="shared" si="50"/>
        <v> No Issue</v>
      </c>
      <c r="L367" s="3" t="str">
        <f t="shared" si="51"/>
        <v>No Issue</v>
      </c>
      <c r="M367" s="3" t="str">
        <f t="shared" si="52"/>
        <v>No Issue</v>
      </c>
      <c r="N367" s="3" t="str">
        <f t="shared" si="53"/>
        <v>No Issue</v>
      </c>
      <c r="O367" s="3" t="str">
        <f t="shared" si="54"/>
        <v>No Issue</v>
      </c>
      <c r="P367" s="3" t="str">
        <f t="shared" si="55"/>
        <v>NoIssue</v>
      </c>
    </row>
    <row r="368" ht="15.75" customHeight="1">
      <c r="A368" s="28">
        <v>10.0</v>
      </c>
      <c r="B368" s="29" t="s">
        <v>31</v>
      </c>
      <c r="C368" s="30">
        <v>8.51</v>
      </c>
      <c r="D368" s="3"/>
      <c r="E368" s="3"/>
      <c r="F368" s="3"/>
      <c r="G368" s="3"/>
      <c r="H368" s="3"/>
      <c r="I368" s="3"/>
      <c r="J368" s="3" t="str">
        <f t="shared" si="49"/>
        <v>0</v>
      </c>
      <c r="K368" s="27" t="str">
        <f t="shared" si="50"/>
        <v> No Issue</v>
      </c>
      <c r="L368" s="3" t="str">
        <f t="shared" si="51"/>
        <v>No Issue</v>
      </c>
      <c r="M368" s="3" t="str">
        <f t="shared" si="52"/>
        <v>No Issue</v>
      </c>
      <c r="N368" s="3" t="str">
        <f t="shared" si="53"/>
        <v>No Issue</v>
      </c>
      <c r="O368" s="3" t="str">
        <f t="shared" si="54"/>
        <v>No Issue</v>
      </c>
      <c r="P368" s="3" t="str">
        <f t="shared" si="55"/>
        <v>NoIssue</v>
      </c>
    </row>
    <row r="369" ht="15.75" customHeight="1">
      <c r="A369" s="28">
        <v>11.0</v>
      </c>
      <c r="B369" s="29" t="s">
        <v>32</v>
      </c>
      <c r="C369" s="30">
        <v>102.17</v>
      </c>
      <c r="D369" s="3"/>
      <c r="E369" s="3"/>
      <c r="F369" s="3"/>
      <c r="G369" s="3"/>
      <c r="H369" s="3"/>
      <c r="I369" s="3"/>
      <c r="J369" s="3" t="str">
        <f t="shared" si="49"/>
        <v>0</v>
      </c>
      <c r="K369" s="27" t="str">
        <f t="shared" si="50"/>
        <v> No Issue</v>
      </c>
      <c r="L369" s="3" t="str">
        <f t="shared" si="51"/>
        <v>No Issue</v>
      </c>
      <c r="M369" s="3" t="str">
        <f t="shared" si="52"/>
        <v>No Issue</v>
      </c>
      <c r="N369" s="3" t="str">
        <f t="shared" si="53"/>
        <v>No Issue</v>
      </c>
      <c r="O369" s="3" t="str">
        <f t="shared" si="54"/>
        <v>No Issue</v>
      </c>
      <c r="P369" s="3" t="str">
        <f t="shared" si="55"/>
        <v>NoIssue</v>
      </c>
    </row>
    <row r="370" ht="15.75" customHeight="1">
      <c r="A370" s="28">
        <v>12.0</v>
      </c>
      <c r="B370" s="29" t="s">
        <v>33</v>
      </c>
      <c r="C370" s="30">
        <v>59.93</v>
      </c>
      <c r="D370" s="3"/>
      <c r="E370" s="3"/>
      <c r="F370" s="3"/>
      <c r="G370" s="3"/>
      <c r="H370" s="3"/>
      <c r="I370" s="3"/>
      <c r="J370" s="3" t="str">
        <f t="shared" si="49"/>
        <v>0</v>
      </c>
      <c r="K370" s="27" t="str">
        <f t="shared" si="50"/>
        <v> No Issue</v>
      </c>
      <c r="L370" s="3" t="str">
        <f t="shared" si="51"/>
        <v>No Issue</v>
      </c>
      <c r="M370" s="3" t="str">
        <f t="shared" si="52"/>
        <v>No Issue</v>
      </c>
      <c r="N370" s="3" t="str">
        <f t="shared" si="53"/>
        <v>No Issue</v>
      </c>
      <c r="O370" s="3" t="str">
        <f t="shared" si="54"/>
        <v>No Issue</v>
      </c>
      <c r="P370" s="3" t="str">
        <f t="shared" si="55"/>
        <v>NoIssue</v>
      </c>
    </row>
    <row r="371" ht="15.75" customHeight="1">
      <c r="A371" s="28">
        <v>13.0</v>
      </c>
      <c r="B371" s="29" t="s">
        <v>34</v>
      </c>
      <c r="C371" s="30">
        <v>118.0</v>
      </c>
      <c r="D371" s="3"/>
      <c r="E371" s="3"/>
      <c r="F371" s="3"/>
      <c r="G371" s="3"/>
      <c r="H371" s="3"/>
      <c r="I371" s="3"/>
      <c r="J371" s="3" t="str">
        <f t="shared" si="49"/>
        <v>0</v>
      </c>
      <c r="K371" s="27" t="str">
        <f t="shared" si="50"/>
        <v> No Issue</v>
      </c>
      <c r="L371" s="3" t="str">
        <f t="shared" si="51"/>
        <v>No Issue</v>
      </c>
      <c r="M371" s="3" t="str">
        <f t="shared" si="52"/>
        <v>No Issue</v>
      </c>
      <c r="N371" s="3" t="str">
        <f t="shared" si="53"/>
        <v>No Issue</v>
      </c>
      <c r="O371" s="3" t="str">
        <f t="shared" si="54"/>
        <v>No Issue</v>
      </c>
      <c r="P371" s="3" t="str">
        <f t="shared" si="55"/>
        <v>NoIssue</v>
      </c>
    </row>
    <row r="372" ht="15.75" customHeight="1">
      <c r="A372" s="28">
        <v>14.0</v>
      </c>
      <c r="B372" s="29" t="s">
        <v>35</v>
      </c>
      <c r="C372" s="30">
        <v>52.83</v>
      </c>
      <c r="D372" s="3"/>
      <c r="E372" s="3"/>
      <c r="F372" s="3"/>
      <c r="G372" s="3"/>
      <c r="H372" s="3"/>
      <c r="I372" s="3"/>
      <c r="J372" s="3" t="str">
        <f t="shared" si="49"/>
        <v>0</v>
      </c>
      <c r="K372" s="27" t="str">
        <f t="shared" si="50"/>
        <v> No Issue</v>
      </c>
      <c r="L372" s="3" t="str">
        <f t="shared" si="51"/>
        <v>No Issue</v>
      </c>
      <c r="M372" s="3" t="str">
        <f t="shared" si="52"/>
        <v>No Issue</v>
      </c>
      <c r="N372" s="3" t="str">
        <f t="shared" si="53"/>
        <v>No Issue</v>
      </c>
      <c r="O372" s="3" t="str">
        <f t="shared" si="54"/>
        <v>No Issue</v>
      </c>
      <c r="P372" s="3" t="str">
        <f t="shared" si="55"/>
        <v>NoIssue</v>
      </c>
    </row>
    <row r="373" ht="15.75" customHeight="1">
      <c r="A373" s="28">
        <v>15.0</v>
      </c>
      <c r="B373" s="29" t="s">
        <v>36</v>
      </c>
      <c r="C373" s="30">
        <v>93.2</v>
      </c>
      <c r="D373" s="3"/>
      <c r="E373" s="3"/>
      <c r="F373" s="3"/>
      <c r="G373" s="3"/>
      <c r="H373" s="3"/>
      <c r="I373" s="3"/>
      <c r="J373" s="3" t="str">
        <f t="shared" si="49"/>
        <v>0</v>
      </c>
      <c r="K373" s="27" t="str">
        <f t="shared" si="50"/>
        <v> No Issue</v>
      </c>
      <c r="L373" s="3" t="str">
        <f t="shared" si="51"/>
        <v>No Issue</v>
      </c>
      <c r="M373" s="3" t="str">
        <f t="shared" si="52"/>
        <v>No Issue</v>
      </c>
      <c r="N373" s="3" t="str">
        <f t="shared" si="53"/>
        <v>No Issue</v>
      </c>
      <c r="O373" s="3" t="str">
        <f t="shared" si="54"/>
        <v>No Issue</v>
      </c>
      <c r="P373" s="3" t="str">
        <f t="shared" si="55"/>
        <v>NoIssue</v>
      </c>
    </row>
    <row r="374" ht="15.75" customHeight="1">
      <c r="A374" s="28">
        <v>16.0</v>
      </c>
      <c r="B374" s="29" t="s">
        <v>37</v>
      </c>
      <c r="C374" s="30">
        <v>61.02</v>
      </c>
      <c r="D374" s="3"/>
      <c r="E374" s="3"/>
      <c r="F374" s="3"/>
      <c r="G374" s="3"/>
      <c r="H374" s="3"/>
      <c r="I374" s="3"/>
      <c r="J374" s="3" t="str">
        <f t="shared" si="49"/>
        <v>0</v>
      </c>
      <c r="K374" s="27" t="str">
        <f t="shared" si="50"/>
        <v> No Issue</v>
      </c>
      <c r="L374" s="3" t="str">
        <f t="shared" si="51"/>
        <v>No Issue</v>
      </c>
      <c r="M374" s="3" t="str">
        <f t="shared" si="52"/>
        <v>No Issue</v>
      </c>
      <c r="N374" s="3" t="str">
        <f t="shared" si="53"/>
        <v>No Issue</v>
      </c>
      <c r="O374" s="3" t="str">
        <f t="shared" si="54"/>
        <v>No Issue</v>
      </c>
      <c r="P374" s="3" t="str">
        <f t="shared" si="55"/>
        <v>NoIssue</v>
      </c>
    </row>
    <row r="375" ht="15.75" customHeight="1">
      <c r="A375" s="28">
        <v>17.0</v>
      </c>
      <c r="B375" s="29" t="s">
        <v>38</v>
      </c>
      <c r="C375" s="30">
        <v>36.62</v>
      </c>
      <c r="D375" s="3"/>
      <c r="E375" s="3"/>
      <c r="F375" s="3"/>
      <c r="G375" s="3"/>
      <c r="H375" s="3"/>
      <c r="I375" s="3"/>
      <c r="J375" s="3" t="str">
        <f t="shared" si="49"/>
        <v>0</v>
      </c>
      <c r="K375" s="27" t="str">
        <f t="shared" si="50"/>
        <v> No Issue</v>
      </c>
      <c r="L375" s="3" t="str">
        <f t="shared" si="51"/>
        <v>No Issue</v>
      </c>
      <c r="M375" s="3" t="str">
        <f t="shared" si="52"/>
        <v>No Issue</v>
      </c>
      <c r="N375" s="3" t="str">
        <f t="shared" si="53"/>
        <v>No Issue</v>
      </c>
      <c r="O375" s="3" t="str">
        <f t="shared" si="54"/>
        <v>No Issue</v>
      </c>
      <c r="P375" s="3" t="str">
        <f t="shared" si="55"/>
        <v>NoIssue</v>
      </c>
    </row>
    <row r="376" ht="15.75" customHeight="1">
      <c r="A376" s="28">
        <v>18.0</v>
      </c>
      <c r="B376" s="29" t="s">
        <v>39</v>
      </c>
      <c r="C376" s="30">
        <v>80.36</v>
      </c>
      <c r="D376" s="3"/>
      <c r="E376" s="3"/>
      <c r="F376" s="3"/>
      <c r="G376" s="3"/>
      <c r="H376" s="3"/>
      <c r="I376" s="3"/>
      <c r="J376" s="3" t="str">
        <f t="shared" si="49"/>
        <v>0</v>
      </c>
      <c r="K376" s="27" t="str">
        <f t="shared" si="50"/>
        <v> No Issue</v>
      </c>
      <c r="L376" s="3" t="str">
        <f t="shared" si="51"/>
        <v>No Issue</v>
      </c>
      <c r="M376" s="3" t="str">
        <f t="shared" si="52"/>
        <v>No Issue</v>
      </c>
      <c r="N376" s="3" t="str">
        <f t="shared" si="53"/>
        <v>No Issue</v>
      </c>
      <c r="O376" s="3" t="str">
        <f t="shared" si="54"/>
        <v>No Issue</v>
      </c>
      <c r="P376" s="3" t="str">
        <f t="shared" si="55"/>
        <v>NoIssue</v>
      </c>
    </row>
    <row r="377" ht="15.75" customHeight="1">
      <c r="A377" s="28">
        <v>19.0</v>
      </c>
      <c r="B377" s="29" t="s">
        <v>40</v>
      </c>
      <c r="C377" s="30">
        <v>160.56</v>
      </c>
      <c r="D377" s="3"/>
      <c r="E377" s="3"/>
      <c r="F377" s="3"/>
      <c r="G377" s="3"/>
      <c r="H377" s="3"/>
      <c r="I377" s="3"/>
      <c r="J377" s="3" t="str">
        <f t="shared" si="49"/>
        <v>0</v>
      </c>
      <c r="K377" s="27" t="str">
        <f t="shared" si="50"/>
        <v> No Issue</v>
      </c>
      <c r="L377" s="3" t="str">
        <f t="shared" si="51"/>
        <v>No Issue</v>
      </c>
      <c r="M377" s="3" t="str">
        <f t="shared" si="52"/>
        <v>No Issue</v>
      </c>
      <c r="N377" s="3" t="str">
        <f t="shared" si="53"/>
        <v>No Issue</v>
      </c>
      <c r="O377" s="3" t="str">
        <f t="shared" si="54"/>
        <v>No Issue</v>
      </c>
      <c r="P377" s="3" t="str">
        <f t="shared" si="55"/>
        <v>NoIssue</v>
      </c>
    </row>
    <row r="378" ht="15.75" customHeight="1">
      <c r="A378" s="28">
        <v>20.0</v>
      </c>
      <c r="B378" s="29" t="s">
        <v>41</v>
      </c>
      <c r="C378" s="30">
        <v>186.44</v>
      </c>
      <c r="D378" s="3"/>
      <c r="E378" s="3"/>
      <c r="F378" s="3"/>
      <c r="G378" s="3"/>
      <c r="H378" s="3"/>
      <c r="I378" s="3"/>
      <c r="J378" s="3" t="str">
        <f t="shared" si="49"/>
        <v>0</v>
      </c>
      <c r="K378" s="27" t="str">
        <f t="shared" si="50"/>
        <v> No Issue</v>
      </c>
      <c r="L378" s="3" t="str">
        <f t="shared" si="51"/>
        <v>No Issue</v>
      </c>
      <c r="M378" s="3" t="str">
        <f t="shared" si="52"/>
        <v>No Issue</v>
      </c>
      <c r="N378" s="3" t="str">
        <f t="shared" si="53"/>
        <v>No Issue</v>
      </c>
      <c r="O378" s="3" t="str">
        <f t="shared" si="54"/>
        <v>No Issue</v>
      </c>
      <c r="P378" s="3" t="str">
        <f t="shared" si="55"/>
        <v>NoIssue</v>
      </c>
    </row>
    <row r="379" ht="15.75" customHeight="1">
      <c r="A379" s="28">
        <v>21.0</v>
      </c>
      <c r="B379" s="29" t="s">
        <v>42</v>
      </c>
      <c r="C379" s="30">
        <v>92.59</v>
      </c>
      <c r="D379" s="3"/>
      <c r="E379" s="3"/>
      <c r="F379" s="3"/>
      <c r="G379" s="3"/>
      <c r="H379" s="3"/>
      <c r="I379" s="3"/>
      <c r="J379" s="3" t="str">
        <f t="shared" si="49"/>
        <v>0</v>
      </c>
      <c r="K379" s="27" t="str">
        <f t="shared" si="50"/>
        <v> No Issue</v>
      </c>
      <c r="L379" s="3" t="str">
        <f t="shared" si="51"/>
        <v>No Issue</v>
      </c>
      <c r="M379" s="3" t="str">
        <f t="shared" si="52"/>
        <v>No Issue</v>
      </c>
      <c r="N379" s="3" t="str">
        <f t="shared" si="53"/>
        <v>No Issue</v>
      </c>
      <c r="O379" s="3" t="str">
        <f t="shared" si="54"/>
        <v>No Issue</v>
      </c>
      <c r="P379" s="3" t="str">
        <f t="shared" si="55"/>
        <v>NoIssue</v>
      </c>
    </row>
    <row r="380" ht="15.75" customHeight="1">
      <c r="A380" s="28">
        <v>22.0</v>
      </c>
      <c r="B380" s="29" t="s">
        <v>43</v>
      </c>
      <c r="C380" s="30">
        <v>95.17</v>
      </c>
      <c r="D380" s="3"/>
      <c r="E380" s="3"/>
      <c r="F380" s="3"/>
      <c r="G380" s="3"/>
      <c r="H380" s="3"/>
      <c r="I380" s="3"/>
      <c r="J380" s="3" t="str">
        <f t="shared" si="49"/>
        <v>0</v>
      </c>
      <c r="K380" s="27" t="str">
        <f t="shared" si="50"/>
        <v> No Issue</v>
      </c>
      <c r="L380" s="3" t="str">
        <f t="shared" si="51"/>
        <v>No Issue</v>
      </c>
      <c r="M380" s="3" t="str">
        <f t="shared" si="52"/>
        <v>No Issue</v>
      </c>
      <c r="N380" s="3" t="str">
        <f t="shared" si="53"/>
        <v>No Issue</v>
      </c>
      <c r="O380" s="3" t="str">
        <f t="shared" si="54"/>
        <v>No Issue</v>
      </c>
      <c r="P380" s="3" t="str">
        <f t="shared" si="55"/>
        <v>NoIssue</v>
      </c>
    </row>
    <row r="381" ht="15.75" customHeight="1">
      <c r="A381" s="28">
        <v>23.0</v>
      </c>
      <c r="B381" s="29" t="s">
        <v>44</v>
      </c>
      <c r="C381" s="30">
        <v>92.94</v>
      </c>
      <c r="D381" s="3"/>
      <c r="E381" s="3"/>
      <c r="F381" s="3"/>
      <c r="G381" s="3"/>
      <c r="H381" s="3"/>
      <c r="I381" s="3"/>
      <c r="J381" s="3" t="str">
        <f t="shared" si="49"/>
        <v>0</v>
      </c>
      <c r="K381" s="27" t="str">
        <f t="shared" si="50"/>
        <v> No Issue</v>
      </c>
      <c r="L381" s="3" t="str">
        <f t="shared" si="51"/>
        <v>No Issue</v>
      </c>
      <c r="M381" s="3" t="str">
        <f t="shared" si="52"/>
        <v>No Issue</v>
      </c>
      <c r="N381" s="3" t="str">
        <f t="shared" si="53"/>
        <v>No Issue</v>
      </c>
      <c r="O381" s="3" t="str">
        <f t="shared" si="54"/>
        <v>No Issue</v>
      </c>
      <c r="P381" s="3" t="str">
        <f t="shared" si="55"/>
        <v>NoIssue</v>
      </c>
    </row>
    <row r="382" ht="15.75" customHeight="1">
      <c r="A382" s="28">
        <v>24.0</v>
      </c>
      <c r="B382" s="29" t="s">
        <v>45</v>
      </c>
      <c r="C382" s="30">
        <v>101.82</v>
      </c>
      <c r="D382" s="3"/>
      <c r="E382" s="3"/>
      <c r="F382" s="3"/>
      <c r="G382" s="3"/>
      <c r="H382" s="3"/>
      <c r="I382" s="3"/>
      <c r="J382" s="3" t="str">
        <f t="shared" si="49"/>
        <v>0</v>
      </c>
      <c r="K382" s="27" t="str">
        <f t="shared" si="50"/>
        <v> No Issue</v>
      </c>
      <c r="L382" s="3" t="str">
        <f t="shared" si="51"/>
        <v>No Issue</v>
      </c>
      <c r="M382" s="3" t="str">
        <f t="shared" si="52"/>
        <v>No Issue</v>
      </c>
      <c r="N382" s="3" t="str">
        <f t="shared" si="53"/>
        <v>No Issue</v>
      </c>
      <c r="O382" s="3" t="str">
        <f t="shared" si="54"/>
        <v>No Issue</v>
      </c>
      <c r="P382" s="3" t="str">
        <f t="shared" si="55"/>
        <v>NoIssue</v>
      </c>
    </row>
    <row r="383" ht="15.75" customHeight="1">
      <c r="A383" s="28">
        <v>25.0</v>
      </c>
      <c r="B383" s="29" t="s">
        <v>46</v>
      </c>
      <c r="C383" s="30">
        <v>53.49</v>
      </c>
      <c r="D383" s="3"/>
      <c r="E383" s="3"/>
      <c r="F383" s="3"/>
      <c r="G383" s="3"/>
      <c r="H383" s="3"/>
      <c r="I383" s="3"/>
      <c r="J383" s="3" t="str">
        <f t="shared" si="49"/>
        <v>0</v>
      </c>
      <c r="K383" s="27" t="str">
        <f t="shared" si="50"/>
        <v> No Issue</v>
      </c>
      <c r="L383" s="3" t="str">
        <f t="shared" si="51"/>
        <v>No Issue</v>
      </c>
      <c r="M383" s="3" t="str">
        <f t="shared" si="52"/>
        <v>No Issue</v>
      </c>
      <c r="N383" s="3" t="str">
        <f t="shared" si="53"/>
        <v>No Issue</v>
      </c>
      <c r="O383" s="3" t="str">
        <f t="shared" si="54"/>
        <v>No Issue</v>
      </c>
      <c r="P383" s="3" t="str">
        <f t="shared" si="55"/>
        <v>NoIssue</v>
      </c>
    </row>
    <row r="384" ht="15.75" customHeight="1">
      <c r="A384" s="28">
        <v>26.0</v>
      </c>
      <c r="B384" s="29" t="s">
        <v>47</v>
      </c>
      <c r="C384" s="30">
        <v>32.92</v>
      </c>
      <c r="D384" s="3"/>
      <c r="E384" s="3"/>
      <c r="F384" s="3"/>
      <c r="G384" s="3"/>
      <c r="H384" s="3"/>
      <c r="I384" s="3"/>
      <c r="J384" s="3" t="str">
        <f t="shared" si="49"/>
        <v>0</v>
      </c>
      <c r="K384" s="27" t="str">
        <f t="shared" si="50"/>
        <v> No Issue</v>
      </c>
      <c r="L384" s="3" t="str">
        <f t="shared" si="51"/>
        <v>No Issue</v>
      </c>
      <c r="M384" s="3" t="str">
        <f t="shared" si="52"/>
        <v>No Issue</v>
      </c>
      <c r="N384" s="3" t="str">
        <f t="shared" si="53"/>
        <v>No Issue</v>
      </c>
      <c r="O384" s="3" t="str">
        <f t="shared" si="54"/>
        <v>No Issue</v>
      </c>
      <c r="P384" s="3" t="str">
        <f t="shared" si="55"/>
        <v>NoIssue</v>
      </c>
    </row>
    <row r="385" ht="15.75" customHeight="1">
      <c r="A385" s="28">
        <v>27.0</v>
      </c>
      <c r="B385" s="29" t="s">
        <v>48</v>
      </c>
      <c r="C385" s="30">
        <v>116.68</v>
      </c>
      <c r="D385" s="3"/>
      <c r="E385" s="3"/>
      <c r="F385" s="3"/>
      <c r="G385" s="3"/>
      <c r="H385" s="3"/>
      <c r="I385" s="3"/>
      <c r="J385" s="3" t="str">
        <f t="shared" si="49"/>
        <v>0</v>
      </c>
      <c r="K385" s="27" t="str">
        <f t="shared" si="50"/>
        <v> No Issue</v>
      </c>
      <c r="L385" s="3" t="str">
        <f t="shared" si="51"/>
        <v>No Issue</v>
      </c>
      <c r="M385" s="3" t="str">
        <f t="shared" si="52"/>
        <v>No Issue</v>
      </c>
      <c r="N385" s="3" t="str">
        <f t="shared" si="53"/>
        <v>No Issue</v>
      </c>
      <c r="O385" s="3" t="str">
        <f t="shared" si="54"/>
        <v>No Issue</v>
      </c>
      <c r="P385" s="3" t="str">
        <f t="shared" si="55"/>
        <v>NoIssue</v>
      </c>
    </row>
    <row r="386" ht="15.75" customHeight="1">
      <c r="A386" s="28">
        <v>28.0</v>
      </c>
      <c r="B386" s="29" t="s">
        <v>49</v>
      </c>
      <c r="C386" s="30">
        <v>107.96</v>
      </c>
      <c r="D386" s="3"/>
      <c r="E386" s="3"/>
      <c r="F386" s="3"/>
      <c r="G386" s="3"/>
      <c r="H386" s="3"/>
      <c r="I386" s="3"/>
      <c r="J386" s="3" t="str">
        <f t="shared" si="49"/>
        <v>0</v>
      </c>
      <c r="K386" s="27" t="str">
        <f t="shared" si="50"/>
        <v> No Issue</v>
      </c>
      <c r="L386" s="3" t="str">
        <f t="shared" si="51"/>
        <v>No Issue</v>
      </c>
      <c r="M386" s="3" t="str">
        <f t="shared" si="52"/>
        <v>No Issue</v>
      </c>
      <c r="N386" s="3" t="str">
        <f t="shared" si="53"/>
        <v>No Issue</v>
      </c>
      <c r="O386" s="3" t="str">
        <f t="shared" si="54"/>
        <v>No Issue</v>
      </c>
      <c r="P386" s="3" t="str">
        <f t="shared" si="55"/>
        <v>NoIssue</v>
      </c>
    </row>
    <row r="387" ht="15.75" customHeight="1">
      <c r="A387" s="28">
        <v>29.0</v>
      </c>
      <c r="B387" s="29" t="s">
        <v>50</v>
      </c>
      <c r="C387" s="30">
        <v>248.89</v>
      </c>
      <c r="D387" s="3"/>
      <c r="E387" s="3"/>
      <c r="F387" s="3"/>
      <c r="G387" s="3"/>
      <c r="H387" s="3"/>
      <c r="I387" s="3"/>
      <c r="J387" s="3" t="str">
        <f t="shared" si="49"/>
        <v>0</v>
      </c>
      <c r="K387" s="27" t="str">
        <f t="shared" si="50"/>
        <v> No Issue</v>
      </c>
      <c r="L387" s="3" t="str">
        <f t="shared" si="51"/>
        <v>No Issue</v>
      </c>
      <c r="M387" s="3" t="str">
        <f t="shared" si="52"/>
        <v>No Issue</v>
      </c>
      <c r="N387" s="3" t="str">
        <f t="shared" si="53"/>
        <v>No Issue</v>
      </c>
      <c r="O387" s="3" t="str">
        <f t="shared" si="54"/>
        <v>No Issue</v>
      </c>
      <c r="P387" s="3" t="str">
        <f t="shared" si="55"/>
        <v>NoIssue</v>
      </c>
    </row>
    <row r="388" ht="15.75" customHeight="1">
      <c r="A388" s="28">
        <v>30.0</v>
      </c>
      <c r="B388" s="29" t="s">
        <v>51</v>
      </c>
      <c r="C388" s="30">
        <v>80.36</v>
      </c>
      <c r="D388" s="3"/>
      <c r="E388" s="3"/>
      <c r="F388" s="27"/>
      <c r="G388" s="27"/>
      <c r="H388" s="27"/>
      <c r="I388" s="3"/>
      <c r="J388" s="3" t="str">
        <f t="shared" si="49"/>
        <v>0</v>
      </c>
      <c r="K388" s="27" t="str">
        <f t="shared" si="50"/>
        <v> No Issue</v>
      </c>
      <c r="L388" s="3" t="str">
        <f t="shared" si="51"/>
        <v>No Issue</v>
      </c>
      <c r="M388" s="3" t="str">
        <f t="shared" si="52"/>
        <v>No Issue</v>
      </c>
      <c r="N388" s="3" t="str">
        <f t="shared" si="53"/>
        <v>No Issue</v>
      </c>
      <c r="O388" s="3" t="str">
        <f t="shared" si="54"/>
        <v>No Issue</v>
      </c>
      <c r="P388" s="3" t="str">
        <f t="shared" si="55"/>
        <v>NoIssue</v>
      </c>
    </row>
    <row r="389" ht="15.75" customHeight="1">
      <c r="A389" s="28">
        <v>31.0</v>
      </c>
      <c r="B389" s="29" t="s">
        <v>52</v>
      </c>
      <c r="C389" s="30">
        <v>52.46</v>
      </c>
      <c r="D389" s="3"/>
      <c r="E389" s="3"/>
      <c r="F389" s="27"/>
      <c r="G389" s="27"/>
      <c r="H389" s="27"/>
      <c r="I389" s="3"/>
      <c r="J389" s="3" t="str">
        <f t="shared" si="49"/>
        <v>0</v>
      </c>
      <c r="K389" s="27" t="str">
        <f t="shared" si="50"/>
        <v> No Issue</v>
      </c>
      <c r="L389" s="3" t="str">
        <f t="shared" si="51"/>
        <v>No Issue</v>
      </c>
      <c r="M389" s="3" t="str">
        <f t="shared" si="52"/>
        <v>No Issue</v>
      </c>
      <c r="N389" s="3" t="str">
        <f t="shared" si="53"/>
        <v>No Issue</v>
      </c>
      <c r="O389" s="3" t="str">
        <f t="shared" si="54"/>
        <v>No Issue</v>
      </c>
      <c r="P389" s="3" t="str">
        <f t="shared" si="55"/>
        <v>NoIssue</v>
      </c>
    </row>
    <row r="390" ht="15.75" customHeight="1">
      <c r="A390" s="28">
        <v>32.0</v>
      </c>
      <c r="B390" s="29" t="s">
        <v>53</v>
      </c>
      <c r="C390" s="30">
        <v>71.21</v>
      </c>
      <c r="D390" s="3"/>
      <c r="E390" s="3"/>
      <c r="F390" s="27"/>
      <c r="G390" s="27"/>
      <c r="H390" s="27"/>
      <c r="I390" s="3"/>
      <c r="J390" s="3" t="str">
        <f t="shared" si="49"/>
        <v>0</v>
      </c>
      <c r="K390" s="27" t="str">
        <f t="shared" si="50"/>
        <v> No Issue</v>
      </c>
      <c r="L390" s="3" t="str">
        <f t="shared" si="51"/>
        <v>No Issue</v>
      </c>
      <c r="M390" s="3" t="str">
        <f t="shared" si="52"/>
        <v>No Issue</v>
      </c>
      <c r="N390" s="3" t="str">
        <f t="shared" si="53"/>
        <v>No Issue</v>
      </c>
      <c r="O390" s="3" t="str">
        <f t="shared" si="54"/>
        <v>No Issue</v>
      </c>
      <c r="P390" s="3" t="str">
        <f t="shared" si="55"/>
        <v>NoIssue</v>
      </c>
    </row>
    <row r="391" ht="15.75" customHeight="1">
      <c r="A391" s="28">
        <v>33.0</v>
      </c>
      <c r="B391" s="29" t="s">
        <v>54</v>
      </c>
      <c r="C391" s="30">
        <v>80.35</v>
      </c>
      <c r="D391" s="3"/>
      <c r="E391" s="3"/>
      <c r="F391" s="27"/>
      <c r="G391" s="27"/>
      <c r="H391" s="27"/>
      <c r="I391" s="3"/>
      <c r="J391" s="3" t="str">
        <f t="shared" si="49"/>
        <v>0</v>
      </c>
      <c r="K391" s="27" t="str">
        <f t="shared" si="50"/>
        <v> No Issue</v>
      </c>
      <c r="L391" s="3" t="str">
        <f t="shared" si="51"/>
        <v>No Issue</v>
      </c>
      <c r="M391" s="3" t="str">
        <f t="shared" si="52"/>
        <v>No Issue</v>
      </c>
      <c r="N391" s="3" t="str">
        <f t="shared" si="53"/>
        <v>No Issue</v>
      </c>
      <c r="O391" s="3" t="str">
        <f t="shared" si="54"/>
        <v>No Issue</v>
      </c>
      <c r="P391" s="3" t="str">
        <f t="shared" si="55"/>
        <v>NoIssue</v>
      </c>
    </row>
    <row r="392" ht="15.75" customHeight="1">
      <c r="A392" s="28">
        <v>34.0</v>
      </c>
      <c r="B392" s="29" t="s">
        <v>55</v>
      </c>
      <c r="C392" s="30">
        <v>64.18</v>
      </c>
      <c r="D392" s="3"/>
      <c r="E392" s="3"/>
      <c r="F392" s="27"/>
      <c r="G392" s="27"/>
      <c r="H392" s="27"/>
      <c r="I392" s="3"/>
      <c r="J392" s="3" t="str">
        <f t="shared" si="49"/>
        <v>0</v>
      </c>
      <c r="K392" s="27" t="str">
        <f t="shared" si="50"/>
        <v> No Issue</v>
      </c>
      <c r="L392" s="3" t="str">
        <f t="shared" si="51"/>
        <v>No Issue</v>
      </c>
      <c r="M392" s="3" t="str">
        <f t="shared" si="52"/>
        <v>No Issue</v>
      </c>
      <c r="N392" s="3" t="str">
        <f t="shared" si="53"/>
        <v>No Issue</v>
      </c>
      <c r="O392" s="3" t="str">
        <f t="shared" si="54"/>
        <v>No Issue</v>
      </c>
      <c r="P392" s="3" t="str">
        <f t="shared" si="55"/>
        <v>NoIssue</v>
      </c>
    </row>
    <row r="393" ht="15.75" customHeight="1">
      <c r="A393" s="28">
        <v>35.0</v>
      </c>
      <c r="B393" s="29" t="s">
        <v>56</v>
      </c>
      <c r="C393" s="30">
        <v>36.9</v>
      </c>
      <c r="D393" s="3"/>
      <c r="E393" s="3"/>
      <c r="F393" s="27"/>
      <c r="G393" s="27"/>
      <c r="H393" s="27"/>
      <c r="I393" s="3"/>
      <c r="J393" s="3" t="str">
        <f t="shared" si="49"/>
        <v>0</v>
      </c>
      <c r="K393" s="27" t="str">
        <f t="shared" si="50"/>
        <v> No Issue</v>
      </c>
      <c r="L393" s="3" t="str">
        <f t="shared" si="51"/>
        <v>No Issue</v>
      </c>
      <c r="M393" s="3" t="str">
        <f t="shared" si="52"/>
        <v>No Issue</v>
      </c>
      <c r="N393" s="3" t="str">
        <f t="shared" si="53"/>
        <v>No Issue</v>
      </c>
      <c r="O393" s="3" t="str">
        <f t="shared" si="54"/>
        <v>No Issue</v>
      </c>
      <c r="P393" s="3" t="str">
        <f t="shared" si="55"/>
        <v>NoIssue</v>
      </c>
    </row>
    <row r="394" ht="15.75" customHeight="1">
      <c r="A394" s="28">
        <v>36.0</v>
      </c>
      <c r="B394" s="29" t="s">
        <v>57</v>
      </c>
      <c r="C394" s="30">
        <v>101.54</v>
      </c>
      <c r="D394" s="3"/>
      <c r="E394" s="3"/>
      <c r="F394" s="27"/>
      <c r="G394" s="27"/>
      <c r="H394" s="27"/>
      <c r="I394" s="3"/>
      <c r="J394" s="3" t="str">
        <f t="shared" si="49"/>
        <v>0</v>
      </c>
      <c r="K394" s="27" t="str">
        <f t="shared" si="50"/>
        <v> No Issue</v>
      </c>
      <c r="L394" s="3" t="str">
        <f t="shared" si="51"/>
        <v>No Issue</v>
      </c>
      <c r="M394" s="3" t="str">
        <f t="shared" si="52"/>
        <v>No Issue</v>
      </c>
      <c r="N394" s="3" t="str">
        <f t="shared" si="53"/>
        <v>No Issue</v>
      </c>
      <c r="O394" s="3" t="str">
        <f t="shared" si="54"/>
        <v>No Issue</v>
      </c>
      <c r="P394" s="3" t="str">
        <f t="shared" si="55"/>
        <v>NoIssue</v>
      </c>
    </row>
    <row r="395" ht="15.75" customHeight="1">
      <c r="A395" s="28">
        <v>37.0</v>
      </c>
      <c r="B395" s="29" t="s">
        <v>58</v>
      </c>
      <c r="C395" s="30">
        <v>40.5</v>
      </c>
      <c r="D395" s="3"/>
      <c r="E395" s="3"/>
      <c r="F395" s="27"/>
      <c r="G395" s="27"/>
      <c r="H395" s="27"/>
      <c r="I395" s="3"/>
      <c r="J395" s="3" t="str">
        <f t="shared" si="49"/>
        <v>0</v>
      </c>
      <c r="K395" s="27" t="str">
        <f t="shared" si="50"/>
        <v> No Issue</v>
      </c>
      <c r="L395" s="3" t="str">
        <f t="shared" si="51"/>
        <v>No Issue</v>
      </c>
      <c r="M395" s="3" t="str">
        <f t="shared" si="52"/>
        <v>No Issue</v>
      </c>
      <c r="N395" s="3" t="str">
        <f t="shared" si="53"/>
        <v>No Issue</v>
      </c>
      <c r="O395" s="3" t="str">
        <f t="shared" si="54"/>
        <v>No Issue</v>
      </c>
      <c r="P395" s="3" t="str">
        <f t="shared" si="55"/>
        <v>NoIssue</v>
      </c>
    </row>
    <row r="396" ht="15.75" customHeight="1">
      <c r="A396" s="28">
        <v>38.0</v>
      </c>
      <c r="B396" s="29" t="s">
        <v>59</v>
      </c>
      <c r="C396" s="30">
        <v>66.69</v>
      </c>
      <c r="D396" s="3"/>
      <c r="E396" s="3"/>
      <c r="F396" s="27"/>
      <c r="G396" s="27"/>
      <c r="H396" s="27"/>
      <c r="I396" s="3"/>
      <c r="J396" s="3" t="str">
        <f t="shared" si="49"/>
        <v>0</v>
      </c>
      <c r="K396" s="27" t="str">
        <f t="shared" si="50"/>
        <v> No Issue</v>
      </c>
      <c r="L396" s="3" t="str">
        <f t="shared" si="51"/>
        <v>No Issue</v>
      </c>
      <c r="M396" s="3" t="str">
        <f t="shared" si="52"/>
        <v>No Issue</v>
      </c>
      <c r="N396" s="3" t="str">
        <f t="shared" si="53"/>
        <v>No Issue</v>
      </c>
      <c r="O396" s="3" t="str">
        <f t="shared" si="54"/>
        <v>No Issue</v>
      </c>
      <c r="P396" s="3" t="str">
        <f t="shared" si="55"/>
        <v>NoIssue</v>
      </c>
    </row>
    <row r="397" ht="15.75" customHeight="1">
      <c r="A397" s="28">
        <v>39.0</v>
      </c>
      <c r="B397" s="29" t="s">
        <v>60</v>
      </c>
      <c r="C397" s="29">
        <v>150.85999999999999</v>
      </c>
      <c r="D397" s="3"/>
      <c r="E397" s="3"/>
      <c r="F397" s="27"/>
      <c r="G397" s="27"/>
      <c r="H397" s="27"/>
      <c r="I397" s="3"/>
      <c r="J397" s="3" t="str">
        <f t="shared" si="49"/>
        <v>0</v>
      </c>
      <c r="K397" s="27" t="str">
        <f t="shared" si="50"/>
        <v> No Issue</v>
      </c>
      <c r="L397" s="3" t="str">
        <f t="shared" si="51"/>
        <v>No Issue</v>
      </c>
      <c r="M397" s="3" t="str">
        <f t="shared" si="52"/>
        <v>No Issue</v>
      </c>
      <c r="N397" s="3" t="str">
        <f t="shared" si="53"/>
        <v>No Issue</v>
      </c>
      <c r="O397" s="3" t="str">
        <f t="shared" si="54"/>
        <v>No Issue</v>
      </c>
      <c r="P397" s="3" t="str">
        <f t="shared" si="55"/>
        <v>NoIssue</v>
      </c>
    </row>
    <row r="398" ht="15.75" customHeight="1">
      <c r="A398" s="28">
        <v>40.0</v>
      </c>
      <c r="B398" s="33" t="s">
        <v>61</v>
      </c>
      <c r="C398" s="30">
        <v>180.0</v>
      </c>
      <c r="D398" s="3"/>
      <c r="E398" s="3"/>
      <c r="F398" s="27"/>
      <c r="G398" s="27"/>
      <c r="H398" s="27"/>
      <c r="I398" s="3"/>
      <c r="J398" s="3" t="str">
        <f t="shared" si="49"/>
        <v>0</v>
      </c>
      <c r="K398" s="27" t="str">
        <f t="shared" si="50"/>
        <v> No Issue</v>
      </c>
      <c r="L398" s="3" t="str">
        <f t="shared" si="51"/>
        <v>No Issue</v>
      </c>
      <c r="M398" s="3" t="str">
        <f t="shared" si="52"/>
        <v>No Issue</v>
      </c>
      <c r="N398" s="3" t="str">
        <f t="shared" si="53"/>
        <v>No Issue</v>
      </c>
      <c r="O398" s="3" t="str">
        <f t="shared" si="54"/>
        <v>No Issue</v>
      </c>
      <c r="P398" s="3" t="str">
        <f t="shared" si="55"/>
        <v>NoIssue</v>
      </c>
    </row>
    <row r="399" ht="15.75" customHeight="1">
      <c r="A399" s="28">
        <v>41.0</v>
      </c>
      <c r="B399" s="33" t="s">
        <v>62</v>
      </c>
      <c r="C399" s="29">
        <v>128.57</v>
      </c>
      <c r="D399" s="3"/>
      <c r="E399" s="3"/>
      <c r="F399" s="27"/>
      <c r="G399" s="27"/>
      <c r="H399" s="27"/>
      <c r="I399" s="3"/>
      <c r="J399" s="3" t="str">
        <f t="shared" si="49"/>
        <v>0</v>
      </c>
      <c r="K399" s="27" t="str">
        <f t="shared" si="50"/>
        <v> No Issue</v>
      </c>
      <c r="L399" s="3" t="str">
        <f t="shared" si="51"/>
        <v>No Issue</v>
      </c>
      <c r="M399" s="3" t="str">
        <f t="shared" si="52"/>
        <v>No Issue</v>
      </c>
      <c r="N399" s="3" t="str">
        <f t="shared" si="53"/>
        <v>No Issue</v>
      </c>
      <c r="O399" s="3" t="str">
        <f t="shared" si="54"/>
        <v>No Issue</v>
      </c>
      <c r="P399" s="3" t="str">
        <f t="shared" si="55"/>
        <v>NoIssue</v>
      </c>
    </row>
    <row r="400" ht="15.75" customHeight="1">
      <c r="A400" s="28">
        <v>42.0</v>
      </c>
      <c r="B400" s="29"/>
      <c r="C400" s="29"/>
      <c r="D400" s="3"/>
      <c r="E400" s="3"/>
      <c r="F400" s="27"/>
      <c r="G400" s="27"/>
      <c r="H400" s="27"/>
      <c r="I400" s="3"/>
      <c r="J400" s="3" t="str">
        <f t="shared" si="49"/>
        <v>0</v>
      </c>
      <c r="K400" s="27" t="str">
        <f t="shared" si="50"/>
        <v> No Issue</v>
      </c>
      <c r="L400" s="3" t="str">
        <f t="shared" si="51"/>
        <v>No Issue</v>
      </c>
      <c r="M400" s="3" t="str">
        <f t="shared" si="52"/>
        <v>No Issue</v>
      </c>
      <c r="N400" s="3" t="str">
        <f t="shared" si="53"/>
        <v>No Issue</v>
      </c>
      <c r="O400" s="3" t="str">
        <f t="shared" si="54"/>
        <v>No Issue</v>
      </c>
      <c r="P400" s="3" t="str">
        <f t="shared" si="55"/>
        <v>NoIssue</v>
      </c>
    </row>
    <row r="401" ht="15.75" customHeight="1">
      <c r="A401" s="28">
        <v>43.0</v>
      </c>
      <c r="B401" s="34"/>
      <c r="C401" s="34"/>
      <c r="D401" s="3"/>
      <c r="E401" s="3"/>
      <c r="F401" s="27"/>
      <c r="G401" s="27"/>
      <c r="H401" s="27"/>
      <c r="I401" s="3"/>
      <c r="J401" s="3" t="str">
        <f t="shared" si="49"/>
        <v>0</v>
      </c>
      <c r="K401" s="27" t="str">
        <f t="shared" si="50"/>
        <v> No Issue</v>
      </c>
      <c r="L401" s="3" t="str">
        <f t="shared" si="51"/>
        <v>No Issue</v>
      </c>
      <c r="M401" s="3" t="str">
        <f t="shared" si="52"/>
        <v>No Issue</v>
      </c>
      <c r="N401" s="3" t="str">
        <f t="shared" si="53"/>
        <v>No Issue</v>
      </c>
      <c r="O401" s="3" t="str">
        <f t="shared" si="54"/>
        <v>No Issue</v>
      </c>
      <c r="P401" s="3" t="str">
        <f t="shared" si="55"/>
        <v>NoIssue</v>
      </c>
    </row>
    <row r="402" ht="15.75" customHeight="1">
      <c r="A402" s="28">
        <v>44.0</v>
      </c>
      <c r="B402" s="34"/>
      <c r="C402" s="34"/>
      <c r="D402" s="3"/>
      <c r="E402" s="3"/>
      <c r="F402" s="27"/>
      <c r="G402" s="27"/>
      <c r="H402" s="27"/>
      <c r="I402" s="3"/>
      <c r="J402" s="3" t="str">
        <f t="shared" si="49"/>
        <v>0</v>
      </c>
      <c r="K402" s="27" t="str">
        <f t="shared" si="50"/>
        <v> No Issue</v>
      </c>
      <c r="L402" s="3" t="str">
        <f t="shared" si="51"/>
        <v>No Issue</v>
      </c>
      <c r="M402" s="3" t="str">
        <f t="shared" si="52"/>
        <v>No Issue</v>
      </c>
      <c r="N402" s="3" t="str">
        <f t="shared" si="53"/>
        <v>No Issue</v>
      </c>
      <c r="O402" s="3" t="str">
        <f t="shared" si="54"/>
        <v>No Issue</v>
      </c>
      <c r="P402" s="3" t="str">
        <f t="shared" si="55"/>
        <v>NoIssue</v>
      </c>
    </row>
    <row r="403" ht="15.75" customHeight="1">
      <c r="A403" s="28">
        <v>45.0</v>
      </c>
      <c r="B403" s="34"/>
      <c r="C403" s="34"/>
      <c r="D403" s="3"/>
      <c r="E403" s="3"/>
      <c r="F403" s="27"/>
      <c r="G403" s="27"/>
      <c r="H403" s="27"/>
      <c r="I403" s="3"/>
      <c r="J403" s="3" t="str">
        <f t="shared" si="49"/>
        <v>0</v>
      </c>
      <c r="K403" s="27" t="str">
        <f t="shared" si="50"/>
        <v> No Issue</v>
      </c>
      <c r="L403" s="3" t="str">
        <f t="shared" si="51"/>
        <v>No Issue</v>
      </c>
      <c r="M403" s="3" t="str">
        <f t="shared" si="52"/>
        <v>No Issue</v>
      </c>
      <c r="N403" s="3" t="str">
        <f t="shared" si="53"/>
        <v>No Issue</v>
      </c>
      <c r="O403" s="3" t="str">
        <f t="shared" si="54"/>
        <v>No Issue</v>
      </c>
      <c r="P403" s="3" t="str">
        <f t="shared" si="55"/>
        <v>NoIssue</v>
      </c>
    </row>
    <row r="404" ht="15.75" customHeight="1">
      <c r="A404" s="28">
        <v>46.0</v>
      </c>
      <c r="B404" s="34"/>
      <c r="C404" s="34"/>
      <c r="D404" s="3"/>
      <c r="E404" s="3"/>
      <c r="F404" s="27"/>
      <c r="G404" s="27"/>
      <c r="H404" s="27"/>
      <c r="I404" s="3"/>
      <c r="J404" s="3" t="str">
        <f t="shared" si="49"/>
        <v>0</v>
      </c>
      <c r="K404" s="27" t="str">
        <f t="shared" si="50"/>
        <v> No Issue</v>
      </c>
      <c r="L404" s="3" t="str">
        <f t="shared" si="51"/>
        <v>No Issue</v>
      </c>
      <c r="M404" s="3" t="str">
        <f t="shared" si="52"/>
        <v>No Issue</v>
      </c>
      <c r="N404" s="3" t="str">
        <f t="shared" si="53"/>
        <v>No Issue</v>
      </c>
      <c r="O404" s="3" t="str">
        <f t="shared" si="54"/>
        <v>No Issue</v>
      </c>
      <c r="P404" s="3" t="str">
        <f t="shared" si="55"/>
        <v>NoIssue</v>
      </c>
    </row>
    <row r="405" ht="15.75" customHeight="1">
      <c r="A405" s="28">
        <v>47.0</v>
      </c>
      <c r="B405" s="35"/>
      <c r="C405" s="36"/>
      <c r="D405" s="3"/>
      <c r="E405" s="3"/>
      <c r="F405" s="27"/>
      <c r="G405" s="27"/>
      <c r="H405" s="27"/>
      <c r="I405" s="3"/>
      <c r="J405" s="3" t="str">
        <f t="shared" si="49"/>
        <v>0</v>
      </c>
      <c r="K405" s="27" t="str">
        <f t="shared" si="50"/>
        <v> No Issue</v>
      </c>
      <c r="L405" s="3" t="str">
        <f t="shared" si="51"/>
        <v>No Issue</v>
      </c>
      <c r="M405" s="3" t="str">
        <f t="shared" si="52"/>
        <v>No Issue</v>
      </c>
      <c r="N405" s="3" t="str">
        <f t="shared" si="53"/>
        <v>No Issue</v>
      </c>
      <c r="O405" s="3" t="str">
        <f t="shared" si="54"/>
        <v>No Issue</v>
      </c>
      <c r="P405" s="3" t="str">
        <f t="shared" si="55"/>
        <v>NoIssue</v>
      </c>
    </row>
    <row r="406" ht="15.75" customHeight="1">
      <c r="A406" s="28">
        <v>48.0</v>
      </c>
      <c r="B406" s="35"/>
      <c r="C406" s="36"/>
      <c r="D406" s="3"/>
      <c r="E406" s="3"/>
      <c r="F406" s="27"/>
      <c r="G406" s="27"/>
      <c r="H406" s="27"/>
      <c r="I406" s="3"/>
      <c r="J406" s="3" t="str">
        <f t="shared" si="49"/>
        <v>0</v>
      </c>
      <c r="K406" s="27" t="str">
        <f t="shared" si="50"/>
        <v> No Issue</v>
      </c>
      <c r="L406" s="3" t="str">
        <f t="shared" si="51"/>
        <v>No Issue</v>
      </c>
      <c r="M406" s="3" t="str">
        <f t="shared" si="52"/>
        <v>No Issue</v>
      </c>
      <c r="N406" s="3" t="str">
        <f t="shared" si="53"/>
        <v>No Issue</v>
      </c>
      <c r="O406" s="3" t="str">
        <f t="shared" si="54"/>
        <v>No Issue</v>
      </c>
      <c r="P406" s="3" t="str">
        <f t="shared" si="55"/>
        <v>NoIssue</v>
      </c>
    </row>
    <row r="407" ht="15.75" customHeight="1">
      <c r="A407" s="28">
        <v>49.0</v>
      </c>
      <c r="B407" s="35"/>
      <c r="C407" s="36"/>
      <c r="D407" s="3"/>
      <c r="E407" s="3"/>
      <c r="F407" s="27"/>
      <c r="G407" s="27"/>
      <c r="H407" s="27"/>
      <c r="I407" s="3"/>
      <c r="J407" s="3" t="str">
        <f t="shared" si="49"/>
        <v>0</v>
      </c>
      <c r="K407" s="27" t="str">
        <f t="shared" si="50"/>
        <v> No Issue</v>
      </c>
      <c r="L407" s="3" t="str">
        <f t="shared" si="51"/>
        <v>No Issue</v>
      </c>
      <c r="M407" s="3" t="str">
        <f t="shared" si="52"/>
        <v>No Issue</v>
      </c>
      <c r="N407" s="3" t="str">
        <f t="shared" si="53"/>
        <v>No Issue</v>
      </c>
      <c r="O407" s="3" t="str">
        <f t="shared" si="54"/>
        <v>No Issue</v>
      </c>
      <c r="P407" s="3" t="str">
        <f t="shared" si="55"/>
        <v>NoIssue</v>
      </c>
    </row>
    <row r="408" ht="15.75" customHeight="1">
      <c r="A408" s="28">
        <v>50.0</v>
      </c>
      <c r="B408" s="35"/>
      <c r="C408" s="36"/>
      <c r="D408" s="3"/>
      <c r="E408" s="3"/>
      <c r="F408" s="27"/>
      <c r="G408" s="27"/>
      <c r="H408" s="27"/>
      <c r="I408" s="3"/>
      <c r="J408" s="3" t="str">
        <f t="shared" si="49"/>
        <v>0</v>
      </c>
      <c r="K408" s="27" t="str">
        <f t="shared" si="50"/>
        <v> No Issue</v>
      </c>
      <c r="L408" s="3" t="str">
        <f t="shared" si="51"/>
        <v>No Issue</v>
      </c>
      <c r="M408" s="3" t="str">
        <f t="shared" si="52"/>
        <v>No Issue</v>
      </c>
      <c r="N408" s="3" t="str">
        <f t="shared" si="53"/>
        <v>No Issue</v>
      </c>
      <c r="O408" s="3" t="str">
        <f t="shared" si="54"/>
        <v>No Issue</v>
      </c>
      <c r="P408" s="3" t="str">
        <f t="shared" si="55"/>
        <v>NoIssue</v>
      </c>
    </row>
    <row r="409" ht="15.75" customHeight="1">
      <c r="A409" s="28">
        <v>51.0</v>
      </c>
      <c r="B409" s="35"/>
      <c r="C409" s="36"/>
      <c r="D409" s="3"/>
      <c r="E409" s="3"/>
      <c r="F409" s="27"/>
      <c r="G409" s="27"/>
      <c r="H409" s="27"/>
      <c r="I409" s="3"/>
      <c r="J409" s="3" t="str">
        <f t="shared" si="49"/>
        <v>0</v>
      </c>
      <c r="K409" s="27" t="str">
        <f t="shared" si="50"/>
        <v> No Issue</v>
      </c>
      <c r="L409" s="3" t="str">
        <f t="shared" si="51"/>
        <v>No Issue</v>
      </c>
      <c r="M409" s="3" t="str">
        <f t="shared" si="52"/>
        <v>No Issue</v>
      </c>
      <c r="N409" s="3" t="str">
        <f t="shared" si="53"/>
        <v>No Issue</v>
      </c>
      <c r="O409" s="3" t="str">
        <f t="shared" si="54"/>
        <v>No Issue</v>
      </c>
      <c r="P409" s="3" t="str">
        <f t="shared" si="55"/>
        <v>NoIssue</v>
      </c>
    </row>
    <row r="410" ht="15.75" customHeight="1">
      <c r="A410" s="28">
        <v>52.0</v>
      </c>
      <c r="B410" s="35"/>
      <c r="C410" s="36"/>
      <c r="D410" s="3"/>
      <c r="E410" s="3"/>
      <c r="F410" s="27"/>
      <c r="G410" s="27"/>
      <c r="H410" s="27"/>
      <c r="I410" s="3"/>
      <c r="J410" s="3" t="str">
        <f t="shared" si="49"/>
        <v>0</v>
      </c>
      <c r="K410" s="27" t="str">
        <f t="shared" si="50"/>
        <v> No Issue</v>
      </c>
      <c r="L410" s="3" t="str">
        <f t="shared" si="51"/>
        <v>No Issue</v>
      </c>
      <c r="M410" s="3" t="str">
        <f t="shared" si="52"/>
        <v>No Issue</v>
      </c>
      <c r="N410" s="3" t="str">
        <f t="shared" si="53"/>
        <v>No Issue</v>
      </c>
      <c r="O410" s="3" t="str">
        <f t="shared" si="54"/>
        <v>No Issue</v>
      </c>
      <c r="P410" s="3" t="str">
        <f t="shared" si="55"/>
        <v>NoIssue</v>
      </c>
    </row>
    <row r="411" ht="15.75" customHeight="1">
      <c r="A411" s="28">
        <v>53.0</v>
      </c>
      <c r="B411" s="35"/>
      <c r="C411" s="36"/>
      <c r="D411" s="3"/>
      <c r="E411" s="3"/>
      <c r="F411" s="27"/>
      <c r="G411" s="27"/>
      <c r="H411" s="27"/>
      <c r="I411" s="3"/>
      <c r="J411" s="3" t="str">
        <f t="shared" si="49"/>
        <v>0</v>
      </c>
      <c r="K411" s="27" t="str">
        <f t="shared" si="50"/>
        <v> No Issue</v>
      </c>
      <c r="L411" s="3" t="str">
        <f t="shared" si="51"/>
        <v>No Issue</v>
      </c>
      <c r="M411" s="3" t="str">
        <f t="shared" si="52"/>
        <v>No Issue</v>
      </c>
      <c r="N411" s="3" t="str">
        <f t="shared" si="53"/>
        <v>No Issue</v>
      </c>
      <c r="O411" s="3" t="str">
        <f t="shared" si="54"/>
        <v>No Issue</v>
      </c>
      <c r="P411" s="3" t="str">
        <f t="shared" si="55"/>
        <v>NoIssue</v>
      </c>
    </row>
    <row r="412" ht="15.75" customHeight="1">
      <c r="A412" s="28">
        <v>54.0</v>
      </c>
      <c r="B412" s="34"/>
      <c r="C412" s="34"/>
      <c r="D412" s="3"/>
      <c r="E412" s="3"/>
      <c r="F412" s="27"/>
      <c r="G412" s="27"/>
      <c r="H412" s="27"/>
      <c r="I412" s="3"/>
      <c r="J412" s="3" t="str">
        <f t="shared" si="49"/>
        <v>0</v>
      </c>
      <c r="K412" s="27" t="str">
        <f t="shared" si="50"/>
        <v> No Issue</v>
      </c>
      <c r="L412" s="3" t="str">
        <f t="shared" si="51"/>
        <v>No Issue</v>
      </c>
      <c r="M412" s="3" t="str">
        <f t="shared" si="52"/>
        <v>No Issue</v>
      </c>
      <c r="N412" s="3" t="str">
        <f t="shared" si="53"/>
        <v>No Issue</v>
      </c>
      <c r="O412" s="3" t="str">
        <f t="shared" si="54"/>
        <v>No Issue</v>
      </c>
      <c r="P412" s="3" t="str">
        <f t="shared" si="55"/>
        <v>NoIssue</v>
      </c>
    </row>
    <row r="413" ht="15.75" customHeight="1">
      <c r="A413" s="28">
        <v>55.0</v>
      </c>
      <c r="B413" s="35"/>
      <c r="C413" s="36"/>
      <c r="D413" s="3"/>
      <c r="E413" s="3"/>
      <c r="F413" s="27"/>
      <c r="G413" s="27"/>
      <c r="H413" s="27"/>
      <c r="I413" s="3"/>
      <c r="J413" s="3" t="str">
        <f t="shared" si="49"/>
        <v>0</v>
      </c>
      <c r="K413" s="27" t="str">
        <f t="shared" si="50"/>
        <v> No Issue</v>
      </c>
      <c r="L413" s="3" t="str">
        <f t="shared" si="51"/>
        <v>No Issue</v>
      </c>
      <c r="M413" s="3" t="str">
        <f t="shared" si="52"/>
        <v>No Issue</v>
      </c>
      <c r="N413" s="3" t="str">
        <f t="shared" si="53"/>
        <v>No Issue</v>
      </c>
      <c r="O413" s="3" t="str">
        <f t="shared" si="54"/>
        <v>No Issue</v>
      </c>
      <c r="P413" s="3" t="str">
        <f t="shared" si="55"/>
        <v>NoIssue</v>
      </c>
    </row>
    <row r="414" ht="15.75" customHeight="1">
      <c r="A414" s="28">
        <v>56.0</v>
      </c>
      <c r="B414" s="35"/>
      <c r="C414" s="36"/>
      <c r="D414" s="3"/>
      <c r="E414" s="3"/>
      <c r="F414" s="27"/>
      <c r="G414" s="27"/>
      <c r="H414" s="27"/>
      <c r="I414" s="3"/>
      <c r="J414" s="3" t="str">
        <f t="shared" si="49"/>
        <v>0</v>
      </c>
      <c r="K414" s="27" t="str">
        <f t="shared" si="50"/>
        <v> No Issue</v>
      </c>
      <c r="L414" s="3" t="str">
        <f t="shared" si="51"/>
        <v>No Issue</v>
      </c>
      <c r="M414" s="3" t="str">
        <f t="shared" si="52"/>
        <v>No Issue</v>
      </c>
      <c r="N414" s="3" t="str">
        <f t="shared" si="53"/>
        <v>No Issue</v>
      </c>
      <c r="O414" s="3" t="str">
        <f t="shared" si="54"/>
        <v>No Issue</v>
      </c>
      <c r="P414" s="3" t="str">
        <f t="shared" si="55"/>
        <v>NoIssue</v>
      </c>
    </row>
    <row r="415" ht="15.75" customHeight="1">
      <c r="A415" s="28"/>
      <c r="B415" s="3" t="s">
        <v>64</v>
      </c>
      <c r="C415" s="35"/>
      <c r="D415" s="3" t="str">
        <f t="shared" ref="D415:I415" si="56">SUMPRODUCT(D359:D414,$C359:$C414)</f>
        <v>0</v>
      </c>
      <c r="E415" s="3" t="str">
        <f t="shared" si="56"/>
        <v>0</v>
      </c>
      <c r="F415" s="3" t="str">
        <f t="shared" si="56"/>
        <v>0</v>
      </c>
      <c r="G415" s="3" t="str">
        <f t="shared" si="56"/>
        <v>0</v>
      </c>
      <c r="H415" s="3" t="str">
        <f t="shared" si="56"/>
        <v>0</v>
      </c>
      <c r="I415" s="3" t="str">
        <f t="shared" si="56"/>
        <v>0</v>
      </c>
      <c r="J415" s="3" t="str">
        <f t="shared" si="49"/>
        <v>0</v>
      </c>
      <c r="K415" s="27" t="str">
        <f t="shared" si="50"/>
        <v> No Issue</v>
      </c>
      <c r="L415" s="3" t="str">
        <f t="shared" si="51"/>
        <v>No Issue</v>
      </c>
      <c r="M415" s="3" t="str">
        <f t="shared" si="52"/>
        <v>No Issue</v>
      </c>
      <c r="N415" s="3" t="str">
        <f t="shared" si="53"/>
        <v>No Issue</v>
      </c>
      <c r="O415" s="3" t="str">
        <f t="shared" si="54"/>
        <v>No Issue</v>
      </c>
      <c r="P415" s="3" t="str">
        <f t="shared" si="55"/>
        <v>NoIssue</v>
      </c>
    </row>
    <row r="416" ht="15.75" customHeight="1">
      <c r="A416" s="10"/>
      <c r="B416" s="11" t="s">
        <v>3</v>
      </c>
      <c r="C416" s="39"/>
      <c r="D416" s="13"/>
      <c r="E416" s="11"/>
      <c r="F416" s="15"/>
      <c r="G416" s="16"/>
      <c r="H416" s="17"/>
      <c r="I416" s="15"/>
      <c r="J416" s="18"/>
      <c r="K416" s="19" t="s">
        <v>5</v>
      </c>
      <c r="L416" s="20"/>
      <c r="M416" s="20"/>
      <c r="N416" s="20"/>
      <c r="O416" s="20"/>
      <c r="P416" s="21"/>
    </row>
    <row r="417" ht="15.75" customHeight="1">
      <c r="A417" s="40" t="s">
        <v>6</v>
      </c>
      <c r="B417" s="27" t="s">
        <v>7</v>
      </c>
      <c r="C417" s="27" t="s">
        <v>8</v>
      </c>
      <c r="D417" s="26" t="s">
        <v>9</v>
      </c>
      <c r="E417" s="26" t="s">
        <v>10</v>
      </c>
      <c r="F417" s="26" t="s">
        <v>11</v>
      </c>
      <c r="G417" s="26" t="s">
        <v>12</v>
      </c>
      <c r="H417" s="26" t="s">
        <v>13</v>
      </c>
      <c r="I417" s="26" t="s">
        <v>14</v>
      </c>
      <c r="J417" s="26" t="s">
        <v>15</v>
      </c>
      <c r="K417" s="27" t="s">
        <v>16</v>
      </c>
      <c r="L417" s="27" t="s">
        <v>17</v>
      </c>
      <c r="M417" s="27" t="s">
        <v>18</v>
      </c>
      <c r="N417" s="27" t="s">
        <v>19</v>
      </c>
      <c r="O417" s="27" t="s">
        <v>20</v>
      </c>
      <c r="P417" s="27" t="s">
        <v>21</v>
      </c>
    </row>
    <row r="418" ht="15.75" customHeight="1">
      <c r="A418" s="28">
        <v>1.0</v>
      </c>
      <c r="B418" s="29" t="s">
        <v>22</v>
      </c>
      <c r="C418" s="30">
        <v>192.17</v>
      </c>
      <c r="D418" s="3"/>
      <c r="E418" s="3"/>
      <c r="F418" s="3"/>
      <c r="G418" s="3"/>
      <c r="H418" s="3"/>
      <c r="I418" s="3"/>
      <c r="J418" s="3" t="str">
        <f t="shared" ref="J418:J474" si="57">D418+E418-F418-G418+H418</f>
        <v>0</v>
      </c>
      <c r="K418" s="27" t="str">
        <f t="shared" ref="K418:K474" si="58">IF(I418&lt;&gt;(D418+E418-F418-G418+H418),"Closing stock Not Correct-Problem"," No Issue")</f>
        <v> No Issue</v>
      </c>
      <c r="L418" s="3" t="str">
        <f t="shared" ref="L418:L474" si="59">IF((D418+E418)&lt;F418,"High Sale and Less Stock-Problem","No Issue")</f>
        <v>No Issue</v>
      </c>
      <c r="M418" s="3" t="str">
        <f t="shared" ref="M418:M474" si="60">IF(AND((D418+E418+I418)=0,F418&gt;0),"No Stock Sale Present Problem","No Issue")</f>
        <v>No Issue</v>
      </c>
      <c r="N418" s="3" t="str">
        <f t="shared" ref="N418:N474" si="61">IF(AND(SUM(D418:H418)=0,I418&gt;0),"Only Closing Entered Other Parameters No Entired Problem","No Issue")</f>
        <v>No Issue</v>
      </c>
      <c r="O418" s="3" t="str">
        <f t="shared" ref="O418:O474" si="62">IF(F418&gt;5000,"Check Once Sales quantity or Value Problem","No Issue")</f>
        <v>No Issue</v>
      </c>
      <c r="P418" s="3" t="str">
        <f t="shared" ref="P418:P474" si="63">IF(I418&gt;5000,"Check Once Closing quantity or Value Problem","NoIssue")</f>
        <v>NoIssue</v>
      </c>
    </row>
    <row r="419" ht="15.75" customHeight="1">
      <c r="A419" s="28">
        <v>2.0</v>
      </c>
      <c r="B419" s="29" t="s">
        <v>23</v>
      </c>
      <c r="C419" s="30">
        <v>9.26</v>
      </c>
      <c r="D419" s="3"/>
      <c r="E419" s="3"/>
      <c r="F419" s="3"/>
      <c r="G419" s="3"/>
      <c r="H419" s="3"/>
      <c r="I419" s="3"/>
      <c r="J419" s="3" t="str">
        <f t="shared" si="57"/>
        <v>0</v>
      </c>
      <c r="K419" s="27" t="str">
        <f t="shared" si="58"/>
        <v> No Issue</v>
      </c>
      <c r="L419" s="3" t="str">
        <f t="shared" si="59"/>
        <v>No Issue</v>
      </c>
      <c r="M419" s="3" t="str">
        <f t="shared" si="60"/>
        <v>No Issue</v>
      </c>
      <c r="N419" s="3" t="str">
        <f t="shared" si="61"/>
        <v>No Issue</v>
      </c>
      <c r="O419" s="3" t="str">
        <f t="shared" si="62"/>
        <v>No Issue</v>
      </c>
      <c r="P419" s="3" t="str">
        <f t="shared" si="63"/>
        <v>NoIssue</v>
      </c>
    </row>
    <row r="420" ht="15.75" customHeight="1">
      <c r="A420" s="28">
        <v>3.0</v>
      </c>
      <c r="B420" s="29" t="s">
        <v>24</v>
      </c>
      <c r="C420" s="30">
        <v>87.79</v>
      </c>
      <c r="D420" s="3"/>
      <c r="E420" s="3"/>
      <c r="F420" s="3"/>
      <c r="G420" s="3"/>
      <c r="H420" s="3"/>
      <c r="I420" s="3"/>
      <c r="J420" s="3" t="str">
        <f t="shared" si="57"/>
        <v>0</v>
      </c>
      <c r="K420" s="27" t="str">
        <f t="shared" si="58"/>
        <v> No Issue</v>
      </c>
      <c r="L420" s="3" t="str">
        <f t="shared" si="59"/>
        <v>No Issue</v>
      </c>
      <c r="M420" s="3" t="str">
        <f t="shared" si="60"/>
        <v>No Issue</v>
      </c>
      <c r="N420" s="3" t="str">
        <f t="shared" si="61"/>
        <v>No Issue</v>
      </c>
      <c r="O420" s="3" t="str">
        <f t="shared" si="62"/>
        <v>No Issue</v>
      </c>
      <c r="P420" s="3" t="str">
        <f t="shared" si="63"/>
        <v>NoIssue</v>
      </c>
    </row>
    <row r="421" ht="15.75" customHeight="1">
      <c r="A421" s="28">
        <v>4.0</v>
      </c>
      <c r="B421" s="29" t="s">
        <v>25</v>
      </c>
      <c r="C421" s="30">
        <v>55.55</v>
      </c>
      <c r="D421" s="3"/>
      <c r="E421" s="3"/>
      <c r="F421" s="3"/>
      <c r="G421" s="3"/>
      <c r="H421" s="3"/>
      <c r="I421" s="3"/>
      <c r="J421" s="3" t="str">
        <f t="shared" si="57"/>
        <v>0</v>
      </c>
      <c r="K421" s="27" t="str">
        <f t="shared" si="58"/>
        <v> No Issue</v>
      </c>
      <c r="L421" s="3" t="str">
        <f t="shared" si="59"/>
        <v>No Issue</v>
      </c>
      <c r="M421" s="3" t="str">
        <f t="shared" si="60"/>
        <v>No Issue</v>
      </c>
      <c r="N421" s="3" t="str">
        <f t="shared" si="61"/>
        <v>No Issue</v>
      </c>
      <c r="O421" s="3" t="str">
        <f t="shared" si="62"/>
        <v>No Issue</v>
      </c>
      <c r="P421" s="3" t="str">
        <f t="shared" si="63"/>
        <v>NoIssue</v>
      </c>
    </row>
    <row r="422" ht="15.75" customHeight="1">
      <c r="A422" s="28">
        <v>5.0</v>
      </c>
      <c r="B422" s="29" t="s">
        <v>26</v>
      </c>
      <c r="C422" s="30">
        <v>70.01</v>
      </c>
      <c r="D422" s="3"/>
      <c r="E422" s="3"/>
      <c r="F422" s="3"/>
      <c r="G422" s="3"/>
      <c r="H422" s="3"/>
      <c r="I422" s="3"/>
      <c r="J422" s="3" t="str">
        <f t="shared" si="57"/>
        <v>0</v>
      </c>
      <c r="K422" s="27" t="str">
        <f t="shared" si="58"/>
        <v> No Issue</v>
      </c>
      <c r="L422" s="3" t="str">
        <f t="shared" si="59"/>
        <v>No Issue</v>
      </c>
      <c r="M422" s="3" t="str">
        <f t="shared" si="60"/>
        <v>No Issue</v>
      </c>
      <c r="N422" s="3" t="str">
        <f t="shared" si="61"/>
        <v>No Issue</v>
      </c>
      <c r="O422" s="3" t="str">
        <f t="shared" si="62"/>
        <v>No Issue</v>
      </c>
      <c r="P422" s="3" t="str">
        <f t="shared" si="63"/>
        <v>NoIssue</v>
      </c>
    </row>
    <row r="423" ht="15.75" customHeight="1">
      <c r="A423" s="28">
        <v>6.0</v>
      </c>
      <c r="B423" s="29" t="s">
        <v>27</v>
      </c>
      <c r="C423" s="30">
        <v>73.92999999999999</v>
      </c>
      <c r="D423" s="3"/>
      <c r="E423" s="3"/>
      <c r="F423" s="3"/>
      <c r="G423" s="3"/>
      <c r="H423" s="3"/>
      <c r="I423" s="3"/>
      <c r="J423" s="3" t="str">
        <f t="shared" si="57"/>
        <v>0</v>
      </c>
      <c r="K423" s="27" t="str">
        <f t="shared" si="58"/>
        <v> No Issue</v>
      </c>
      <c r="L423" s="3" t="str">
        <f t="shared" si="59"/>
        <v>No Issue</v>
      </c>
      <c r="M423" s="3" t="str">
        <f t="shared" si="60"/>
        <v>No Issue</v>
      </c>
      <c r="N423" s="3" t="str">
        <f t="shared" si="61"/>
        <v>No Issue</v>
      </c>
      <c r="O423" s="3" t="str">
        <f t="shared" si="62"/>
        <v>No Issue</v>
      </c>
      <c r="P423" s="3" t="str">
        <f t="shared" si="63"/>
        <v>NoIssue</v>
      </c>
    </row>
    <row r="424" ht="15.75" customHeight="1">
      <c r="A424" s="28">
        <v>7.0</v>
      </c>
      <c r="B424" s="29" t="s">
        <v>28</v>
      </c>
      <c r="C424" s="30">
        <v>13.91</v>
      </c>
      <c r="D424" s="3"/>
      <c r="E424" s="3"/>
      <c r="F424" s="3"/>
      <c r="G424" s="3"/>
      <c r="H424" s="3"/>
      <c r="I424" s="3"/>
      <c r="J424" s="3" t="str">
        <f t="shared" si="57"/>
        <v>0</v>
      </c>
      <c r="K424" s="27" t="str">
        <f t="shared" si="58"/>
        <v> No Issue</v>
      </c>
      <c r="L424" s="3" t="str">
        <f t="shared" si="59"/>
        <v>No Issue</v>
      </c>
      <c r="M424" s="3" t="str">
        <f t="shared" si="60"/>
        <v>No Issue</v>
      </c>
      <c r="N424" s="3" t="str">
        <f t="shared" si="61"/>
        <v>No Issue</v>
      </c>
      <c r="O424" s="3" t="str">
        <f t="shared" si="62"/>
        <v>No Issue</v>
      </c>
      <c r="P424" s="3" t="str">
        <f t="shared" si="63"/>
        <v>NoIssue</v>
      </c>
    </row>
    <row r="425" ht="15.75" customHeight="1">
      <c r="A425" s="28">
        <v>8.0</v>
      </c>
      <c r="B425" s="29" t="s">
        <v>29</v>
      </c>
      <c r="C425" s="30">
        <v>19.5</v>
      </c>
      <c r="D425" s="3"/>
      <c r="E425" s="3"/>
      <c r="F425" s="3"/>
      <c r="G425" s="3"/>
      <c r="H425" s="3"/>
      <c r="I425" s="3"/>
      <c r="J425" s="3" t="str">
        <f t="shared" si="57"/>
        <v>0</v>
      </c>
      <c r="K425" s="27" t="str">
        <f t="shared" si="58"/>
        <v> No Issue</v>
      </c>
      <c r="L425" s="3" t="str">
        <f t="shared" si="59"/>
        <v>No Issue</v>
      </c>
      <c r="M425" s="3" t="str">
        <f t="shared" si="60"/>
        <v>No Issue</v>
      </c>
      <c r="N425" s="3" t="str">
        <f t="shared" si="61"/>
        <v>No Issue</v>
      </c>
      <c r="O425" s="3" t="str">
        <f t="shared" si="62"/>
        <v>No Issue</v>
      </c>
      <c r="P425" s="3" t="str">
        <f t="shared" si="63"/>
        <v>NoIssue</v>
      </c>
    </row>
    <row r="426" ht="15.75" customHeight="1">
      <c r="A426" s="28">
        <v>9.0</v>
      </c>
      <c r="B426" s="29" t="s">
        <v>30</v>
      </c>
      <c r="C426" s="30">
        <v>28.83</v>
      </c>
      <c r="D426" s="3"/>
      <c r="E426" s="3"/>
      <c r="F426" s="3"/>
      <c r="G426" s="3"/>
      <c r="H426" s="3"/>
      <c r="I426" s="3"/>
      <c r="J426" s="3" t="str">
        <f t="shared" si="57"/>
        <v>0</v>
      </c>
      <c r="K426" s="27" t="str">
        <f t="shared" si="58"/>
        <v> No Issue</v>
      </c>
      <c r="L426" s="3" t="str">
        <f t="shared" si="59"/>
        <v>No Issue</v>
      </c>
      <c r="M426" s="3" t="str">
        <f t="shared" si="60"/>
        <v>No Issue</v>
      </c>
      <c r="N426" s="3" t="str">
        <f t="shared" si="61"/>
        <v>No Issue</v>
      </c>
      <c r="O426" s="3" t="str">
        <f t="shared" si="62"/>
        <v>No Issue</v>
      </c>
      <c r="P426" s="3" t="str">
        <f t="shared" si="63"/>
        <v>NoIssue</v>
      </c>
    </row>
    <row r="427" ht="15.75" customHeight="1">
      <c r="A427" s="28">
        <v>10.0</v>
      </c>
      <c r="B427" s="29" t="s">
        <v>31</v>
      </c>
      <c r="C427" s="30">
        <v>8.51</v>
      </c>
      <c r="D427" s="3"/>
      <c r="E427" s="3"/>
      <c r="F427" s="3"/>
      <c r="G427" s="3"/>
      <c r="H427" s="3"/>
      <c r="I427" s="3"/>
      <c r="J427" s="3" t="str">
        <f t="shared" si="57"/>
        <v>0</v>
      </c>
      <c r="K427" s="27" t="str">
        <f t="shared" si="58"/>
        <v> No Issue</v>
      </c>
      <c r="L427" s="3" t="str">
        <f t="shared" si="59"/>
        <v>No Issue</v>
      </c>
      <c r="M427" s="3" t="str">
        <f t="shared" si="60"/>
        <v>No Issue</v>
      </c>
      <c r="N427" s="3" t="str">
        <f t="shared" si="61"/>
        <v>No Issue</v>
      </c>
      <c r="O427" s="3" t="str">
        <f t="shared" si="62"/>
        <v>No Issue</v>
      </c>
      <c r="P427" s="3" t="str">
        <f t="shared" si="63"/>
        <v>NoIssue</v>
      </c>
    </row>
    <row r="428" ht="15.75" customHeight="1">
      <c r="A428" s="28">
        <v>11.0</v>
      </c>
      <c r="B428" s="29" t="s">
        <v>32</v>
      </c>
      <c r="C428" s="30">
        <v>102.17</v>
      </c>
      <c r="D428" s="3"/>
      <c r="E428" s="3"/>
      <c r="F428" s="3"/>
      <c r="G428" s="3"/>
      <c r="H428" s="3"/>
      <c r="I428" s="3"/>
      <c r="J428" s="3" t="str">
        <f t="shared" si="57"/>
        <v>0</v>
      </c>
      <c r="K428" s="27" t="str">
        <f t="shared" si="58"/>
        <v> No Issue</v>
      </c>
      <c r="L428" s="3" t="str">
        <f t="shared" si="59"/>
        <v>No Issue</v>
      </c>
      <c r="M428" s="3" t="str">
        <f t="shared" si="60"/>
        <v>No Issue</v>
      </c>
      <c r="N428" s="3" t="str">
        <f t="shared" si="61"/>
        <v>No Issue</v>
      </c>
      <c r="O428" s="3" t="str">
        <f t="shared" si="62"/>
        <v>No Issue</v>
      </c>
      <c r="P428" s="3" t="str">
        <f t="shared" si="63"/>
        <v>NoIssue</v>
      </c>
    </row>
    <row r="429" ht="15.75" customHeight="1">
      <c r="A429" s="28">
        <v>12.0</v>
      </c>
      <c r="B429" s="29" t="s">
        <v>33</v>
      </c>
      <c r="C429" s="30">
        <v>59.93</v>
      </c>
      <c r="D429" s="3"/>
      <c r="E429" s="3"/>
      <c r="F429" s="3"/>
      <c r="G429" s="3"/>
      <c r="H429" s="3"/>
      <c r="I429" s="3"/>
      <c r="J429" s="3" t="str">
        <f t="shared" si="57"/>
        <v>0</v>
      </c>
      <c r="K429" s="27" t="str">
        <f t="shared" si="58"/>
        <v> No Issue</v>
      </c>
      <c r="L429" s="3" t="str">
        <f t="shared" si="59"/>
        <v>No Issue</v>
      </c>
      <c r="M429" s="3" t="str">
        <f t="shared" si="60"/>
        <v>No Issue</v>
      </c>
      <c r="N429" s="3" t="str">
        <f t="shared" si="61"/>
        <v>No Issue</v>
      </c>
      <c r="O429" s="3" t="str">
        <f t="shared" si="62"/>
        <v>No Issue</v>
      </c>
      <c r="P429" s="3" t="str">
        <f t="shared" si="63"/>
        <v>NoIssue</v>
      </c>
    </row>
    <row r="430" ht="15.75" customHeight="1">
      <c r="A430" s="28">
        <v>13.0</v>
      </c>
      <c r="B430" s="29" t="s">
        <v>34</v>
      </c>
      <c r="C430" s="30">
        <v>118.0</v>
      </c>
      <c r="D430" s="3"/>
      <c r="E430" s="3"/>
      <c r="F430" s="3"/>
      <c r="G430" s="3"/>
      <c r="H430" s="3"/>
      <c r="I430" s="3"/>
      <c r="J430" s="3" t="str">
        <f t="shared" si="57"/>
        <v>0</v>
      </c>
      <c r="K430" s="27" t="str">
        <f t="shared" si="58"/>
        <v> No Issue</v>
      </c>
      <c r="L430" s="3" t="str">
        <f t="shared" si="59"/>
        <v>No Issue</v>
      </c>
      <c r="M430" s="3" t="str">
        <f t="shared" si="60"/>
        <v>No Issue</v>
      </c>
      <c r="N430" s="3" t="str">
        <f t="shared" si="61"/>
        <v>No Issue</v>
      </c>
      <c r="O430" s="3" t="str">
        <f t="shared" si="62"/>
        <v>No Issue</v>
      </c>
      <c r="P430" s="3" t="str">
        <f t="shared" si="63"/>
        <v>NoIssue</v>
      </c>
    </row>
    <row r="431" ht="15.75" customHeight="1">
      <c r="A431" s="28">
        <v>14.0</v>
      </c>
      <c r="B431" s="29" t="s">
        <v>35</v>
      </c>
      <c r="C431" s="30">
        <v>52.83</v>
      </c>
      <c r="D431" s="3"/>
      <c r="E431" s="3"/>
      <c r="F431" s="3"/>
      <c r="G431" s="3"/>
      <c r="H431" s="3"/>
      <c r="I431" s="3"/>
      <c r="J431" s="3" t="str">
        <f t="shared" si="57"/>
        <v>0</v>
      </c>
      <c r="K431" s="27" t="str">
        <f t="shared" si="58"/>
        <v> No Issue</v>
      </c>
      <c r="L431" s="3" t="str">
        <f t="shared" si="59"/>
        <v>No Issue</v>
      </c>
      <c r="M431" s="3" t="str">
        <f t="shared" si="60"/>
        <v>No Issue</v>
      </c>
      <c r="N431" s="3" t="str">
        <f t="shared" si="61"/>
        <v>No Issue</v>
      </c>
      <c r="O431" s="3" t="str">
        <f t="shared" si="62"/>
        <v>No Issue</v>
      </c>
      <c r="P431" s="3" t="str">
        <f t="shared" si="63"/>
        <v>NoIssue</v>
      </c>
    </row>
    <row r="432" ht="15.75" customHeight="1">
      <c r="A432" s="28">
        <v>15.0</v>
      </c>
      <c r="B432" s="29" t="s">
        <v>36</v>
      </c>
      <c r="C432" s="30">
        <v>93.2</v>
      </c>
      <c r="D432" s="3"/>
      <c r="E432" s="3"/>
      <c r="F432" s="3"/>
      <c r="G432" s="3"/>
      <c r="H432" s="3"/>
      <c r="I432" s="3"/>
      <c r="J432" s="3" t="str">
        <f t="shared" si="57"/>
        <v>0</v>
      </c>
      <c r="K432" s="27" t="str">
        <f t="shared" si="58"/>
        <v> No Issue</v>
      </c>
      <c r="L432" s="3" t="str">
        <f t="shared" si="59"/>
        <v>No Issue</v>
      </c>
      <c r="M432" s="3" t="str">
        <f t="shared" si="60"/>
        <v>No Issue</v>
      </c>
      <c r="N432" s="3" t="str">
        <f t="shared" si="61"/>
        <v>No Issue</v>
      </c>
      <c r="O432" s="3" t="str">
        <f t="shared" si="62"/>
        <v>No Issue</v>
      </c>
      <c r="P432" s="3" t="str">
        <f t="shared" si="63"/>
        <v>NoIssue</v>
      </c>
    </row>
    <row r="433" ht="15.75" customHeight="1">
      <c r="A433" s="28">
        <v>16.0</v>
      </c>
      <c r="B433" s="29" t="s">
        <v>37</v>
      </c>
      <c r="C433" s="30">
        <v>61.02</v>
      </c>
      <c r="D433" s="3"/>
      <c r="E433" s="3"/>
      <c r="F433" s="3"/>
      <c r="G433" s="3"/>
      <c r="H433" s="3"/>
      <c r="I433" s="3"/>
      <c r="J433" s="3" t="str">
        <f t="shared" si="57"/>
        <v>0</v>
      </c>
      <c r="K433" s="27" t="str">
        <f t="shared" si="58"/>
        <v> No Issue</v>
      </c>
      <c r="L433" s="3" t="str">
        <f t="shared" si="59"/>
        <v>No Issue</v>
      </c>
      <c r="M433" s="3" t="str">
        <f t="shared" si="60"/>
        <v>No Issue</v>
      </c>
      <c r="N433" s="3" t="str">
        <f t="shared" si="61"/>
        <v>No Issue</v>
      </c>
      <c r="O433" s="3" t="str">
        <f t="shared" si="62"/>
        <v>No Issue</v>
      </c>
      <c r="P433" s="3" t="str">
        <f t="shared" si="63"/>
        <v>NoIssue</v>
      </c>
    </row>
    <row r="434" ht="15.75" customHeight="1">
      <c r="A434" s="28">
        <v>17.0</v>
      </c>
      <c r="B434" s="29" t="s">
        <v>38</v>
      </c>
      <c r="C434" s="30">
        <v>36.62</v>
      </c>
      <c r="D434" s="3"/>
      <c r="E434" s="3"/>
      <c r="F434" s="3"/>
      <c r="G434" s="3"/>
      <c r="H434" s="3"/>
      <c r="I434" s="3"/>
      <c r="J434" s="3" t="str">
        <f t="shared" si="57"/>
        <v>0</v>
      </c>
      <c r="K434" s="27" t="str">
        <f t="shared" si="58"/>
        <v> No Issue</v>
      </c>
      <c r="L434" s="3" t="str">
        <f t="shared" si="59"/>
        <v>No Issue</v>
      </c>
      <c r="M434" s="3" t="str">
        <f t="shared" si="60"/>
        <v>No Issue</v>
      </c>
      <c r="N434" s="3" t="str">
        <f t="shared" si="61"/>
        <v>No Issue</v>
      </c>
      <c r="O434" s="3" t="str">
        <f t="shared" si="62"/>
        <v>No Issue</v>
      </c>
      <c r="P434" s="3" t="str">
        <f t="shared" si="63"/>
        <v>NoIssue</v>
      </c>
    </row>
    <row r="435" ht="15.75" customHeight="1">
      <c r="A435" s="28">
        <v>18.0</v>
      </c>
      <c r="B435" s="29" t="s">
        <v>39</v>
      </c>
      <c r="C435" s="30">
        <v>80.36</v>
      </c>
      <c r="D435" s="3"/>
      <c r="E435" s="3"/>
      <c r="F435" s="3"/>
      <c r="G435" s="3"/>
      <c r="H435" s="3"/>
      <c r="I435" s="3"/>
      <c r="J435" s="3" t="str">
        <f t="shared" si="57"/>
        <v>0</v>
      </c>
      <c r="K435" s="27" t="str">
        <f t="shared" si="58"/>
        <v> No Issue</v>
      </c>
      <c r="L435" s="3" t="str">
        <f t="shared" si="59"/>
        <v>No Issue</v>
      </c>
      <c r="M435" s="3" t="str">
        <f t="shared" si="60"/>
        <v>No Issue</v>
      </c>
      <c r="N435" s="3" t="str">
        <f t="shared" si="61"/>
        <v>No Issue</v>
      </c>
      <c r="O435" s="3" t="str">
        <f t="shared" si="62"/>
        <v>No Issue</v>
      </c>
      <c r="P435" s="3" t="str">
        <f t="shared" si="63"/>
        <v>NoIssue</v>
      </c>
    </row>
    <row r="436" ht="15.75" customHeight="1">
      <c r="A436" s="28">
        <v>19.0</v>
      </c>
      <c r="B436" s="29" t="s">
        <v>40</v>
      </c>
      <c r="C436" s="30">
        <v>160.56</v>
      </c>
      <c r="D436" s="3"/>
      <c r="E436" s="3"/>
      <c r="F436" s="3"/>
      <c r="G436" s="3"/>
      <c r="H436" s="3"/>
      <c r="I436" s="3"/>
      <c r="J436" s="3" t="str">
        <f t="shared" si="57"/>
        <v>0</v>
      </c>
      <c r="K436" s="27" t="str">
        <f t="shared" si="58"/>
        <v> No Issue</v>
      </c>
      <c r="L436" s="3" t="str">
        <f t="shared" si="59"/>
        <v>No Issue</v>
      </c>
      <c r="M436" s="3" t="str">
        <f t="shared" si="60"/>
        <v>No Issue</v>
      </c>
      <c r="N436" s="3" t="str">
        <f t="shared" si="61"/>
        <v>No Issue</v>
      </c>
      <c r="O436" s="3" t="str">
        <f t="shared" si="62"/>
        <v>No Issue</v>
      </c>
      <c r="P436" s="3" t="str">
        <f t="shared" si="63"/>
        <v>NoIssue</v>
      </c>
    </row>
    <row r="437" ht="15.75" customHeight="1">
      <c r="A437" s="28">
        <v>20.0</v>
      </c>
      <c r="B437" s="29" t="s">
        <v>41</v>
      </c>
      <c r="C437" s="30">
        <v>186.44</v>
      </c>
      <c r="D437" s="3"/>
      <c r="E437" s="3"/>
      <c r="F437" s="3"/>
      <c r="G437" s="3"/>
      <c r="H437" s="3"/>
      <c r="I437" s="3"/>
      <c r="J437" s="3" t="str">
        <f t="shared" si="57"/>
        <v>0</v>
      </c>
      <c r="K437" s="27" t="str">
        <f t="shared" si="58"/>
        <v> No Issue</v>
      </c>
      <c r="L437" s="3" t="str">
        <f t="shared" si="59"/>
        <v>No Issue</v>
      </c>
      <c r="M437" s="3" t="str">
        <f t="shared" si="60"/>
        <v>No Issue</v>
      </c>
      <c r="N437" s="3" t="str">
        <f t="shared" si="61"/>
        <v>No Issue</v>
      </c>
      <c r="O437" s="3" t="str">
        <f t="shared" si="62"/>
        <v>No Issue</v>
      </c>
      <c r="P437" s="3" t="str">
        <f t="shared" si="63"/>
        <v>NoIssue</v>
      </c>
    </row>
    <row r="438" ht="15.75" customHeight="1">
      <c r="A438" s="28">
        <v>21.0</v>
      </c>
      <c r="B438" s="29" t="s">
        <v>42</v>
      </c>
      <c r="C438" s="30">
        <v>92.59</v>
      </c>
      <c r="D438" s="3"/>
      <c r="E438" s="3"/>
      <c r="F438" s="3"/>
      <c r="G438" s="3"/>
      <c r="H438" s="3"/>
      <c r="I438" s="3"/>
      <c r="J438" s="3" t="str">
        <f t="shared" si="57"/>
        <v>0</v>
      </c>
      <c r="K438" s="27" t="str">
        <f t="shared" si="58"/>
        <v> No Issue</v>
      </c>
      <c r="L438" s="3" t="str">
        <f t="shared" si="59"/>
        <v>No Issue</v>
      </c>
      <c r="M438" s="3" t="str">
        <f t="shared" si="60"/>
        <v>No Issue</v>
      </c>
      <c r="N438" s="3" t="str">
        <f t="shared" si="61"/>
        <v>No Issue</v>
      </c>
      <c r="O438" s="3" t="str">
        <f t="shared" si="62"/>
        <v>No Issue</v>
      </c>
      <c r="P438" s="3" t="str">
        <f t="shared" si="63"/>
        <v>NoIssue</v>
      </c>
    </row>
    <row r="439" ht="15.75" customHeight="1">
      <c r="A439" s="28">
        <v>22.0</v>
      </c>
      <c r="B439" s="29" t="s">
        <v>43</v>
      </c>
      <c r="C439" s="30">
        <v>95.17</v>
      </c>
      <c r="D439" s="3"/>
      <c r="E439" s="3"/>
      <c r="F439" s="3"/>
      <c r="G439" s="3"/>
      <c r="H439" s="3"/>
      <c r="I439" s="3"/>
      <c r="J439" s="3" t="str">
        <f t="shared" si="57"/>
        <v>0</v>
      </c>
      <c r="K439" s="27" t="str">
        <f t="shared" si="58"/>
        <v> No Issue</v>
      </c>
      <c r="L439" s="3" t="str">
        <f t="shared" si="59"/>
        <v>No Issue</v>
      </c>
      <c r="M439" s="3" t="str">
        <f t="shared" si="60"/>
        <v>No Issue</v>
      </c>
      <c r="N439" s="3" t="str">
        <f t="shared" si="61"/>
        <v>No Issue</v>
      </c>
      <c r="O439" s="3" t="str">
        <f t="shared" si="62"/>
        <v>No Issue</v>
      </c>
      <c r="P439" s="3" t="str">
        <f t="shared" si="63"/>
        <v>NoIssue</v>
      </c>
    </row>
    <row r="440" ht="15.75" customHeight="1">
      <c r="A440" s="28">
        <v>23.0</v>
      </c>
      <c r="B440" s="29" t="s">
        <v>44</v>
      </c>
      <c r="C440" s="30">
        <v>92.94</v>
      </c>
      <c r="D440" s="3"/>
      <c r="E440" s="3"/>
      <c r="F440" s="3"/>
      <c r="G440" s="3"/>
      <c r="H440" s="3"/>
      <c r="I440" s="3"/>
      <c r="J440" s="3" t="str">
        <f t="shared" si="57"/>
        <v>0</v>
      </c>
      <c r="K440" s="27" t="str">
        <f t="shared" si="58"/>
        <v> No Issue</v>
      </c>
      <c r="L440" s="3" t="str">
        <f t="shared" si="59"/>
        <v>No Issue</v>
      </c>
      <c r="M440" s="3" t="str">
        <f t="shared" si="60"/>
        <v>No Issue</v>
      </c>
      <c r="N440" s="3" t="str">
        <f t="shared" si="61"/>
        <v>No Issue</v>
      </c>
      <c r="O440" s="3" t="str">
        <f t="shared" si="62"/>
        <v>No Issue</v>
      </c>
      <c r="P440" s="3" t="str">
        <f t="shared" si="63"/>
        <v>NoIssue</v>
      </c>
    </row>
    <row r="441" ht="15.75" customHeight="1">
      <c r="A441" s="28">
        <v>24.0</v>
      </c>
      <c r="B441" s="29" t="s">
        <v>45</v>
      </c>
      <c r="C441" s="30">
        <v>101.82</v>
      </c>
      <c r="D441" s="3"/>
      <c r="E441" s="3"/>
      <c r="F441" s="3"/>
      <c r="G441" s="3"/>
      <c r="H441" s="3"/>
      <c r="I441" s="3"/>
      <c r="J441" s="3" t="str">
        <f t="shared" si="57"/>
        <v>0</v>
      </c>
      <c r="K441" s="27" t="str">
        <f t="shared" si="58"/>
        <v> No Issue</v>
      </c>
      <c r="L441" s="3" t="str">
        <f t="shared" si="59"/>
        <v>No Issue</v>
      </c>
      <c r="M441" s="3" t="str">
        <f t="shared" si="60"/>
        <v>No Issue</v>
      </c>
      <c r="N441" s="3" t="str">
        <f t="shared" si="61"/>
        <v>No Issue</v>
      </c>
      <c r="O441" s="3" t="str">
        <f t="shared" si="62"/>
        <v>No Issue</v>
      </c>
      <c r="P441" s="3" t="str">
        <f t="shared" si="63"/>
        <v>NoIssue</v>
      </c>
    </row>
    <row r="442" ht="15.75" customHeight="1">
      <c r="A442" s="28">
        <v>25.0</v>
      </c>
      <c r="B442" s="29" t="s">
        <v>46</v>
      </c>
      <c r="C442" s="30">
        <v>53.49</v>
      </c>
      <c r="D442" s="3"/>
      <c r="E442" s="3"/>
      <c r="F442" s="3"/>
      <c r="G442" s="3"/>
      <c r="H442" s="3"/>
      <c r="I442" s="3"/>
      <c r="J442" s="3" t="str">
        <f t="shared" si="57"/>
        <v>0</v>
      </c>
      <c r="K442" s="27" t="str">
        <f t="shared" si="58"/>
        <v> No Issue</v>
      </c>
      <c r="L442" s="3" t="str">
        <f t="shared" si="59"/>
        <v>No Issue</v>
      </c>
      <c r="M442" s="3" t="str">
        <f t="shared" si="60"/>
        <v>No Issue</v>
      </c>
      <c r="N442" s="3" t="str">
        <f t="shared" si="61"/>
        <v>No Issue</v>
      </c>
      <c r="O442" s="3" t="str">
        <f t="shared" si="62"/>
        <v>No Issue</v>
      </c>
      <c r="P442" s="3" t="str">
        <f t="shared" si="63"/>
        <v>NoIssue</v>
      </c>
    </row>
    <row r="443" ht="15.75" customHeight="1">
      <c r="A443" s="28">
        <v>26.0</v>
      </c>
      <c r="B443" s="29" t="s">
        <v>47</v>
      </c>
      <c r="C443" s="30">
        <v>32.92</v>
      </c>
      <c r="D443" s="3"/>
      <c r="E443" s="3"/>
      <c r="F443" s="3"/>
      <c r="G443" s="3"/>
      <c r="H443" s="3"/>
      <c r="I443" s="3"/>
      <c r="J443" s="3" t="str">
        <f t="shared" si="57"/>
        <v>0</v>
      </c>
      <c r="K443" s="27" t="str">
        <f t="shared" si="58"/>
        <v> No Issue</v>
      </c>
      <c r="L443" s="3" t="str">
        <f t="shared" si="59"/>
        <v>No Issue</v>
      </c>
      <c r="M443" s="3" t="str">
        <f t="shared" si="60"/>
        <v>No Issue</v>
      </c>
      <c r="N443" s="3" t="str">
        <f t="shared" si="61"/>
        <v>No Issue</v>
      </c>
      <c r="O443" s="3" t="str">
        <f t="shared" si="62"/>
        <v>No Issue</v>
      </c>
      <c r="P443" s="3" t="str">
        <f t="shared" si="63"/>
        <v>NoIssue</v>
      </c>
    </row>
    <row r="444" ht="15.75" customHeight="1">
      <c r="A444" s="28">
        <v>27.0</v>
      </c>
      <c r="B444" s="29" t="s">
        <v>48</v>
      </c>
      <c r="C444" s="30">
        <v>116.68</v>
      </c>
      <c r="D444" s="3"/>
      <c r="E444" s="3"/>
      <c r="F444" s="3"/>
      <c r="G444" s="3"/>
      <c r="H444" s="3"/>
      <c r="I444" s="3"/>
      <c r="J444" s="3" t="str">
        <f t="shared" si="57"/>
        <v>0</v>
      </c>
      <c r="K444" s="27" t="str">
        <f t="shared" si="58"/>
        <v> No Issue</v>
      </c>
      <c r="L444" s="3" t="str">
        <f t="shared" si="59"/>
        <v>No Issue</v>
      </c>
      <c r="M444" s="3" t="str">
        <f t="shared" si="60"/>
        <v>No Issue</v>
      </c>
      <c r="N444" s="3" t="str">
        <f t="shared" si="61"/>
        <v>No Issue</v>
      </c>
      <c r="O444" s="3" t="str">
        <f t="shared" si="62"/>
        <v>No Issue</v>
      </c>
      <c r="P444" s="3" t="str">
        <f t="shared" si="63"/>
        <v>NoIssue</v>
      </c>
    </row>
    <row r="445" ht="15.75" customHeight="1">
      <c r="A445" s="28">
        <v>28.0</v>
      </c>
      <c r="B445" s="29" t="s">
        <v>49</v>
      </c>
      <c r="C445" s="30">
        <v>107.96</v>
      </c>
      <c r="D445" s="3"/>
      <c r="E445" s="3"/>
      <c r="F445" s="3"/>
      <c r="G445" s="3"/>
      <c r="H445" s="3"/>
      <c r="I445" s="3"/>
      <c r="J445" s="3" t="str">
        <f t="shared" si="57"/>
        <v>0</v>
      </c>
      <c r="K445" s="27" t="str">
        <f t="shared" si="58"/>
        <v> No Issue</v>
      </c>
      <c r="L445" s="3" t="str">
        <f t="shared" si="59"/>
        <v>No Issue</v>
      </c>
      <c r="M445" s="3" t="str">
        <f t="shared" si="60"/>
        <v>No Issue</v>
      </c>
      <c r="N445" s="3" t="str">
        <f t="shared" si="61"/>
        <v>No Issue</v>
      </c>
      <c r="O445" s="3" t="str">
        <f t="shared" si="62"/>
        <v>No Issue</v>
      </c>
      <c r="P445" s="3" t="str">
        <f t="shared" si="63"/>
        <v>NoIssue</v>
      </c>
    </row>
    <row r="446" ht="15.75" customHeight="1">
      <c r="A446" s="28">
        <v>29.0</v>
      </c>
      <c r="B446" s="29" t="s">
        <v>50</v>
      </c>
      <c r="C446" s="30">
        <v>248.89</v>
      </c>
      <c r="D446" s="3"/>
      <c r="E446" s="3"/>
      <c r="F446" s="3"/>
      <c r="G446" s="3"/>
      <c r="H446" s="3"/>
      <c r="I446" s="3"/>
      <c r="J446" s="3" t="str">
        <f t="shared" si="57"/>
        <v>0</v>
      </c>
      <c r="K446" s="27" t="str">
        <f t="shared" si="58"/>
        <v> No Issue</v>
      </c>
      <c r="L446" s="3" t="str">
        <f t="shared" si="59"/>
        <v>No Issue</v>
      </c>
      <c r="M446" s="3" t="str">
        <f t="shared" si="60"/>
        <v>No Issue</v>
      </c>
      <c r="N446" s="3" t="str">
        <f t="shared" si="61"/>
        <v>No Issue</v>
      </c>
      <c r="O446" s="3" t="str">
        <f t="shared" si="62"/>
        <v>No Issue</v>
      </c>
      <c r="P446" s="3" t="str">
        <f t="shared" si="63"/>
        <v>NoIssue</v>
      </c>
    </row>
    <row r="447" ht="15.75" customHeight="1">
      <c r="A447" s="28">
        <v>30.0</v>
      </c>
      <c r="B447" s="29" t="s">
        <v>51</v>
      </c>
      <c r="C447" s="30">
        <v>80.36</v>
      </c>
      <c r="D447" s="3"/>
      <c r="E447" s="3"/>
      <c r="F447" s="27"/>
      <c r="G447" s="27"/>
      <c r="H447" s="27"/>
      <c r="I447" s="3"/>
      <c r="J447" s="3" t="str">
        <f t="shared" si="57"/>
        <v>0</v>
      </c>
      <c r="K447" s="27" t="str">
        <f t="shared" si="58"/>
        <v> No Issue</v>
      </c>
      <c r="L447" s="3" t="str">
        <f t="shared" si="59"/>
        <v>No Issue</v>
      </c>
      <c r="M447" s="3" t="str">
        <f t="shared" si="60"/>
        <v>No Issue</v>
      </c>
      <c r="N447" s="3" t="str">
        <f t="shared" si="61"/>
        <v>No Issue</v>
      </c>
      <c r="O447" s="3" t="str">
        <f t="shared" si="62"/>
        <v>No Issue</v>
      </c>
      <c r="P447" s="3" t="str">
        <f t="shared" si="63"/>
        <v>NoIssue</v>
      </c>
    </row>
    <row r="448" ht="15.75" customHeight="1">
      <c r="A448" s="28">
        <v>31.0</v>
      </c>
      <c r="B448" s="29" t="s">
        <v>52</v>
      </c>
      <c r="C448" s="30">
        <v>52.46</v>
      </c>
      <c r="D448" s="3"/>
      <c r="E448" s="3"/>
      <c r="F448" s="27"/>
      <c r="G448" s="27"/>
      <c r="H448" s="27"/>
      <c r="I448" s="3"/>
      <c r="J448" s="3" t="str">
        <f t="shared" si="57"/>
        <v>0</v>
      </c>
      <c r="K448" s="27" t="str">
        <f t="shared" si="58"/>
        <v> No Issue</v>
      </c>
      <c r="L448" s="3" t="str">
        <f t="shared" si="59"/>
        <v>No Issue</v>
      </c>
      <c r="M448" s="3" t="str">
        <f t="shared" si="60"/>
        <v>No Issue</v>
      </c>
      <c r="N448" s="3" t="str">
        <f t="shared" si="61"/>
        <v>No Issue</v>
      </c>
      <c r="O448" s="3" t="str">
        <f t="shared" si="62"/>
        <v>No Issue</v>
      </c>
      <c r="P448" s="3" t="str">
        <f t="shared" si="63"/>
        <v>NoIssue</v>
      </c>
    </row>
    <row r="449" ht="15.75" customHeight="1">
      <c r="A449" s="28">
        <v>32.0</v>
      </c>
      <c r="B449" s="29" t="s">
        <v>53</v>
      </c>
      <c r="C449" s="30">
        <v>71.21</v>
      </c>
      <c r="D449" s="3"/>
      <c r="E449" s="3"/>
      <c r="F449" s="27"/>
      <c r="G449" s="27"/>
      <c r="H449" s="27"/>
      <c r="I449" s="3"/>
      <c r="J449" s="3" t="str">
        <f t="shared" si="57"/>
        <v>0</v>
      </c>
      <c r="K449" s="27" t="str">
        <f t="shared" si="58"/>
        <v> No Issue</v>
      </c>
      <c r="L449" s="3" t="str">
        <f t="shared" si="59"/>
        <v>No Issue</v>
      </c>
      <c r="M449" s="3" t="str">
        <f t="shared" si="60"/>
        <v>No Issue</v>
      </c>
      <c r="N449" s="3" t="str">
        <f t="shared" si="61"/>
        <v>No Issue</v>
      </c>
      <c r="O449" s="3" t="str">
        <f t="shared" si="62"/>
        <v>No Issue</v>
      </c>
      <c r="P449" s="3" t="str">
        <f t="shared" si="63"/>
        <v>NoIssue</v>
      </c>
    </row>
    <row r="450" ht="15.75" customHeight="1">
      <c r="A450" s="28">
        <v>33.0</v>
      </c>
      <c r="B450" s="29" t="s">
        <v>54</v>
      </c>
      <c r="C450" s="30">
        <v>80.35</v>
      </c>
      <c r="D450" s="3"/>
      <c r="E450" s="3"/>
      <c r="F450" s="27"/>
      <c r="G450" s="27"/>
      <c r="H450" s="27"/>
      <c r="I450" s="3"/>
      <c r="J450" s="3" t="str">
        <f t="shared" si="57"/>
        <v>0</v>
      </c>
      <c r="K450" s="27" t="str">
        <f t="shared" si="58"/>
        <v> No Issue</v>
      </c>
      <c r="L450" s="3" t="str">
        <f t="shared" si="59"/>
        <v>No Issue</v>
      </c>
      <c r="M450" s="3" t="str">
        <f t="shared" si="60"/>
        <v>No Issue</v>
      </c>
      <c r="N450" s="3" t="str">
        <f t="shared" si="61"/>
        <v>No Issue</v>
      </c>
      <c r="O450" s="3" t="str">
        <f t="shared" si="62"/>
        <v>No Issue</v>
      </c>
      <c r="P450" s="3" t="str">
        <f t="shared" si="63"/>
        <v>NoIssue</v>
      </c>
    </row>
    <row r="451" ht="15.75" customHeight="1">
      <c r="A451" s="28">
        <v>34.0</v>
      </c>
      <c r="B451" s="29" t="s">
        <v>55</v>
      </c>
      <c r="C451" s="30">
        <v>64.18</v>
      </c>
      <c r="D451" s="3"/>
      <c r="E451" s="3"/>
      <c r="F451" s="27"/>
      <c r="G451" s="27"/>
      <c r="H451" s="27"/>
      <c r="I451" s="3"/>
      <c r="J451" s="3" t="str">
        <f t="shared" si="57"/>
        <v>0</v>
      </c>
      <c r="K451" s="27" t="str">
        <f t="shared" si="58"/>
        <v> No Issue</v>
      </c>
      <c r="L451" s="3" t="str">
        <f t="shared" si="59"/>
        <v>No Issue</v>
      </c>
      <c r="M451" s="3" t="str">
        <f t="shared" si="60"/>
        <v>No Issue</v>
      </c>
      <c r="N451" s="3" t="str">
        <f t="shared" si="61"/>
        <v>No Issue</v>
      </c>
      <c r="O451" s="3" t="str">
        <f t="shared" si="62"/>
        <v>No Issue</v>
      </c>
      <c r="P451" s="3" t="str">
        <f t="shared" si="63"/>
        <v>NoIssue</v>
      </c>
    </row>
    <row r="452" ht="15.75" customHeight="1">
      <c r="A452" s="28">
        <v>35.0</v>
      </c>
      <c r="B452" s="29" t="s">
        <v>56</v>
      </c>
      <c r="C452" s="30">
        <v>36.9</v>
      </c>
      <c r="D452" s="3"/>
      <c r="E452" s="3"/>
      <c r="F452" s="27"/>
      <c r="G452" s="27"/>
      <c r="H452" s="27"/>
      <c r="I452" s="3"/>
      <c r="J452" s="3" t="str">
        <f t="shared" si="57"/>
        <v>0</v>
      </c>
      <c r="K452" s="27" t="str">
        <f t="shared" si="58"/>
        <v> No Issue</v>
      </c>
      <c r="L452" s="3" t="str">
        <f t="shared" si="59"/>
        <v>No Issue</v>
      </c>
      <c r="M452" s="3" t="str">
        <f t="shared" si="60"/>
        <v>No Issue</v>
      </c>
      <c r="N452" s="3" t="str">
        <f t="shared" si="61"/>
        <v>No Issue</v>
      </c>
      <c r="O452" s="3" t="str">
        <f t="shared" si="62"/>
        <v>No Issue</v>
      </c>
      <c r="P452" s="3" t="str">
        <f t="shared" si="63"/>
        <v>NoIssue</v>
      </c>
    </row>
    <row r="453" ht="15.75" customHeight="1">
      <c r="A453" s="28">
        <v>36.0</v>
      </c>
      <c r="B453" s="29" t="s">
        <v>57</v>
      </c>
      <c r="C453" s="30">
        <v>101.54</v>
      </c>
      <c r="D453" s="3"/>
      <c r="E453" s="3"/>
      <c r="F453" s="27"/>
      <c r="G453" s="27"/>
      <c r="H453" s="27"/>
      <c r="I453" s="3"/>
      <c r="J453" s="3" t="str">
        <f t="shared" si="57"/>
        <v>0</v>
      </c>
      <c r="K453" s="27" t="str">
        <f t="shared" si="58"/>
        <v> No Issue</v>
      </c>
      <c r="L453" s="3" t="str">
        <f t="shared" si="59"/>
        <v>No Issue</v>
      </c>
      <c r="M453" s="3" t="str">
        <f t="shared" si="60"/>
        <v>No Issue</v>
      </c>
      <c r="N453" s="3" t="str">
        <f t="shared" si="61"/>
        <v>No Issue</v>
      </c>
      <c r="O453" s="3" t="str">
        <f t="shared" si="62"/>
        <v>No Issue</v>
      </c>
      <c r="P453" s="3" t="str">
        <f t="shared" si="63"/>
        <v>NoIssue</v>
      </c>
    </row>
    <row r="454" ht="15.75" customHeight="1">
      <c r="A454" s="28">
        <v>37.0</v>
      </c>
      <c r="B454" s="29" t="s">
        <v>58</v>
      </c>
      <c r="C454" s="30">
        <v>40.5</v>
      </c>
      <c r="D454" s="3"/>
      <c r="E454" s="3"/>
      <c r="F454" s="27"/>
      <c r="G454" s="27"/>
      <c r="H454" s="27"/>
      <c r="I454" s="3"/>
      <c r="J454" s="3" t="str">
        <f t="shared" si="57"/>
        <v>0</v>
      </c>
      <c r="K454" s="27" t="str">
        <f t="shared" si="58"/>
        <v> No Issue</v>
      </c>
      <c r="L454" s="3" t="str">
        <f t="shared" si="59"/>
        <v>No Issue</v>
      </c>
      <c r="M454" s="3" t="str">
        <f t="shared" si="60"/>
        <v>No Issue</v>
      </c>
      <c r="N454" s="3" t="str">
        <f t="shared" si="61"/>
        <v>No Issue</v>
      </c>
      <c r="O454" s="3" t="str">
        <f t="shared" si="62"/>
        <v>No Issue</v>
      </c>
      <c r="P454" s="3" t="str">
        <f t="shared" si="63"/>
        <v>NoIssue</v>
      </c>
    </row>
    <row r="455" ht="15.75" customHeight="1">
      <c r="A455" s="28">
        <v>38.0</v>
      </c>
      <c r="B455" s="29" t="s">
        <v>59</v>
      </c>
      <c r="C455" s="30">
        <v>66.69</v>
      </c>
      <c r="D455" s="3"/>
      <c r="E455" s="3"/>
      <c r="F455" s="27"/>
      <c r="G455" s="27"/>
      <c r="H455" s="27"/>
      <c r="I455" s="3"/>
      <c r="J455" s="3" t="str">
        <f t="shared" si="57"/>
        <v>0</v>
      </c>
      <c r="K455" s="27" t="str">
        <f t="shared" si="58"/>
        <v> No Issue</v>
      </c>
      <c r="L455" s="3" t="str">
        <f t="shared" si="59"/>
        <v>No Issue</v>
      </c>
      <c r="M455" s="3" t="str">
        <f t="shared" si="60"/>
        <v>No Issue</v>
      </c>
      <c r="N455" s="3" t="str">
        <f t="shared" si="61"/>
        <v>No Issue</v>
      </c>
      <c r="O455" s="3" t="str">
        <f t="shared" si="62"/>
        <v>No Issue</v>
      </c>
      <c r="P455" s="3" t="str">
        <f t="shared" si="63"/>
        <v>NoIssue</v>
      </c>
    </row>
    <row r="456" ht="15.75" customHeight="1">
      <c r="A456" s="28">
        <v>39.0</v>
      </c>
      <c r="B456" s="29" t="s">
        <v>60</v>
      </c>
      <c r="C456" s="29">
        <v>150.85999999999999</v>
      </c>
      <c r="D456" s="3"/>
      <c r="E456" s="3"/>
      <c r="F456" s="27"/>
      <c r="G456" s="27"/>
      <c r="H456" s="27"/>
      <c r="I456" s="3"/>
      <c r="J456" s="3" t="str">
        <f t="shared" si="57"/>
        <v>0</v>
      </c>
      <c r="K456" s="27" t="str">
        <f t="shared" si="58"/>
        <v> No Issue</v>
      </c>
      <c r="L456" s="3" t="str">
        <f t="shared" si="59"/>
        <v>No Issue</v>
      </c>
      <c r="M456" s="3" t="str">
        <f t="shared" si="60"/>
        <v>No Issue</v>
      </c>
      <c r="N456" s="3" t="str">
        <f t="shared" si="61"/>
        <v>No Issue</v>
      </c>
      <c r="O456" s="3" t="str">
        <f t="shared" si="62"/>
        <v>No Issue</v>
      </c>
      <c r="P456" s="3" t="str">
        <f t="shared" si="63"/>
        <v>NoIssue</v>
      </c>
    </row>
    <row r="457" ht="15.75" customHeight="1">
      <c r="A457" s="28">
        <v>40.0</v>
      </c>
      <c r="B457" s="33" t="s">
        <v>61</v>
      </c>
      <c r="C457" s="30">
        <v>180.0</v>
      </c>
      <c r="D457" s="3"/>
      <c r="E457" s="3"/>
      <c r="F457" s="27"/>
      <c r="G457" s="27"/>
      <c r="H457" s="27"/>
      <c r="I457" s="3"/>
      <c r="J457" s="3" t="str">
        <f t="shared" si="57"/>
        <v>0</v>
      </c>
      <c r="K457" s="27" t="str">
        <f t="shared" si="58"/>
        <v> No Issue</v>
      </c>
      <c r="L457" s="3" t="str">
        <f t="shared" si="59"/>
        <v>No Issue</v>
      </c>
      <c r="M457" s="3" t="str">
        <f t="shared" si="60"/>
        <v>No Issue</v>
      </c>
      <c r="N457" s="3" t="str">
        <f t="shared" si="61"/>
        <v>No Issue</v>
      </c>
      <c r="O457" s="3" t="str">
        <f t="shared" si="62"/>
        <v>No Issue</v>
      </c>
      <c r="P457" s="3" t="str">
        <f t="shared" si="63"/>
        <v>NoIssue</v>
      </c>
    </row>
    <row r="458" ht="15.75" customHeight="1">
      <c r="A458" s="28">
        <v>41.0</v>
      </c>
      <c r="B458" s="33" t="s">
        <v>62</v>
      </c>
      <c r="C458" s="29">
        <v>128.57</v>
      </c>
      <c r="D458" s="3"/>
      <c r="E458" s="3"/>
      <c r="F458" s="27"/>
      <c r="G458" s="27"/>
      <c r="H458" s="27"/>
      <c r="I458" s="3"/>
      <c r="J458" s="3" t="str">
        <f t="shared" si="57"/>
        <v>0</v>
      </c>
      <c r="K458" s="27" t="str">
        <f t="shared" si="58"/>
        <v> No Issue</v>
      </c>
      <c r="L458" s="3" t="str">
        <f t="shared" si="59"/>
        <v>No Issue</v>
      </c>
      <c r="M458" s="3" t="str">
        <f t="shared" si="60"/>
        <v>No Issue</v>
      </c>
      <c r="N458" s="3" t="str">
        <f t="shared" si="61"/>
        <v>No Issue</v>
      </c>
      <c r="O458" s="3" t="str">
        <f t="shared" si="62"/>
        <v>No Issue</v>
      </c>
      <c r="P458" s="3" t="str">
        <f t="shared" si="63"/>
        <v>NoIssue</v>
      </c>
    </row>
    <row r="459" ht="15.75" customHeight="1">
      <c r="A459" s="28">
        <v>42.0</v>
      </c>
      <c r="B459" s="29"/>
      <c r="C459" s="29"/>
      <c r="D459" s="3"/>
      <c r="E459" s="3"/>
      <c r="F459" s="27"/>
      <c r="G459" s="27"/>
      <c r="H459" s="27"/>
      <c r="I459" s="3"/>
      <c r="J459" s="3" t="str">
        <f t="shared" si="57"/>
        <v>0</v>
      </c>
      <c r="K459" s="27" t="str">
        <f t="shared" si="58"/>
        <v> No Issue</v>
      </c>
      <c r="L459" s="3" t="str">
        <f t="shared" si="59"/>
        <v>No Issue</v>
      </c>
      <c r="M459" s="3" t="str">
        <f t="shared" si="60"/>
        <v>No Issue</v>
      </c>
      <c r="N459" s="3" t="str">
        <f t="shared" si="61"/>
        <v>No Issue</v>
      </c>
      <c r="O459" s="3" t="str">
        <f t="shared" si="62"/>
        <v>No Issue</v>
      </c>
      <c r="P459" s="3" t="str">
        <f t="shared" si="63"/>
        <v>NoIssue</v>
      </c>
    </row>
    <row r="460" ht="15.75" customHeight="1">
      <c r="A460" s="28">
        <v>43.0</v>
      </c>
      <c r="B460" s="34"/>
      <c r="C460" s="34"/>
      <c r="D460" s="3"/>
      <c r="E460" s="3"/>
      <c r="F460" s="27"/>
      <c r="G460" s="27"/>
      <c r="H460" s="27"/>
      <c r="I460" s="3"/>
      <c r="J460" s="3" t="str">
        <f t="shared" si="57"/>
        <v>0</v>
      </c>
      <c r="K460" s="27" t="str">
        <f t="shared" si="58"/>
        <v> No Issue</v>
      </c>
      <c r="L460" s="3" t="str">
        <f t="shared" si="59"/>
        <v>No Issue</v>
      </c>
      <c r="M460" s="3" t="str">
        <f t="shared" si="60"/>
        <v>No Issue</v>
      </c>
      <c r="N460" s="3" t="str">
        <f t="shared" si="61"/>
        <v>No Issue</v>
      </c>
      <c r="O460" s="3" t="str">
        <f t="shared" si="62"/>
        <v>No Issue</v>
      </c>
      <c r="P460" s="3" t="str">
        <f t="shared" si="63"/>
        <v>NoIssue</v>
      </c>
    </row>
    <row r="461" ht="15.75" customHeight="1">
      <c r="A461" s="28">
        <v>44.0</v>
      </c>
      <c r="B461" s="34"/>
      <c r="C461" s="34"/>
      <c r="D461" s="3"/>
      <c r="E461" s="3"/>
      <c r="F461" s="27"/>
      <c r="G461" s="27"/>
      <c r="H461" s="27"/>
      <c r="I461" s="3"/>
      <c r="J461" s="3" t="str">
        <f t="shared" si="57"/>
        <v>0</v>
      </c>
      <c r="K461" s="27" t="str">
        <f t="shared" si="58"/>
        <v> No Issue</v>
      </c>
      <c r="L461" s="3" t="str">
        <f t="shared" si="59"/>
        <v>No Issue</v>
      </c>
      <c r="M461" s="3" t="str">
        <f t="shared" si="60"/>
        <v>No Issue</v>
      </c>
      <c r="N461" s="3" t="str">
        <f t="shared" si="61"/>
        <v>No Issue</v>
      </c>
      <c r="O461" s="3" t="str">
        <f t="shared" si="62"/>
        <v>No Issue</v>
      </c>
      <c r="P461" s="3" t="str">
        <f t="shared" si="63"/>
        <v>NoIssue</v>
      </c>
    </row>
    <row r="462" ht="15.75" customHeight="1">
      <c r="A462" s="28">
        <v>45.0</v>
      </c>
      <c r="B462" s="34"/>
      <c r="C462" s="34"/>
      <c r="D462" s="3"/>
      <c r="E462" s="3"/>
      <c r="F462" s="27"/>
      <c r="G462" s="27"/>
      <c r="H462" s="27"/>
      <c r="I462" s="3"/>
      <c r="J462" s="3" t="str">
        <f t="shared" si="57"/>
        <v>0</v>
      </c>
      <c r="K462" s="27" t="str">
        <f t="shared" si="58"/>
        <v> No Issue</v>
      </c>
      <c r="L462" s="3" t="str">
        <f t="shared" si="59"/>
        <v>No Issue</v>
      </c>
      <c r="M462" s="3" t="str">
        <f t="shared" si="60"/>
        <v>No Issue</v>
      </c>
      <c r="N462" s="3" t="str">
        <f t="shared" si="61"/>
        <v>No Issue</v>
      </c>
      <c r="O462" s="3" t="str">
        <f t="shared" si="62"/>
        <v>No Issue</v>
      </c>
      <c r="P462" s="3" t="str">
        <f t="shared" si="63"/>
        <v>NoIssue</v>
      </c>
    </row>
    <row r="463" ht="15.75" customHeight="1">
      <c r="A463" s="28">
        <v>46.0</v>
      </c>
      <c r="B463" s="34"/>
      <c r="C463" s="34"/>
      <c r="D463" s="3"/>
      <c r="E463" s="3"/>
      <c r="F463" s="27"/>
      <c r="G463" s="27"/>
      <c r="H463" s="27"/>
      <c r="I463" s="3"/>
      <c r="J463" s="3" t="str">
        <f t="shared" si="57"/>
        <v>0</v>
      </c>
      <c r="K463" s="27" t="str">
        <f t="shared" si="58"/>
        <v> No Issue</v>
      </c>
      <c r="L463" s="3" t="str">
        <f t="shared" si="59"/>
        <v>No Issue</v>
      </c>
      <c r="M463" s="3" t="str">
        <f t="shared" si="60"/>
        <v>No Issue</v>
      </c>
      <c r="N463" s="3" t="str">
        <f t="shared" si="61"/>
        <v>No Issue</v>
      </c>
      <c r="O463" s="3" t="str">
        <f t="shared" si="62"/>
        <v>No Issue</v>
      </c>
      <c r="P463" s="3" t="str">
        <f t="shared" si="63"/>
        <v>NoIssue</v>
      </c>
    </row>
    <row r="464" ht="15.75" customHeight="1">
      <c r="A464" s="28">
        <v>47.0</v>
      </c>
      <c r="B464" s="35"/>
      <c r="C464" s="36"/>
      <c r="D464" s="3"/>
      <c r="E464" s="3"/>
      <c r="F464" s="27"/>
      <c r="G464" s="27"/>
      <c r="H464" s="27"/>
      <c r="I464" s="3"/>
      <c r="J464" s="3" t="str">
        <f t="shared" si="57"/>
        <v>0</v>
      </c>
      <c r="K464" s="27" t="str">
        <f t="shared" si="58"/>
        <v> No Issue</v>
      </c>
      <c r="L464" s="3" t="str">
        <f t="shared" si="59"/>
        <v>No Issue</v>
      </c>
      <c r="M464" s="3" t="str">
        <f t="shared" si="60"/>
        <v>No Issue</v>
      </c>
      <c r="N464" s="3" t="str">
        <f t="shared" si="61"/>
        <v>No Issue</v>
      </c>
      <c r="O464" s="3" t="str">
        <f t="shared" si="62"/>
        <v>No Issue</v>
      </c>
      <c r="P464" s="3" t="str">
        <f t="shared" si="63"/>
        <v>NoIssue</v>
      </c>
    </row>
    <row r="465" ht="15.75" customHeight="1">
      <c r="A465" s="28">
        <v>48.0</v>
      </c>
      <c r="B465" s="35"/>
      <c r="C465" s="36"/>
      <c r="D465" s="3"/>
      <c r="E465" s="3"/>
      <c r="F465" s="27"/>
      <c r="G465" s="27"/>
      <c r="H465" s="27"/>
      <c r="I465" s="3"/>
      <c r="J465" s="3" t="str">
        <f t="shared" si="57"/>
        <v>0</v>
      </c>
      <c r="K465" s="27" t="str">
        <f t="shared" si="58"/>
        <v> No Issue</v>
      </c>
      <c r="L465" s="3" t="str">
        <f t="shared" si="59"/>
        <v>No Issue</v>
      </c>
      <c r="M465" s="3" t="str">
        <f t="shared" si="60"/>
        <v>No Issue</v>
      </c>
      <c r="N465" s="3" t="str">
        <f t="shared" si="61"/>
        <v>No Issue</v>
      </c>
      <c r="O465" s="3" t="str">
        <f t="shared" si="62"/>
        <v>No Issue</v>
      </c>
      <c r="P465" s="3" t="str">
        <f t="shared" si="63"/>
        <v>NoIssue</v>
      </c>
    </row>
    <row r="466" ht="15.75" customHeight="1">
      <c r="A466" s="28">
        <v>49.0</v>
      </c>
      <c r="B466" s="35"/>
      <c r="C466" s="36"/>
      <c r="D466" s="3"/>
      <c r="E466" s="3"/>
      <c r="F466" s="27"/>
      <c r="G466" s="27"/>
      <c r="H466" s="27"/>
      <c r="I466" s="3"/>
      <c r="J466" s="3" t="str">
        <f t="shared" si="57"/>
        <v>0</v>
      </c>
      <c r="K466" s="27" t="str">
        <f t="shared" si="58"/>
        <v> No Issue</v>
      </c>
      <c r="L466" s="3" t="str">
        <f t="shared" si="59"/>
        <v>No Issue</v>
      </c>
      <c r="M466" s="3" t="str">
        <f t="shared" si="60"/>
        <v>No Issue</v>
      </c>
      <c r="N466" s="3" t="str">
        <f t="shared" si="61"/>
        <v>No Issue</v>
      </c>
      <c r="O466" s="3" t="str">
        <f t="shared" si="62"/>
        <v>No Issue</v>
      </c>
      <c r="P466" s="3" t="str">
        <f t="shared" si="63"/>
        <v>NoIssue</v>
      </c>
    </row>
    <row r="467" ht="15.75" customHeight="1">
      <c r="A467" s="28">
        <v>50.0</v>
      </c>
      <c r="B467" s="35"/>
      <c r="C467" s="36"/>
      <c r="D467" s="3"/>
      <c r="E467" s="3"/>
      <c r="F467" s="27"/>
      <c r="G467" s="27"/>
      <c r="H467" s="27"/>
      <c r="I467" s="3"/>
      <c r="J467" s="3" t="str">
        <f t="shared" si="57"/>
        <v>0</v>
      </c>
      <c r="K467" s="27" t="str">
        <f t="shared" si="58"/>
        <v> No Issue</v>
      </c>
      <c r="L467" s="3" t="str">
        <f t="shared" si="59"/>
        <v>No Issue</v>
      </c>
      <c r="M467" s="3" t="str">
        <f t="shared" si="60"/>
        <v>No Issue</v>
      </c>
      <c r="N467" s="3" t="str">
        <f t="shared" si="61"/>
        <v>No Issue</v>
      </c>
      <c r="O467" s="3" t="str">
        <f t="shared" si="62"/>
        <v>No Issue</v>
      </c>
      <c r="P467" s="3" t="str">
        <f t="shared" si="63"/>
        <v>NoIssue</v>
      </c>
    </row>
    <row r="468" ht="15.75" customHeight="1">
      <c r="A468" s="28">
        <v>51.0</v>
      </c>
      <c r="B468" s="35"/>
      <c r="C468" s="36"/>
      <c r="D468" s="3"/>
      <c r="E468" s="3"/>
      <c r="F468" s="27"/>
      <c r="G468" s="27"/>
      <c r="H468" s="27"/>
      <c r="I468" s="3"/>
      <c r="J468" s="3" t="str">
        <f t="shared" si="57"/>
        <v>0</v>
      </c>
      <c r="K468" s="27" t="str">
        <f t="shared" si="58"/>
        <v> No Issue</v>
      </c>
      <c r="L468" s="3" t="str">
        <f t="shared" si="59"/>
        <v>No Issue</v>
      </c>
      <c r="M468" s="3" t="str">
        <f t="shared" si="60"/>
        <v>No Issue</v>
      </c>
      <c r="N468" s="3" t="str">
        <f t="shared" si="61"/>
        <v>No Issue</v>
      </c>
      <c r="O468" s="3" t="str">
        <f t="shared" si="62"/>
        <v>No Issue</v>
      </c>
      <c r="P468" s="3" t="str">
        <f t="shared" si="63"/>
        <v>NoIssue</v>
      </c>
    </row>
    <row r="469" ht="15.75" customHeight="1">
      <c r="A469" s="28">
        <v>52.0</v>
      </c>
      <c r="B469" s="35"/>
      <c r="C469" s="36"/>
      <c r="D469" s="3"/>
      <c r="E469" s="3"/>
      <c r="F469" s="27"/>
      <c r="G469" s="27"/>
      <c r="H469" s="27"/>
      <c r="I469" s="3"/>
      <c r="J469" s="3" t="str">
        <f t="shared" si="57"/>
        <v>0</v>
      </c>
      <c r="K469" s="27" t="str">
        <f t="shared" si="58"/>
        <v> No Issue</v>
      </c>
      <c r="L469" s="3" t="str">
        <f t="shared" si="59"/>
        <v>No Issue</v>
      </c>
      <c r="M469" s="3" t="str">
        <f t="shared" si="60"/>
        <v>No Issue</v>
      </c>
      <c r="N469" s="3" t="str">
        <f t="shared" si="61"/>
        <v>No Issue</v>
      </c>
      <c r="O469" s="3" t="str">
        <f t="shared" si="62"/>
        <v>No Issue</v>
      </c>
      <c r="P469" s="3" t="str">
        <f t="shared" si="63"/>
        <v>NoIssue</v>
      </c>
    </row>
    <row r="470" ht="15.75" customHeight="1">
      <c r="A470" s="28">
        <v>53.0</v>
      </c>
      <c r="B470" s="35"/>
      <c r="C470" s="36"/>
      <c r="D470" s="3"/>
      <c r="E470" s="3"/>
      <c r="F470" s="27"/>
      <c r="G470" s="27"/>
      <c r="H470" s="27"/>
      <c r="I470" s="3"/>
      <c r="J470" s="3" t="str">
        <f t="shared" si="57"/>
        <v>0</v>
      </c>
      <c r="K470" s="27" t="str">
        <f t="shared" si="58"/>
        <v> No Issue</v>
      </c>
      <c r="L470" s="3" t="str">
        <f t="shared" si="59"/>
        <v>No Issue</v>
      </c>
      <c r="M470" s="3" t="str">
        <f t="shared" si="60"/>
        <v>No Issue</v>
      </c>
      <c r="N470" s="3" t="str">
        <f t="shared" si="61"/>
        <v>No Issue</v>
      </c>
      <c r="O470" s="3" t="str">
        <f t="shared" si="62"/>
        <v>No Issue</v>
      </c>
      <c r="P470" s="3" t="str">
        <f t="shared" si="63"/>
        <v>NoIssue</v>
      </c>
    </row>
    <row r="471" ht="15.75" customHeight="1">
      <c r="A471" s="28">
        <v>54.0</v>
      </c>
      <c r="B471" s="34"/>
      <c r="C471" s="34"/>
      <c r="D471" s="3"/>
      <c r="E471" s="3"/>
      <c r="F471" s="27"/>
      <c r="G471" s="27"/>
      <c r="H471" s="27"/>
      <c r="I471" s="3"/>
      <c r="J471" s="3" t="str">
        <f t="shared" si="57"/>
        <v>0</v>
      </c>
      <c r="K471" s="27" t="str">
        <f t="shared" si="58"/>
        <v> No Issue</v>
      </c>
      <c r="L471" s="3" t="str">
        <f t="shared" si="59"/>
        <v>No Issue</v>
      </c>
      <c r="M471" s="3" t="str">
        <f t="shared" si="60"/>
        <v>No Issue</v>
      </c>
      <c r="N471" s="3" t="str">
        <f t="shared" si="61"/>
        <v>No Issue</v>
      </c>
      <c r="O471" s="3" t="str">
        <f t="shared" si="62"/>
        <v>No Issue</v>
      </c>
      <c r="P471" s="3" t="str">
        <f t="shared" si="63"/>
        <v>NoIssue</v>
      </c>
    </row>
    <row r="472" ht="15.75" customHeight="1">
      <c r="A472" s="28">
        <v>55.0</v>
      </c>
      <c r="B472" s="35"/>
      <c r="C472" s="36"/>
      <c r="D472" s="3"/>
      <c r="E472" s="3"/>
      <c r="F472" s="27"/>
      <c r="G472" s="27"/>
      <c r="H472" s="27"/>
      <c r="I472" s="3"/>
      <c r="J472" s="3" t="str">
        <f t="shared" si="57"/>
        <v>0</v>
      </c>
      <c r="K472" s="27" t="str">
        <f t="shared" si="58"/>
        <v> No Issue</v>
      </c>
      <c r="L472" s="3" t="str">
        <f t="shared" si="59"/>
        <v>No Issue</v>
      </c>
      <c r="M472" s="3" t="str">
        <f t="shared" si="60"/>
        <v>No Issue</v>
      </c>
      <c r="N472" s="3" t="str">
        <f t="shared" si="61"/>
        <v>No Issue</v>
      </c>
      <c r="O472" s="3" t="str">
        <f t="shared" si="62"/>
        <v>No Issue</v>
      </c>
      <c r="P472" s="3" t="str">
        <f t="shared" si="63"/>
        <v>NoIssue</v>
      </c>
    </row>
    <row r="473" ht="15.75" customHeight="1">
      <c r="A473" s="28">
        <v>56.0</v>
      </c>
      <c r="B473" s="35"/>
      <c r="C473" s="36"/>
      <c r="D473" s="3"/>
      <c r="E473" s="3"/>
      <c r="F473" s="27"/>
      <c r="G473" s="27"/>
      <c r="H473" s="27"/>
      <c r="I473" s="3"/>
      <c r="J473" s="3" t="str">
        <f t="shared" si="57"/>
        <v>0</v>
      </c>
      <c r="K473" s="27" t="str">
        <f t="shared" si="58"/>
        <v> No Issue</v>
      </c>
      <c r="L473" s="3" t="str">
        <f t="shared" si="59"/>
        <v>No Issue</v>
      </c>
      <c r="M473" s="3" t="str">
        <f t="shared" si="60"/>
        <v>No Issue</v>
      </c>
      <c r="N473" s="3" t="str">
        <f t="shared" si="61"/>
        <v>No Issue</v>
      </c>
      <c r="O473" s="3" t="str">
        <f t="shared" si="62"/>
        <v>No Issue</v>
      </c>
      <c r="P473" s="3" t="str">
        <f t="shared" si="63"/>
        <v>NoIssue</v>
      </c>
    </row>
    <row r="474" ht="15.75" customHeight="1">
      <c r="A474" s="28"/>
      <c r="B474" s="3" t="s">
        <v>64</v>
      </c>
      <c r="C474" s="35"/>
      <c r="D474" s="3" t="str">
        <f t="shared" ref="D474:I474" si="64">SUMPRODUCT(D418:D473,$C418:$C473)</f>
        <v>0</v>
      </c>
      <c r="E474" s="3" t="str">
        <f t="shared" si="64"/>
        <v>0</v>
      </c>
      <c r="F474" s="3" t="str">
        <f t="shared" si="64"/>
        <v>0</v>
      </c>
      <c r="G474" s="3" t="str">
        <f t="shared" si="64"/>
        <v>0</v>
      </c>
      <c r="H474" s="3" t="str">
        <f t="shared" si="64"/>
        <v>0</v>
      </c>
      <c r="I474" s="3" t="str">
        <f t="shared" si="64"/>
        <v>0</v>
      </c>
      <c r="J474" s="3" t="str">
        <f t="shared" si="57"/>
        <v>0</v>
      </c>
      <c r="K474" s="27" t="str">
        <f t="shared" si="58"/>
        <v> No Issue</v>
      </c>
      <c r="L474" s="3" t="str">
        <f t="shared" si="59"/>
        <v>No Issue</v>
      </c>
      <c r="M474" s="3" t="str">
        <f t="shared" si="60"/>
        <v>No Issue</v>
      </c>
      <c r="N474" s="3" t="str">
        <f t="shared" si="61"/>
        <v>No Issue</v>
      </c>
      <c r="O474" s="3" t="str">
        <f t="shared" si="62"/>
        <v>No Issue</v>
      </c>
      <c r="P474" s="3" t="str">
        <f t="shared" si="63"/>
        <v>NoIssue</v>
      </c>
    </row>
    <row r="475" ht="15.75" customHeight="1">
      <c r="A475" s="10"/>
      <c r="B475" s="11" t="s">
        <v>3</v>
      </c>
      <c r="C475" s="39"/>
      <c r="D475" s="13"/>
      <c r="E475" s="11"/>
      <c r="F475" s="15"/>
      <c r="G475" s="16"/>
      <c r="H475" s="17"/>
      <c r="I475" s="15"/>
      <c r="J475" s="18"/>
      <c r="K475" s="19" t="s">
        <v>5</v>
      </c>
      <c r="L475" s="20"/>
      <c r="M475" s="20"/>
      <c r="N475" s="20"/>
      <c r="O475" s="20"/>
      <c r="P475" s="21"/>
    </row>
    <row r="476" ht="15.75" customHeight="1">
      <c r="A476" s="40" t="s">
        <v>6</v>
      </c>
      <c r="B476" s="27" t="s">
        <v>7</v>
      </c>
      <c r="C476" s="27" t="s">
        <v>8</v>
      </c>
      <c r="D476" s="26" t="s">
        <v>9</v>
      </c>
      <c r="E476" s="26" t="s">
        <v>10</v>
      </c>
      <c r="F476" s="26" t="s">
        <v>11</v>
      </c>
      <c r="G476" s="26" t="s">
        <v>12</v>
      </c>
      <c r="H476" s="26" t="s">
        <v>13</v>
      </c>
      <c r="I476" s="26" t="s">
        <v>14</v>
      </c>
      <c r="J476" s="26" t="s">
        <v>15</v>
      </c>
      <c r="K476" s="27" t="s">
        <v>16</v>
      </c>
      <c r="L476" s="27" t="s">
        <v>17</v>
      </c>
      <c r="M476" s="27" t="s">
        <v>18</v>
      </c>
      <c r="N476" s="27" t="s">
        <v>19</v>
      </c>
      <c r="O476" s="27" t="s">
        <v>20</v>
      </c>
      <c r="P476" s="27" t="s">
        <v>21</v>
      </c>
    </row>
    <row r="477" ht="15.75" customHeight="1">
      <c r="A477" s="28">
        <v>1.0</v>
      </c>
      <c r="B477" s="29" t="s">
        <v>22</v>
      </c>
      <c r="C477" s="30">
        <v>192.17</v>
      </c>
      <c r="D477" s="3"/>
      <c r="E477" s="3"/>
      <c r="F477" s="3"/>
      <c r="G477" s="3"/>
      <c r="H477" s="3"/>
      <c r="I477" s="3"/>
      <c r="J477" s="3" t="str">
        <f t="shared" ref="J477:J533" si="65">D477+E477-F477-G477+H477</f>
        <v>0</v>
      </c>
      <c r="K477" s="27" t="str">
        <f t="shared" ref="K477:K533" si="66">IF(I477&lt;&gt;(D477+E477-F477-G477+H477),"Closing stock Not Correct-Problem"," No Issue")</f>
        <v> No Issue</v>
      </c>
      <c r="L477" s="3" t="str">
        <f t="shared" ref="L477:L533" si="67">IF((D477+E477)&lt;F477,"High Sale and Less Stock-Problem","No Issue")</f>
        <v>No Issue</v>
      </c>
      <c r="M477" s="3" t="str">
        <f t="shared" ref="M477:M533" si="68">IF(AND((D477+E477+I477)=0,F477&gt;0),"No Stock Sale Present Problem","No Issue")</f>
        <v>No Issue</v>
      </c>
      <c r="N477" s="3" t="str">
        <f t="shared" ref="N477:N533" si="69">IF(AND(SUM(D477:H477)=0,I477&gt;0),"Only Closing Entered Other Parameters No Entired Problem","No Issue")</f>
        <v>No Issue</v>
      </c>
      <c r="O477" s="3" t="str">
        <f t="shared" ref="O477:O533" si="70">IF(F477&gt;5000,"Check Once Sales quantity or Value Problem","No Issue")</f>
        <v>No Issue</v>
      </c>
      <c r="P477" s="3" t="str">
        <f t="shared" ref="P477:P533" si="71">IF(I477&gt;5000,"Check Once Closing quantity or Value Problem","NoIssue")</f>
        <v>NoIssue</v>
      </c>
    </row>
    <row r="478" ht="15.75" customHeight="1">
      <c r="A478" s="28">
        <v>2.0</v>
      </c>
      <c r="B478" s="29" t="s">
        <v>23</v>
      </c>
      <c r="C478" s="30">
        <v>9.26</v>
      </c>
      <c r="D478" s="3"/>
      <c r="E478" s="3"/>
      <c r="F478" s="3"/>
      <c r="G478" s="3"/>
      <c r="H478" s="3"/>
      <c r="I478" s="3"/>
      <c r="J478" s="3" t="str">
        <f t="shared" si="65"/>
        <v>0</v>
      </c>
      <c r="K478" s="27" t="str">
        <f t="shared" si="66"/>
        <v> No Issue</v>
      </c>
      <c r="L478" s="3" t="str">
        <f t="shared" si="67"/>
        <v>No Issue</v>
      </c>
      <c r="M478" s="3" t="str">
        <f t="shared" si="68"/>
        <v>No Issue</v>
      </c>
      <c r="N478" s="3" t="str">
        <f t="shared" si="69"/>
        <v>No Issue</v>
      </c>
      <c r="O478" s="3" t="str">
        <f t="shared" si="70"/>
        <v>No Issue</v>
      </c>
      <c r="P478" s="3" t="str">
        <f t="shared" si="71"/>
        <v>NoIssue</v>
      </c>
    </row>
    <row r="479" ht="15.75" customHeight="1">
      <c r="A479" s="28">
        <v>3.0</v>
      </c>
      <c r="B479" s="29" t="s">
        <v>24</v>
      </c>
      <c r="C479" s="30">
        <v>87.79</v>
      </c>
      <c r="D479" s="3"/>
      <c r="E479" s="3"/>
      <c r="F479" s="3"/>
      <c r="G479" s="3"/>
      <c r="H479" s="3"/>
      <c r="I479" s="3"/>
      <c r="J479" s="3" t="str">
        <f t="shared" si="65"/>
        <v>0</v>
      </c>
      <c r="K479" s="27" t="str">
        <f t="shared" si="66"/>
        <v> No Issue</v>
      </c>
      <c r="L479" s="3" t="str">
        <f t="shared" si="67"/>
        <v>No Issue</v>
      </c>
      <c r="M479" s="3" t="str">
        <f t="shared" si="68"/>
        <v>No Issue</v>
      </c>
      <c r="N479" s="3" t="str">
        <f t="shared" si="69"/>
        <v>No Issue</v>
      </c>
      <c r="O479" s="3" t="str">
        <f t="shared" si="70"/>
        <v>No Issue</v>
      </c>
      <c r="P479" s="3" t="str">
        <f t="shared" si="71"/>
        <v>NoIssue</v>
      </c>
    </row>
    <row r="480" ht="15.75" customHeight="1">
      <c r="A480" s="28">
        <v>4.0</v>
      </c>
      <c r="B480" s="29" t="s">
        <v>25</v>
      </c>
      <c r="C480" s="30">
        <v>55.55</v>
      </c>
      <c r="D480" s="3"/>
      <c r="E480" s="3"/>
      <c r="F480" s="3"/>
      <c r="G480" s="3"/>
      <c r="H480" s="3"/>
      <c r="I480" s="3"/>
      <c r="J480" s="3" t="str">
        <f t="shared" si="65"/>
        <v>0</v>
      </c>
      <c r="K480" s="27" t="str">
        <f t="shared" si="66"/>
        <v> No Issue</v>
      </c>
      <c r="L480" s="3" t="str">
        <f t="shared" si="67"/>
        <v>No Issue</v>
      </c>
      <c r="M480" s="3" t="str">
        <f t="shared" si="68"/>
        <v>No Issue</v>
      </c>
      <c r="N480" s="3" t="str">
        <f t="shared" si="69"/>
        <v>No Issue</v>
      </c>
      <c r="O480" s="3" t="str">
        <f t="shared" si="70"/>
        <v>No Issue</v>
      </c>
      <c r="P480" s="3" t="str">
        <f t="shared" si="71"/>
        <v>NoIssue</v>
      </c>
    </row>
    <row r="481" ht="15.75" customHeight="1">
      <c r="A481" s="28">
        <v>5.0</v>
      </c>
      <c r="B481" s="29" t="s">
        <v>26</v>
      </c>
      <c r="C481" s="30">
        <v>70.01</v>
      </c>
      <c r="D481" s="3"/>
      <c r="E481" s="3"/>
      <c r="F481" s="3"/>
      <c r="G481" s="3"/>
      <c r="H481" s="3"/>
      <c r="I481" s="3"/>
      <c r="J481" s="3" t="str">
        <f t="shared" si="65"/>
        <v>0</v>
      </c>
      <c r="K481" s="27" t="str">
        <f t="shared" si="66"/>
        <v> No Issue</v>
      </c>
      <c r="L481" s="3" t="str">
        <f t="shared" si="67"/>
        <v>No Issue</v>
      </c>
      <c r="M481" s="3" t="str">
        <f t="shared" si="68"/>
        <v>No Issue</v>
      </c>
      <c r="N481" s="3" t="str">
        <f t="shared" si="69"/>
        <v>No Issue</v>
      </c>
      <c r="O481" s="3" t="str">
        <f t="shared" si="70"/>
        <v>No Issue</v>
      </c>
      <c r="P481" s="3" t="str">
        <f t="shared" si="71"/>
        <v>NoIssue</v>
      </c>
    </row>
    <row r="482" ht="15.75" customHeight="1">
      <c r="A482" s="28">
        <v>6.0</v>
      </c>
      <c r="B482" s="29" t="s">
        <v>27</v>
      </c>
      <c r="C482" s="30">
        <v>73.92999999999999</v>
      </c>
      <c r="D482" s="3"/>
      <c r="E482" s="3"/>
      <c r="F482" s="3"/>
      <c r="G482" s="3"/>
      <c r="H482" s="3"/>
      <c r="I482" s="3"/>
      <c r="J482" s="3" t="str">
        <f t="shared" si="65"/>
        <v>0</v>
      </c>
      <c r="K482" s="27" t="str">
        <f t="shared" si="66"/>
        <v> No Issue</v>
      </c>
      <c r="L482" s="3" t="str">
        <f t="shared" si="67"/>
        <v>No Issue</v>
      </c>
      <c r="M482" s="3" t="str">
        <f t="shared" si="68"/>
        <v>No Issue</v>
      </c>
      <c r="N482" s="3" t="str">
        <f t="shared" si="69"/>
        <v>No Issue</v>
      </c>
      <c r="O482" s="3" t="str">
        <f t="shared" si="70"/>
        <v>No Issue</v>
      </c>
      <c r="P482" s="3" t="str">
        <f t="shared" si="71"/>
        <v>NoIssue</v>
      </c>
    </row>
    <row r="483" ht="15.75" customHeight="1">
      <c r="A483" s="28">
        <v>7.0</v>
      </c>
      <c r="B483" s="29" t="s">
        <v>28</v>
      </c>
      <c r="C483" s="30">
        <v>13.91</v>
      </c>
      <c r="D483" s="3"/>
      <c r="E483" s="3"/>
      <c r="F483" s="3"/>
      <c r="G483" s="3"/>
      <c r="H483" s="3"/>
      <c r="I483" s="3"/>
      <c r="J483" s="3" t="str">
        <f t="shared" si="65"/>
        <v>0</v>
      </c>
      <c r="K483" s="27" t="str">
        <f t="shared" si="66"/>
        <v> No Issue</v>
      </c>
      <c r="L483" s="3" t="str">
        <f t="shared" si="67"/>
        <v>No Issue</v>
      </c>
      <c r="M483" s="3" t="str">
        <f t="shared" si="68"/>
        <v>No Issue</v>
      </c>
      <c r="N483" s="3" t="str">
        <f t="shared" si="69"/>
        <v>No Issue</v>
      </c>
      <c r="O483" s="3" t="str">
        <f t="shared" si="70"/>
        <v>No Issue</v>
      </c>
      <c r="P483" s="3" t="str">
        <f t="shared" si="71"/>
        <v>NoIssue</v>
      </c>
    </row>
    <row r="484" ht="15.75" customHeight="1">
      <c r="A484" s="28">
        <v>8.0</v>
      </c>
      <c r="B484" s="29" t="s">
        <v>29</v>
      </c>
      <c r="C484" s="30">
        <v>19.5</v>
      </c>
      <c r="D484" s="3"/>
      <c r="E484" s="3"/>
      <c r="F484" s="3"/>
      <c r="G484" s="3"/>
      <c r="H484" s="3"/>
      <c r="I484" s="3"/>
      <c r="J484" s="3" t="str">
        <f t="shared" si="65"/>
        <v>0</v>
      </c>
      <c r="K484" s="27" t="str">
        <f t="shared" si="66"/>
        <v> No Issue</v>
      </c>
      <c r="L484" s="3" t="str">
        <f t="shared" si="67"/>
        <v>No Issue</v>
      </c>
      <c r="M484" s="3" t="str">
        <f t="shared" si="68"/>
        <v>No Issue</v>
      </c>
      <c r="N484" s="3" t="str">
        <f t="shared" si="69"/>
        <v>No Issue</v>
      </c>
      <c r="O484" s="3" t="str">
        <f t="shared" si="70"/>
        <v>No Issue</v>
      </c>
      <c r="P484" s="3" t="str">
        <f t="shared" si="71"/>
        <v>NoIssue</v>
      </c>
    </row>
    <row r="485" ht="15.75" customHeight="1">
      <c r="A485" s="28">
        <v>9.0</v>
      </c>
      <c r="B485" s="29" t="s">
        <v>30</v>
      </c>
      <c r="C485" s="30">
        <v>28.83</v>
      </c>
      <c r="D485" s="3"/>
      <c r="E485" s="3"/>
      <c r="F485" s="3"/>
      <c r="G485" s="3"/>
      <c r="H485" s="3"/>
      <c r="I485" s="3"/>
      <c r="J485" s="3" t="str">
        <f t="shared" si="65"/>
        <v>0</v>
      </c>
      <c r="K485" s="27" t="str">
        <f t="shared" si="66"/>
        <v> No Issue</v>
      </c>
      <c r="L485" s="3" t="str">
        <f t="shared" si="67"/>
        <v>No Issue</v>
      </c>
      <c r="M485" s="3" t="str">
        <f t="shared" si="68"/>
        <v>No Issue</v>
      </c>
      <c r="N485" s="3" t="str">
        <f t="shared" si="69"/>
        <v>No Issue</v>
      </c>
      <c r="O485" s="3" t="str">
        <f t="shared" si="70"/>
        <v>No Issue</v>
      </c>
      <c r="P485" s="3" t="str">
        <f t="shared" si="71"/>
        <v>NoIssue</v>
      </c>
    </row>
    <row r="486" ht="15.75" customHeight="1">
      <c r="A486" s="28">
        <v>10.0</v>
      </c>
      <c r="B486" s="29" t="s">
        <v>31</v>
      </c>
      <c r="C486" s="30">
        <v>8.51</v>
      </c>
      <c r="D486" s="3"/>
      <c r="E486" s="3"/>
      <c r="F486" s="3"/>
      <c r="G486" s="3"/>
      <c r="H486" s="3"/>
      <c r="I486" s="3"/>
      <c r="J486" s="3" t="str">
        <f t="shared" si="65"/>
        <v>0</v>
      </c>
      <c r="K486" s="27" t="str">
        <f t="shared" si="66"/>
        <v> No Issue</v>
      </c>
      <c r="L486" s="3" t="str">
        <f t="shared" si="67"/>
        <v>No Issue</v>
      </c>
      <c r="M486" s="3" t="str">
        <f t="shared" si="68"/>
        <v>No Issue</v>
      </c>
      <c r="N486" s="3" t="str">
        <f t="shared" si="69"/>
        <v>No Issue</v>
      </c>
      <c r="O486" s="3" t="str">
        <f t="shared" si="70"/>
        <v>No Issue</v>
      </c>
      <c r="P486" s="3" t="str">
        <f t="shared" si="71"/>
        <v>NoIssue</v>
      </c>
    </row>
    <row r="487" ht="15.75" customHeight="1">
      <c r="A487" s="28">
        <v>11.0</v>
      </c>
      <c r="B487" s="29" t="s">
        <v>32</v>
      </c>
      <c r="C487" s="30">
        <v>102.17</v>
      </c>
      <c r="D487" s="3"/>
      <c r="E487" s="3"/>
      <c r="F487" s="3"/>
      <c r="G487" s="3"/>
      <c r="H487" s="3"/>
      <c r="I487" s="3"/>
      <c r="J487" s="3" t="str">
        <f t="shared" si="65"/>
        <v>0</v>
      </c>
      <c r="K487" s="27" t="str">
        <f t="shared" si="66"/>
        <v> No Issue</v>
      </c>
      <c r="L487" s="3" t="str">
        <f t="shared" si="67"/>
        <v>No Issue</v>
      </c>
      <c r="M487" s="3" t="str">
        <f t="shared" si="68"/>
        <v>No Issue</v>
      </c>
      <c r="N487" s="3" t="str">
        <f t="shared" si="69"/>
        <v>No Issue</v>
      </c>
      <c r="O487" s="3" t="str">
        <f t="shared" si="70"/>
        <v>No Issue</v>
      </c>
      <c r="P487" s="3" t="str">
        <f t="shared" si="71"/>
        <v>NoIssue</v>
      </c>
    </row>
    <row r="488" ht="15.75" customHeight="1">
      <c r="A488" s="28">
        <v>12.0</v>
      </c>
      <c r="B488" s="29" t="s">
        <v>33</v>
      </c>
      <c r="C488" s="30">
        <v>59.93</v>
      </c>
      <c r="D488" s="3"/>
      <c r="E488" s="3"/>
      <c r="F488" s="3"/>
      <c r="G488" s="3"/>
      <c r="H488" s="3"/>
      <c r="I488" s="3"/>
      <c r="J488" s="3" t="str">
        <f t="shared" si="65"/>
        <v>0</v>
      </c>
      <c r="K488" s="27" t="str">
        <f t="shared" si="66"/>
        <v> No Issue</v>
      </c>
      <c r="L488" s="3" t="str">
        <f t="shared" si="67"/>
        <v>No Issue</v>
      </c>
      <c r="M488" s="3" t="str">
        <f t="shared" si="68"/>
        <v>No Issue</v>
      </c>
      <c r="N488" s="3" t="str">
        <f t="shared" si="69"/>
        <v>No Issue</v>
      </c>
      <c r="O488" s="3" t="str">
        <f t="shared" si="70"/>
        <v>No Issue</v>
      </c>
      <c r="P488" s="3" t="str">
        <f t="shared" si="71"/>
        <v>NoIssue</v>
      </c>
    </row>
    <row r="489" ht="15.75" customHeight="1">
      <c r="A489" s="28">
        <v>13.0</v>
      </c>
      <c r="B489" s="29" t="s">
        <v>34</v>
      </c>
      <c r="C489" s="30">
        <v>118.0</v>
      </c>
      <c r="D489" s="3"/>
      <c r="E489" s="3"/>
      <c r="F489" s="3"/>
      <c r="G489" s="3"/>
      <c r="H489" s="3"/>
      <c r="I489" s="3"/>
      <c r="J489" s="3" t="str">
        <f t="shared" si="65"/>
        <v>0</v>
      </c>
      <c r="K489" s="27" t="str">
        <f t="shared" si="66"/>
        <v> No Issue</v>
      </c>
      <c r="L489" s="3" t="str">
        <f t="shared" si="67"/>
        <v>No Issue</v>
      </c>
      <c r="M489" s="3" t="str">
        <f t="shared" si="68"/>
        <v>No Issue</v>
      </c>
      <c r="N489" s="3" t="str">
        <f t="shared" si="69"/>
        <v>No Issue</v>
      </c>
      <c r="O489" s="3" t="str">
        <f t="shared" si="70"/>
        <v>No Issue</v>
      </c>
      <c r="P489" s="3" t="str">
        <f t="shared" si="71"/>
        <v>NoIssue</v>
      </c>
    </row>
    <row r="490" ht="15.75" customHeight="1">
      <c r="A490" s="28">
        <v>14.0</v>
      </c>
      <c r="B490" s="29" t="s">
        <v>35</v>
      </c>
      <c r="C490" s="30">
        <v>52.83</v>
      </c>
      <c r="D490" s="3"/>
      <c r="E490" s="3"/>
      <c r="F490" s="3"/>
      <c r="G490" s="3"/>
      <c r="H490" s="3"/>
      <c r="I490" s="3"/>
      <c r="J490" s="3" t="str">
        <f t="shared" si="65"/>
        <v>0</v>
      </c>
      <c r="K490" s="27" t="str">
        <f t="shared" si="66"/>
        <v> No Issue</v>
      </c>
      <c r="L490" s="3" t="str">
        <f t="shared" si="67"/>
        <v>No Issue</v>
      </c>
      <c r="M490" s="3" t="str">
        <f t="shared" si="68"/>
        <v>No Issue</v>
      </c>
      <c r="N490" s="3" t="str">
        <f t="shared" si="69"/>
        <v>No Issue</v>
      </c>
      <c r="O490" s="3" t="str">
        <f t="shared" si="70"/>
        <v>No Issue</v>
      </c>
      <c r="P490" s="3" t="str">
        <f t="shared" si="71"/>
        <v>NoIssue</v>
      </c>
    </row>
    <row r="491" ht="15.75" customHeight="1">
      <c r="A491" s="28">
        <v>15.0</v>
      </c>
      <c r="B491" s="29" t="s">
        <v>36</v>
      </c>
      <c r="C491" s="30">
        <v>93.2</v>
      </c>
      <c r="D491" s="3"/>
      <c r="E491" s="3"/>
      <c r="F491" s="3"/>
      <c r="G491" s="3"/>
      <c r="H491" s="3"/>
      <c r="I491" s="3"/>
      <c r="J491" s="3" t="str">
        <f t="shared" si="65"/>
        <v>0</v>
      </c>
      <c r="K491" s="27" t="str">
        <f t="shared" si="66"/>
        <v> No Issue</v>
      </c>
      <c r="L491" s="3" t="str">
        <f t="shared" si="67"/>
        <v>No Issue</v>
      </c>
      <c r="M491" s="3" t="str">
        <f t="shared" si="68"/>
        <v>No Issue</v>
      </c>
      <c r="N491" s="3" t="str">
        <f t="shared" si="69"/>
        <v>No Issue</v>
      </c>
      <c r="O491" s="3" t="str">
        <f t="shared" si="70"/>
        <v>No Issue</v>
      </c>
      <c r="P491" s="3" t="str">
        <f t="shared" si="71"/>
        <v>NoIssue</v>
      </c>
    </row>
    <row r="492" ht="15.75" customHeight="1">
      <c r="A492" s="28">
        <v>16.0</v>
      </c>
      <c r="B492" s="29" t="s">
        <v>37</v>
      </c>
      <c r="C492" s="30">
        <v>61.02</v>
      </c>
      <c r="D492" s="3"/>
      <c r="E492" s="3"/>
      <c r="F492" s="3"/>
      <c r="G492" s="3"/>
      <c r="H492" s="3"/>
      <c r="I492" s="3"/>
      <c r="J492" s="3" t="str">
        <f t="shared" si="65"/>
        <v>0</v>
      </c>
      <c r="K492" s="27" t="str">
        <f t="shared" si="66"/>
        <v> No Issue</v>
      </c>
      <c r="L492" s="3" t="str">
        <f t="shared" si="67"/>
        <v>No Issue</v>
      </c>
      <c r="M492" s="3" t="str">
        <f t="shared" si="68"/>
        <v>No Issue</v>
      </c>
      <c r="N492" s="3" t="str">
        <f t="shared" si="69"/>
        <v>No Issue</v>
      </c>
      <c r="O492" s="3" t="str">
        <f t="shared" si="70"/>
        <v>No Issue</v>
      </c>
      <c r="P492" s="3" t="str">
        <f t="shared" si="71"/>
        <v>NoIssue</v>
      </c>
    </row>
    <row r="493" ht="15.75" customHeight="1">
      <c r="A493" s="28">
        <v>17.0</v>
      </c>
      <c r="B493" s="29" t="s">
        <v>38</v>
      </c>
      <c r="C493" s="30">
        <v>36.62</v>
      </c>
      <c r="D493" s="3"/>
      <c r="E493" s="3"/>
      <c r="F493" s="3"/>
      <c r="G493" s="3"/>
      <c r="H493" s="3"/>
      <c r="I493" s="3"/>
      <c r="J493" s="3" t="str">
        <f t="shared" si="65"/>
        <v>0</v>
      </c>
      <c r="K493" s="27" t="str">
        <f t="shared" si="66"/>
        <v> No Issue</v>
      </c>
      <c r="L493" s="3" t="str">
        <f t="shared" si="67"/>
        <v>No Issue</v>
      </c>
      <c r="M493" s="3" t="str">
        <f t="shared" si="68"/>
        <v>No Issue</v>
      </c>
      <c r="N493" s="3" t="str">
        <f t="shared" si="69"/>
        <v>No Issue</v>
      </c>
      <c r="O493" s="3" t="str">
        <f t="shared" si="70"/>
        <v>No Issue</v>
      </c>
      <c r="P493" s="3" t="str">
        <f t="shared" si="71"/>
        <v>NoIssue</v>
      </c>
    </row>
    <row r="494" ht="15.75" customHeight="1">
      <c r="A494" s="28">
        <v>18.0</v>
      </c>
      <c r="B494" s="29" t="s">
        <v>39</v>
      </c>
      <c r="C494" s="30">
        <v>80.36</v>
      </c>
      <c r="D494" s="3"/>
      <c r="E494" s="3"/>
      <c r="F494" s="3"/>
      <c r="G494" s="3"/>
      <c r="H494" s="3"/>
      <c r="I494" s="3"/>
      <c r="J494" s="3" t="str">
        <f t="shared" si="65"/>
        <v>0</v>
      </c>
      <c r="K494" s="27" t="str">
        <f t="shared" si="66"/>
        <v> No Issue</v>
      </c>
      <c r="L494" s="3" t="str">
        <f t="shared" si="67"/>
        <v>No Issue</v>
      </c>
      <c r="M494" s="3" t="str">
        <f t="shared" si="68"/>
        <v>No Issue</v>
      </c>
      <c r="N494" s="3" t="str">
        <f t="shared" si="69"/>
        <v>No Issue</v>
      </c>
      <c r="O494" s="3" t="str">
        <f t="shared" si="70"/>
        <v>No Issue</v>
      </c>
      <c r="P494" s="3" t="str">
        <f t="shared" si="71"/>
        <v>NoIssue</v>
      </c>
    </row>
    <row r="495" ht="15.75" customHeight="1">
      <c r="A495" s="28">
        <v>19.0</v>
      </c>
      <c r="B495" s="29" t="s">
        <v>40</v>
      </c>
      <c r="C495" s="30">
        <v>160.56</v>
      </c>
      <c r="D495" s="3"/>
      <c r="E495" s="3"/>
      <c r="F495" s="3"/>
      <c r="G495" s="3"/>
      <c r="H495" s="3"/>
      <c r="I495" s="3"/>
      <c r="J495" s="3" t="str">
        <f t="shared" si="65"/>
        <v>0</v>
      </c>
      <c r="K495" s="27" t="str">
        <f t="shared" si="66"/>
        <v> No Issue</v>
      </c>
      <c r="L495" s="3" t="str">
        <f t="shared" si="67"/>
        <v>No Issue</v>
      </c>
      <c r="M495" s="3" t="str">
        <f t="shared" si="68"/>
        <v>No Issue</v>
      </c>
      <c r="N495" s="3" t="str">
        <f t="shared" si="69"/>
        <v>No Issue</v>
      </c>
      <c r="O495" s="3" t="str">
        <f t="shared" si="70"/>
        <v>No Issue</v>
      </c>
      <c r="P495" s="3" t="str">
        <f t="shared" si="71"/>
        <v>NoIssue</v>
      </c>
    </row>
    <row r="496" ht="15.75" customHeight="1">
      <c r="A496" s="28">
        <v>20.0</v>
      </c>
      <c r="B496" s="29" t="s">
        <v>41</v>
      </c>
      <c r="C496" s="30">
        <v>186.44</v>
      </c>
      <c r="D496" s="3"/>
      <c r="E496" s="3"/>
      <c r="F496" s="3"/>
      <c r="G496" s="3"/>
      <c r="H496" s="3"/>
      <c r="I496" s="3"/>
      <c r="J496" s="3" t="str">
        <f t="shared" si="65"/>
        <v>0</v>
      </c>
      <c r="K496" s="27" t="str">
        <f t="shared" si="66"/>
        <v> No Issue</v>
      </c>
      <c r="L496" s="3" t="str">
        <f t="shared" si="67"/>
        <v>No Issue</v>
      </c>
      <c r="M496" s="3" t="str">
        <f t="shared" si="68"/>
        <v>No Issue</v>
      </c>
      <c r="N496" s="3" t="str">
        <f t="shared" si="69"/>
        <v>No Issue</v>
      </c>
      <c r="O496" s="3" t="str">
        <f t="shared" si="70"/>
        <v>No Issue</v>
      </c>
      <c r="P496" s="3" t="str">
        <f t="shared" si="71"/>
        <v>NoIssue</v>
      </c>
    </row>
    <row r="497" ht="15.75" customHeight="1">
      <c r="A497" s="28">
        <v>21.0</v>
      </c>
      <c r="B497" s="29" t="s">
        <v>42</v>
      </c>
      <c r="C497" s="30">
        <v>92.59</v>
      </c>
      <c r="D497" s="3"/>
      <c r="E497" s="3"/>
      <c r="F497" s="3"/>
      <c r="G497" s="3"/>
      <c r="H497" s="3"/>
      <c r="I497" s="3"/>
      <c r="J497" s="3" t="str">
        <f t="shared" si="65"/>
        <v>0</v>
      </c>
      <c r="K497" s="27" t="str">
        <f t="shared" si="66"/>
        <v> No Issue</v>
      </c>
      <c r="L497" s="3" t="str">
        <f t="shared" si="67"/>
        <v>No Issue</v>
      </c>
      <c r="M497" s="3" t="str">
        <f t="shared" si="68"/>
        <v>No Issue</v>
      </c>
      <c r="N497" s="3" t="str">
        <f t="shared" si="69"/>
        <v>No Issue</v>
      </c>
      <c r="O497" s="3" t="str">
        <f t="shared" si="70"/>
        <v>No Issue</v>
      </c>
      <c r="P497" s="3" t="str">
        <f t="shared" si="71"/>
        <v>NoIssue</v>
      </c>
    </row>
    <row r="498" ht="15.75" customHeight="1">
      <c r="A498" s="28">
        <v>22.0</v>
      </c>
      <c r="B498" s="29" t="s">
        <v>43</v>
      </c>
      <c r="C498" s="30">
        <v>95.17</v>
      </c>
      <c r="D498" s="3"/>
      <c r="E498" s="3"/>
      <c r="F498" s="3"/>
      <c r="G498" s="3"/>
      <c r="H498" s="3"/>
      <c r="I498" s="3"/>
      <c r="J498" s="3" t="str">
        <f t="shared" si="65"/>
        <v>0</v>
      </c>
      <c r="K498" s="27" t="str">
        <f t="shared" si="66"/>
        <v> No Issue</v>
      </c>
      <c r="L498" s="3" t="str">
        <f t="shared" si="67"/>
        <v>No Issue</v>
      </c>
      <c r="M498" s="3" t="str">
        <f t="shared" si="68"/>
        <v>No Issue</v>
      </c>
      <c r="N498" s="3" t="str">
        <f t="shared" si="69"/>
        <v>No Issue</v>
      </c>
      <c r="O498" s="3" t="str">
        <f t="shared" si="70"/>
        <v>No Issue</v>
      </c>
      <c r="P498" s="3" t="str">
        <f t="shared" si="71"/>
        <v>NoIssue</v>
      </c>
    </row>
    <row r="499" ht="15.75" customHeight="1">
      <c r="A499" s="28">
        <v>23.0</v>
      </c>
      <c r="B499" s="29" t="s">
        <v>44</v>
      </c>
      <c r="C499" s="30">
        <v>92.94</v>
      </c>
      <c r="D499" s="3"/>
      <c r="E499" s="3"/>
      <c r="F499" s="3"/>
      <c r="G499" s="3"/>
      <c r="H499" s="3"/>
      <c r="I499" s="3"/>
      <c r="J499" s="3" t="str">
        <f t="shared" si="65"/>
        <v>0</v>
      </c>
      <c r="K499" s="27" t="str">
        <f t="shared" si="66"/>
        <v> No Issue</v>
      </c>
      <c r="L499" s="3" t="str">
        <f t="shared" si="67"/>
        <v>No Issue</v>
      </c>
      <c r="M499" s="3" t="str">
        <f t="shared" si="68"/>
        <v>No Issue</v>
      </c>
      <c r="N499" s="3" t="str">
        <f t="shared" si="69"/>
        <v>No Issue</v>
      </c>
      <c r="O499" s="3" t="str">
        <f t="shared" si="70"/>
        <v>No Issue</v>
      </c>
      <c r="P499" s="3" t="str">
        <f t="shared" si="71"/>
        <v>NoIssue</v>
      </c>
    </row>
    <row r="500" ht="15.75" customHeight="1">
      <c r="A500" s="28">
        <v>24.0</v>
      </c>
      <c r="B500" s="29" t="s">
        <v>45</v>
      </c>
      <c r="C500" s="30">
        <v>101.82</v>
      </c>
      <c r="D500" s="3"/>
      <c r="E500" s="3"/>
      <c r="F500" s="3"/>
      <c r="G500" s="3"/>
      <c r="H500" s="3"/>
      <c r="I500" s="3"/>
      <c r="J500" s="3" t="str">
        <f t="shared" si="65"/>
        <v>0</v>
      </c>
      <c r="K500" s="27" t="str">
        <f t="shared" si="66"/>
        <v> No Issue</v>
      </c>
      <c r="L500" s="3" t="str">
        <f t="shared" si="67"/>
        <v>No Issue</v>
      </c>
      <c r="M500" s="3" t="str">
        <f t="shared" si="68"/>
        <v>No Issue</v>
      </c>
      <c r="N500" s="3" t="str">
        <f t="shared" si="69"/>
        <v>No Issue</v>
      </c>
      <c r="O500" s="3" t="str">
        <f t="shared" si="70"/>
        <v>No Issue</v>
      </c>
      <c r="P500" s="3" t="str">
        <f t="shared" si="71"/>
        <v>NoIssue</v>
      </c>
    </row>
    <row r="501" ht="15.75" customHeight="1">
      <c r="A501" s="28">
        <v>25.0</v>
      </c>
      <c r="B501" s="29" t="s">
        <v>46</v>
      </c>
      <c r="C501" s="30">
        <v>53.49</v>
      </c>
      <c r="D501" s="3"/>
      <c r="E501" s="3"/>
      <c r="F501" s="3"/>
      <c r="G501" s="3"/>
      <c r="H501" s="3"/>
      <c r="I501" s="3"/>
      <c r="J501" s="3" t="str">
        <f t="shared" si="65"/>
        <v>0</v>
      </c>
      <c r="K501" s="27" t="str">
        <f t="shared" si="66"/>
        <v> No Issue</v>
      </c>
      <c r="L501" s="3" t="str">
        <f t="shared" si="67"/>
        <v>No Issue</v>
      </c>
      <c r="M501" s="3" t="str">
        <f t="shared" si="68"/>
        <v>No Issue</v>
      </c>
      <c r="N501" s="3" t="str">
        <f t="shared" si="69"/>
        <v>No Issue</v>
      </c>
      <c r="O501" s="3" t="str">
        <f t="shared" si="70"/>
        <v>No Issue</v>
      </c>
      <c r="P501" s="3" t="str">
        <f t="shared" si="71"/>
        <v>NoIssue</v>
      </c>
    </row>
    <row r="502" ht="15.75" customHeight="1">
      <c r="A502" s="28">
        <v>26.0</v>
      </c>
      <c r="B502" s="29" t="s">
        <v>47</v>
      </c>
      <c r="C502" s="30">
        <v>32.92</v>
      </c>
      <c r="D502" s="3"/>
      <c r="E502" s="3"/>
      <c r="F502" s="3"/>
      <c r="G502" s="3"/>
      <c r="H502" s="3"/>
      <c r="I502" s="3"/>
      <c r="J502" s="3" t="str">
        <f t="shared" si="65"/>
        <v>0</v>
      </c>
      <c r="K502" s="27" t="str">
        <f t="shared" si="66"/>
        <v> No Issue</v>
      </c>
      <c r="L502" s="3" t="str">
        <f t="shared" si="67"/>
        <v>No Issue</v>
      </c>
      <c r="M502" s="3" t="str">
        <f t="shared" si="68"/>
        <v>No Issue</v>
      </c>
      <c r="N502" s="3" t="str">
        <f t="shared" si="69"/>
        <v>No Issue</v>
      </c>
      <c r="O502" s="3" t="str">
        <f t="shared" si="70"/>
        <v>No Issue</v>
      </c>
      <c r="P502" s="3" t="str">
        <f t="shared" si="71"/>
        <v>NoIssue</v>
      </c>
    </row>
    <row r="503" ht="15.75" customHeight="1">
      <c r="A503" s="28">
        <v>27.0</v>
      </c>
      <c r="B503" s="29" t="s">
        <v>48</v>
      </c>
      <c r="C503" s="30">
        <v>116.68</v>
      </c>
      <c r="D503" s="3"/>
      <c r="E503" s="3"/>
      <c r="F503" s="3"/>
      <c r="G503" s="3"/>
      <c r="H503" s="3"/>
      <c r="I503" s="3"/>
      <c r="J503" s="3" t="str">
        <f t="shared" si="65"/>
        <v>0</v>
      </c>
      <c r="K503" s="27" t="str">
        <f t="shared" si="66"/>
        <v> No Issue</v>
      </c>
      <c r="L503" s="3" t="str">
        <f t="shared" si="67"/>
        <v>No Issue</v>
      </c>
      <c r="M503" s="3" t="str">
        <f t="shared" si="68"/>
        <v>No Issue</v>
      </c>
      <c r="N503" s="3" t="str">
        <f t="shared" si="69"/>
        <v>No Issue</v>
      </c>
      <c r="O503" s="3" t="str">
        <f t="shared" si="70"/>
        <v>No Issue</v>
      </c>
      <c r="P503" s="3" t="str">
        <f t="shared" si="71"/>
        <v>NoIssue</v>
      </c>
    </row>
    <row r="504" ht="15.75" customHeight="1">
      <c r="A504" s="28">
        <v>28.0</v>
      </c>
      <c r="B504" s="29" t="s">
        <v>49</v>
      </c>
      <c r="C504" s="30">
        <v>107.96</v>
      </c>
      <c r="D504" s="3"/>
      <c r="E504" s="3"/>
      <c r="F504" s="3"/>
      <c r="G504" s="3"/>
      <c r="H504" s="3"/>
      <c r="I504" s="3"/>
      <c r="J504" s="3" t="str">
        <f t="shared" si="65"/>
        <v>0</v>
      </c>
      <c r="K504" s="27" t="str">
        <f t="shared" si="66"/>
        <v> No Issue</v>
      </c>
      <c r="L504" s="3" t="str">
        <f t="shared" si="67"/>
        <v>No Issue</v>
      </c>
      <c r="M504" s="3" t="str">
        <f t="shared" si="68"/>
        <v>No Issue</v>
      </c>
      <c r="N504" s="3" t="str">
        <f t="shared" si="69"/>
        <v>No Issue</v>
      </c>
      <c r="O504" s="3" t="str">
        <f t="shared" si="70"/>
        <v>No Issue</v>
      </c>
      <c r="P504" s="3" t="str">
        <f t="shared" si="71"/>
        <v>NoIssue</v>
      </c>
    </row>
    <row r="505" ht="15.75" customHeight="1">
      <c r="A505" s="28">
        <v>29.0</v>
      </c>
      <c r="B505" s="29" t="s">
        <v>50</v>
      </c>
      <c r="C505" s="30">
        <v>248.89</v>
      </c>
      <c r="D505" s="3"/>
      <c r="E505" s="3"/>
      <c r="F505" s="3"/>
      <c r="G505" s="3"/>
      <c r="H505" s="3"/>
      <c r="I505" s="3"/>
      <c r="J505" s="3" t="str">
        <f t="shared" si="65"/>
        <v>0</v>
      </c>
      <c r="K505" s="27" t="str">
        <f t="shared" si="66"/>
        <v> No Issue</v>
      </c>
      <c r="L505" s="3" t="str">
        <f t="shared" si="67"/>
        <v>No Issue</v>
      </c>
      <c r="M505" s="3" t="str">
        <f t="shared" si="68"/>
        <v>No Issue</v>
      </c>
      <c r="N505" s="3" t="str">
        <f t="shared" si="69"/>
        <v>No Issue</v>
      </c>
      <c r="O505" s="3" t="str">
        <f t="shared" si="70"/>
        <v>No Issue</v>
      </c>
      <c r="P505" s="3" t="str">
        <f t="shared" si="71"/>
        <v>NoIssue</v>
      </c>
    </row>
    <row r="506" ht="15.75" customHeight="1">
      <c r="A506" s="28">
        <v>30.0</v>
      </c>
      <c r="B506" s="29" t="s">
        <v>51</v>
      </c>
      <c r="C506" s="30">
        <v>80.36</v>
      </c>
      <c r="D506" s="3"/>
      <c r="E506" s="3"/>
      <c r="F506" s="27"/>
      <c r="G506" s="27"/>
      <c r="H506" s="27"/>
      <c r="I506" s="3"/>
      <c r="J506" s="3" t="str">
        <f t="shared" si="65"/>
        <v>0</v>
      </c>
      <c r="K506" s="27" t="str">
        <f t="shared" si="66"/>
        <v> No Issue</v>
      </c>
      <c r="L506" s="3" t="str">
        <f t="shared" si="67"/>
        <v>No Issue</v>
      </c>
      <c r="M506" s="3" t="str">
        <f t="shared" si="68"/>
        <v>No Issue</v>
      </c>
      <c r="N506" s="3" t="str">
        <f t="shared" si="69"/>
        <v>No Issue</v>
      </c>
      <c r="O506" s="3" t="str">
        <f t="shared" si="70"/>
        <v>No Issue</v>
      </c>
      <c r="P506" s="3" t="str">
        <f t="shared" si="71"/>
        <v>NoIssue</v>
      </c>
    </row>
    <row r="507" ht="15.75" customHeight="1">
      <c r="A507" s="28">
        <v>31.0</v>
      </c>
      <c r="B507" s="29" t="s">
        <v>52</v>
      </c>
      <c r="C507" s="30">
        <v>52.46</v>
      </c>
      <c r="D507" s="3"/>
      <c r="E507" s="3"/>
      <c r="F507" s="27"/>
      <c r="G507" s="27"/>
      <c r="H507" s="27"/>
      <c r="I507" s="3"/>
      <c r="J507" s="3" t="str">
        <f t="shared" si="65"/>
        <v>0</v>
      </c>
      <c r="K507" s="27" t="str">
        <f t="shared" si="66"/>
        <v> No Issue</v>
      </c>
      <c r="L507" s="3" t="str">
        <f t="shared" si="67"/>
        <v>No Issue</v>
      </c>
      <c r="M507" s="3" t="str">
        <f t="shared" si="68"/>
        <v>No Issue</v>
      </c>
      <c r="N507" s="3" t="str">
        <f t="shared" si="69"/>
        <v>No Issue</v>
      </c>
      <c r="O507" s="3" t="str">
        <f t="shared" si="70"/>
        <v>No Issue</v>
      </c>
      <c r="P507" s="3" t="str">
        <f t="shared" si="71"/>
        <v>NoIssue</v>
      </c>
    </row>
    <row r="508" ht="15.75" customHeight="1">
      <c r="A508" s="28">
        <v>32.0</v>
      </c>
      <c r="B508" s="29" t="s">
        <v>53</v>
      </c>
      <c r="C508" s="30">
        <v>71.21</v>
      </c>
      <c r="D508" s="3"/>
      <c r="E508" s="3"/>
      <c r="F508" s="27"/>
      <c r="G508" s="27"/>
      <c r="H508" s="27"/>
      <c r="I508" s="3"/>
      <c r="J508" s="3" t="str">
        <f t="shared" si="65"/>
        <v>0</v>
      </c>
      <c r="K508" s="27" t="str">
        <f t="shared" si="66"/>
        <v> No Issue</v>
      </c>
      <c r="L508" s="3" t="str">
        <f t="shared" si="67"/>
        <v>No Issue</v>
      </c>
      <c r="M508" s="3" t="str">
        <f t="shared" si="68"/>
        <v>No Issue</v>
      </c>
      <c r="N508" s="3" t="str">
        <f t="shared" si="69"/>
        <v>No Issue</v>
      </c>
      <c r="O508" s="3" t="str">
        <f t="shared" si="70"/>
        <v>No Issue</v>
      </c>
      <c r="P508" s="3" t="str">
        <f t="shared" si="71"/>
        <v>NoIssue</v>
      </c>
    </row>
    <row r="509" ht="15.75" customHeight="1">
      <c r="A509" s="28">
        <v>33.0</v>
      </c>
      <c r="B509" s="29" t="s">
        <v>54</v>
      </c>
      <c r="C509" s="30">
        <v>80.35</v>
      </c>
      <c r="D509" s="3"/>
      <c r="E509" s="3"/>
      <c r="F509" s="27"/>
      <c r="G509" s="27"/>
      <c r="H509" s="27"/>
      <c r="I509" s="3"/>
      <c r="J509" s="3" t="str">
        <f t="shared" si="65"/>
        <v>0</v>
      </c>
      <c r="K509" s="27" t="str">
        <f t="shared" si="66"/>
        <v> No Issue</v>
      </c>
      <c r="L509" s="3" t="str">
        <f t="shared" si="67"/>
        <v>No Issue</v>
      </c>
      <c r="M509" s="3" t="str">
        <f t="shared" si="68"/>
        <v>No Issue</v>
      </c>
      <c r="N509" s="3" t="str">
        <f t="shared" si="69"/>
        <v>No Issue</v>
      </c>
      <c r="O509" s="3" t="str">
        <f t="shared" si="70"/>
        <v>No Issue</v>
      </c>
      <c r="P509" s="3" t="str">
        <f t="shared" si="71"/>
        <v>NoIssue</v>
      </c>
    </row>
    <row r="510" ht="15.75" customHeight="1">
      <c r="A510" s="28">
        <v>34.0</v>
      </c>
      <c r="B510" s="29" t="s">
        <v>55</v>
      </c>
      <c r="C510" s="30">
        <v>64.18</v>
      </c>
      <c r="D510" s="3"/>
      <c r="E510" s="3"/>
      <c r="F510" s="27"/>
      <c r="G510" s="27"/>
      <c r="H510" s="27"/>
      <c r="I510" s="3"/>
      <c r="J510" s="3" t="str">
        <f t="shared" si="65"/>
        <v>0</v>
      </c>
      <c r="K510" s="27" t="str">
        <f t="shared" si="66"/>
        <v> No Issue</v>
      </c>
      <c r="L510" s="3" t="str">
        <f t="shared" si="67"/>
        <v>No Issue</v>
      </c>
      <c r="M510" s="3" t="str">
        <f t="shared" si="68"/>
        <v>No Issue</v>
      </c>
      <c r="N510" s="3" t="str">
        <f t="shared" si="69"/>
        <v>No Issue</v>
      </c>
      <c r="O510" s="3" t="str">
        <f t="shared" si="70"/>
        <v>No Issue</v>
      </c>
      <c r="P510" s="3" t="str">
        <f t="shared" si="71"/>
        <v>NoIssue</v>
      </c>
    </row>
    <row r="511" ht="15.75" customHeight="1">
      <c r="A511" s="28">
        <v>35.0</v>
      </c>
      <c r="B511" s="29" t="s">
        <v>56</v>
      </c>
      <c r="C511" s="30">
        <v>36.9</v>
      </c>
      <c r="D511" s="3"/>
      <c r="E511" s="3"/>
      <c r="F511" s="27"/>
      <c r="G511" s="27"/>
      <c r="H511" s="27"/>
      <c r="I511" s="3"/>
      <c r="J511" s="3" t="str">
        <f t="shared" si="65"/>
        <v>0</v>
      </c>
      <c r="K511" s="27" t="str">
        <f t="shared" si="66"/>
        <v> No Issue</v>
      </c>
      <c r="L511" s="3" t="str">
        <f t="shared" si="67"/>
        <v>No Issue</v>
      </c>
      <c r="M511" s="3" t="str">
        <f t="shared" si="68"/>
        <v>No Issue</v>
      </c>
      <c r="N511" s="3" t="str">
        <f t="shared" si="69"/>
        <v>No Issue</v>
      </c>
      <c r="O511" s="3" t="str">
        <f t="shared" si="70"/>
        <v>No Issue</v>
      </c>
      <c r="P511" s="3" t="str">
        <f t="shared" si="71"/>
        <v>NoIssue</v>
      </c>
    </row>
    <row r="512" ht="15.75" customHeight="1">
      <c r="A512" s="28">
        <v>36.0</v>
      </c>
      <c r="B512" s="29" t="s">
        <v>57</v>
      </c>
      <c r="C512" s="30">
        <v>101.54</v>
      </c>
      <c r="D512" s="3"/>
      <c r="E512" s="3"/>
      <c r="F512" s="27"/>
      <c r="G512" s="27"/>
      <c r="H512" s="27"/>
      <c r="I512" s="3"/>
      <c r="J512" s="3" t="str">
        <f t="shared" si="65"/>
        <v>0</v>
      </c>
      <c r="K512" s="27" t="str">
        <f t="shared" si="66"/>
        <v> No Issue</v>
      </c>
      <c r="L512" s="3" t="str">
        <f t="shared" si="67"/>
        <v>No Issue</v>
      </c>
      <c r="M512" s="3" t="str">
        <f t="shared" si="68"/>
        <v>No Issue</v>
      </c>
      <c r="N512" s="3" t="str">
        <f t="shared" si="69"/>
        <v>No Issue</v>
      </c>
      <c r="O512" s="3" t="str">
        <f t="shared" si="70"/>
        <v>No Issue</v>
      </c>
      <c r="P512" s="3" t="str">
        <f t="shared" si="71"/>
        <v>NoIssue</v>
      </c>
    </row>
    <row r="513" ht="15.75" customHeight="1">
      <c r="A513" s="28">
        <v>37.0</v>
      </c>
      <c r="B513" s="29" t="s">
        <v>58</v>
      </c>
      <c r="C513" s="30">
        <v>40.5</v>
      </c>
      <c r="D513" s="3"/>
      <c r="E513" s="3"/>
      <c r="F513" s="27"/>
      <c r="G513" s="27"/>
      <c r="H513" s="27"/>
      <c r="I513" s="3"/>
      <c r="J513" s="3" t="str">
        <f t="shared" si="65"/>
        <v>0</v>
      </c>
      <c r="K513" s="27" t="str">
        <f t="shared" si="66"/>
        <v> No Issue</v>
      </c>
      <c r="L513" s="3" t="str">
        <f t="shared" si="67"/>
        <v>No Issue</v>
      </c>
      <c r="M513" s="3" t="str">
        <f t="shared" si="68"/>
        <v>No Issue</v>
      </c>
      <c r="N513" s="3" t="str">
        <f t="shared" si="69"/>
        <v>No Issue</v>
      </c>
      <c r="O513" s="3" t="str">
        <f t="shared" si="70"/>
        <v>No Issue</v>
      </c>
      <c r="P513" s="3" t="str">
        <f t="shared" si="71"/>
        <v>NoIssue</v>
      </c>
    </row>
    <row r="514" ht="15.75" customHeight="1">
      <c r="A514" s="28">
        <v>38.0</v>
      </c>
      <c r="B514" s="29" t="s">
        <v>59</v>
      </c>
      <c r="C514" s="30">
        <v>66.69</v>
      </c>
      <c r="D514" s="3"/>
      <c r="E514" s="3"/>
      <c r="F514" s="27"/>
      <c r="G514" s="27"/>
      <c r="H514" s="27"/>
      <c r="I514" s="3"/>
      <c r="J514" s="3" t="str">
        <f t="shared" si="65"/>
        <v>0</v>
      </c>
      <c r="K514" s="27" t="str">
        <f t="shared" si="66"/>
        <v> No Issue</v>
      </c>
      <c r="L514" s="3" t="str">
        <f t="shared" si="67"/>
        <v>No Issue</v>
      </c>
      <c r="M514" s="3" t="str">
        <f t="shared" si="68"/>
        <v>No Issue</v>
      </c>
      <c r="N514" s="3" t="str">
        <f t="shared" si="69"/>
        <v>No Issue</v>
      </c>
      <c r="O514" s="3" t="str">
        <f t="shared" si="70"/>
        <v>No Issue</v>
      </c>
      <c r="P514" s="3" t="str">
        <f t="shared" si="71"/>
        <v>NoIssue</v>
      </c>
    </row>
    <row r="515" ht="15.75" customHeight="1">
      <c r="A515" s="28">
        <v>39.0</v>
      </c>
      <c r="B515" s="29" t="s">
        <v>60</v>
      </c>
      <c r="C515" s="29">
        <v>150.85999999999999</v>
      </c>
      <c r="D515" s="3"/>
      <c r="E515" s="3"/>
      <c r="F515" s="27"/>
      <c r="G515" s="27"/>
      <c r="H515" s="27"/>
      <c r="I515" s="3"/>
      <c r="J515" s="3" t="str">
        <f t="shared" si="65"/>
        <v>0</v>
      </c>
      <c r="K515" s="27" t="str">
        <f t="shared" si="66"/>
        <v> No Issue</v>
      </c>
      <c r="L515" s="3" t="str">
        <f t="shared" si="67"/>
        <v>No Issue</v>
      </c>
      <c r="M515" s="3" t="str">
        <f t="shared" si="68"/>
        <v>No Issue</v>
      </c>
      <c r="N515" s="3" t="str">
        <f t="shared" si="69"/>
        <v>No Issue</v>
      </c>
      <c r="O515" s="3" t="str">
        <f t="shared" si="70"/>
        <v>No Issue</v>
      </c>
      <c r="P515" s="3" t="str">
        <f t="shared" si="71"/>
        <v>NoIssue</v>
      </c>
    </row>
    <row r="516" ht="15.75" customHeight="1">
      <c r="A516" s="28">
        <v>40.0</v>
      </c>
      <c r="B516" s="33" t="s">
        <v>61</v>
      </c>
      <c r="C516" s="30">
        <v>180.0</v>
      </c>
      <c r="D516" s="3"/>
      <c r="E516" s="3"/>
      <c r="F516" s="27"/>
      <c r="G516" s="27"/>
      <c r="H516" s="27"/>
      <c r="I516" s="3"/>
      <c r="J516" s="3" t="str">
        <f t="shared" si="65"/>
        <v>0</v>
      </c>
      <c r="K516" s="27" t="str">
        <f t="shared" si="66"/>
        <v> No Issue</v>
      </c>
      <c r="L516" s="3" t="str">
        <f t="shared" si="67"/>
        <v>No Issue</v>
      </c>
      <c r="M516" s="3" t="str">
        <f t="shared" si="68"/>
        <v>No Issue</v>
      </c>
      <c r="N516" s="3" t="str">
        <f t="shared" si="69"/>
        <v>No Issue</v>
      </c>
      <c r="O516" s="3" t="str">
        <f t="shared" si="70"/>
        <v>No Issue</v>
      </c>
      <c r="P516" s="3" t="str">
        <f t="shared" si="71"/>
        <v>NoIssue</v>
      </c>
    </row>
    <row r="517" ht="15.75" customHeight="1">
      <c r="A517" s="28">
        <v>41.0</v>
      </c>
      <c r="B517" s="33" t="s">
        <v>62</v>
      </c>
      <c r="C517" s="29">
        <v>128.57</v>
      </c>
      <c r="D517" s="3"/>
      <c r="E517" s="3"/>
      <c r="F517" s="27"/>
      <c r="G517" s="27"/>
      <c r="H517" s="27"/>
      <c r="I517" s="3"/>
      <c r="J517" s="3" t="str">
        <f t="shared" si="65"/>
        <v>0</v>
      </c>
      <c r="K517" s="27" t="str">
        <f t="shared" si="66"/>
        <v> No Issue</v>
      </c>
      <c r="L517" s="3" t="str">
        <f t="shared" si="67"/>
        <v>No Issue</v>
      </c>
      <c r="M517" s="3" t="str">
        <f t="shared" si="68"/>
        <v>No Issue</v>
      </c>
      <c r="N517" s="3" t="str">
        <f t="shared" si="69"/>
        <v>No Issue</v>
      </c>
      <c r="O517" s="3" t="str">
        <f t="shared" si="70"/>
        <v>No Issue</v>
      </c>
      <c r="P517" s="3" t="str">
        <f t="shared" si="71"/>
        <v>NoIssue</v>
      </c>
    </row>
    <row r="518" ht="15.75" customHeight="1">
      <c r="A518" s="28">
        <v>42.0</v>
      </c>
      <c r="B518" s="29"/>
      <c r="C518" s="29"/>
      <c r="D518" s="3"/>
      <c r="E518" s="3"/>
      <c r="F518" s="27"/>
      <c r="G518" s="27"/>
      <c r="H518" s="27"/>
      <c r="I518" s="3"/>
      <c r="J518" s="3" t="str">
        <f t="shared" si="65"/>
        <v>0</v>
      </c>
      <c r="K518" s="27" t="str">
        <f t="shared" si="66"/>
        <v> No Issue</v>
      </c>
      <c r="L518" s="3" t="str">
        <f t="shared" si="67"/>
        <v>No Issue</v>
      </c>
      <c r="M518" s="3" t="str">
        <f t="shared" si="68"/>
        <v>No Issue</v>
      </c>
      <c r="N518" s="3" t="str">
        <f t="shared" si="69"/>
        <v>No Issue</v>
      </c>
      <c r="O518" s="3" t="str">
        <f t="shared" si="70"/>
        <v>No Issue</v>
      </c>
      <c r="P518" s="3" t="str">
        <f t="shared" si="71"/>
        <v>NoIssue</v>
      </c>
    </row>
    <row r="519" ht="15.75" customHeight="1">
      <c r="A519" s="28">
        <v>43.0</v>
      </c>
      <c r="B519" s="34"/>
      <c r="C519" s="34"/>
      <c r="D519" s="3"/>
      <c r="E519" s="3"/>
      <c r="F519" s="27"/>
      <c r="G519" s="27"/>
      <c r="H519" s="27"/>
      <c r="I519" s="3"/>
      <c r="J519" s="3" t="str">
        <f t="shared" si="65"/>
        <v>0</v>
      </c>
      <c r="K519" s="27" t="str">
        <f t="shared" si="66"/>
        <v> No Issue</v>
      </c>
      <c r="L519" s="3" t="str">
        <f t="shared" si="67"/>
        <v>No Issue</v>
      </c>
      <c r="M519" s="3" t="str">
        <f t="shared" si="68"/>
        <v>No Issue</v>
      </c>
      <c r="N519" s="3" t="str">
        <f t="shared" si="69"/>
        <v>No Issue</v>
      </c>
      <c r="O519" s="3" t="str">
        <f t="shared" si="70"/>
        <v>No Issue</v>
      </c>
      <c r="P519" s="3" t="str">
        <f t="shared" si="71"/>
        <v>NoIssue</v>
      </c>
    </row>
    <row r="520" ht="15.75" customHeight="1">
      <c r="A520" s="28">
        <v>44.0</v>
      </c>
      <c r="B520" s="34"/>
      <c r="C520" s="34"/>
      <c r="D520" s="3"/>
      <c r="E520" s="3"/>
      <c r="F520" s="27"/>
      <c r="G520" s="27"/>
      <c r="H520" s="27"/>
      <c r="I520" s="3"/>
      <c r="J520" s="3" t="str">
        <f t="shared" si="65"/>
        <v>0</v>
      </c>
      <c r="K520" s="27" t="str">
        <f t="shared" si="66"/>
        <v> No Issue</v>
      </c>
      <c r="L520" s="3" t="str">
        <f t="shared" si="67"/>
        <v>No Issue</v>
      </c>
      <c r="M520" s="3" t="str">
        <f t="shared" si="68"/>
        <v>No Issue</v>
      </c>
      <c r="N520" s="3" t="str">
        <f t="shared" si="69"/>
        <v>No Issue</v>
      </c>
      <c r="O520" s="3" t="str">
        <f t="shared" si="70"/>
        <v>No Issue</v>
      </c>
      <c r="P520" s="3" t="str">
        <f t="shared" si="71"/>
        <v>NoIssue</v>
      </c>
    </row>
    <row r="521" ht="15.75" customHeight="1">
      <c r="A521" s="28">
        <v>45.0</v>
      </c>
      <c r="B521" s="34"/>
      <c r="C521" s="34"/>
      <c r="D521" s="3"/>
      <c r="E521" s="3"/>
      <c r="F521" s="27"/>
      <c r="G521" s="27"/>
      <c r="H521" s="27"/>
      <c r="I521" s="3"/>
      <c r="J521" s="3" t="str">
        <f t="shared" si="65"/>
        <v>0</v>
      </c>
      <c r="K521" s="27" t="str">
        <f t="shared" si="66"/>
        <v> No Issue</v>
      </c>
      <c r="L521" s="3" t="str">
        <f t="shared" si="67"/>
        <v>No Issue</v>
      </c>
      <c r="M521" s="3" t="str">
        <f t="shared" si="68"/>
        <v>No Issue</v>
      </c>
      <c r="N521" s="3" t="str">
        <f t="shared" si="69"/>
        <v>No Issue</v>
      </c>
      <c r="O521" s="3" t="str">
        <f t="shared" si="70"/>
        <v>No Issue</v>
      </c>
      <c r="P521" s="3" t="str">
        <f t="shared" si="71"/>
        <v>NoIssue</v>
      </c>
    </row>
    <row r="522" ht="15.75" customHeight="1">
      <c r="A522" s="28">
        <v>46.0</v>
      </c>
      <c r="B522" s="34"/>
      <c r="C522" s="34"/>
      <c r="D522" s="3"/>
      <c r="E522" s="3"/>
      <c r="F522" s="27"/>
      <c r="G522" s="27"/>
      <c r="H522" s="27"/>
      <c r="I522" s="3"/>
      <c r="J522" s="3" t="str">
        <f t="shared" si="65"/>
        <v>0</v>
      </c>
      <c r="K522" s="27" t="str">
        <f t="shared" si="66"/>
        <v> No Issue</v>
      </c>
      <c r="L522" s="3" t="str">
        <f t="shared" si="67"/>
        <v>No Issue</v>
      </c>
      <c r="M522" s="3" t="str">
        <f t="shared" si="68"/>
        <v>No Issue</v>
      </c>
      <c r="N522" s="3" t="str">
        <f t="shared" si="69"/>
        <v>No Issue</v>
      </c>
      <c r="O522" s="3" t="str">
        <f t="shared" si="70"/>
        <v>No Issue</v>
      </c>
      <c r="P522" s="3" t="str">
        <f t="shared" si="71"/>
        <v>NoIssue</v>
      </c>
    </row>
    <row r="523" ht="15.75" customHeight="1">
      <c r="A523" s="28">
        <v>47.0</v>
      </c>
      <c r="B523" s="35"/>
      <c r="C523" s="36"/>
      <c r="D523" s="3"/>
      <c r="E523" s="3"/>
      <c r="F523" s="27"/>
      <c r="G523" s="27"/>
      <c r="H523" s="27"/>
      <c r="I523" s="3"/>
      <c r="J523" s="3" t="str">
        <f t="shared" si="65"/>
        <v>0</v>
      </c>
      <c r="K523" s="27" t="str">
        <f t="shared" si="66"/>
        <v> No Issue</v>
      </c>
      <c r="L523" s="3" t="str">
        <f t="shared" si="67"/>
        <v>No Issue</v>
      </c>
      <c r="M523" s="3" t="str">
        <f t="shared" si="68"/>
        <v>No Issue</v>
      </c>
      <c r="N523" s="3" t="str">
        <f t="shared" si="69"/>
        <v>No Issue</v>
      </c>
      <c r="O523" s="3" t="str">
        <f t="shared" si="70"/>
        <v>No Issue</v>
      </c>
      <c r="P523" s="3" t="str">
        <f t="shared" si="71"/>
        <v>NoIssue</v>
      </c>
    </row>
    <row r="524" ht="15.75" customHeight="1">
      <c r="A524" s="28">
        <v>48.0</v>
      </c>
      <c r="B524" s="35"/>
      <c r="C524" s="36"/>
      <c r="D524" s="3"/>
      <c r="E524" s="3"/>
      <c r="F524" s="27"/>
      <c r="G524" s="27"/>
      <c r="H524" s="27"/>
      <c r="I524" s="3"/>
      <c r="J524" s="3" t="str">
        <f t="shared" si="65"/>
        <v>0</v>
      </c>
      <c r="K524" s="27" t="str">
        <f t="shared" si="66"/>
        <v> No Issue</v>
      </c>
      <c r="L524" s="3" t="str">
        <f t="shared" si="67"/>
        <v>No Issue</v>
      </c>
      <c r="M524" s="3" t="str">
        <f t="shared" si="68"/>
        <v>No Issue</v>
      </c>
      <c r="N524" s="3" t="str">
        <f t="shared" si="69"/>
        <v>No Issue</v>
      </c>
      <c r="O524" s="3" t="str">
        <f t="shared" si="70"/>
        <v>No Issue</v>
      </c>
      <c r="P524" s="3" t="str">
        <f t="shared" si="71"/>
        <v>NoIssue</v>
      </c>
    </row>
    <row r="525" ht="15.75" customHeight="1">
      <c r="A525" s="28">
        <v>49.0</v>
      </c>
      <c r="B525" s="35"/>
      <c r="C525" s="36"/>
      <c r="D525" s="3"/>
      <c r="E525" s="3"/>
      <c r="F525" s="27"/>
      <c r="G525" s="27"/>
      <c r="H525" s="27"/>
      <c r="I525" s="3"/>
      <c r="J525" s="3" t="str">
        <f t="shared" si="65"/>
        <v>0</v>
      </c>
      <c r="K525" s="27" t="str">
        <f t="shared" si="66"/>
        <v> No Issue</v>
      </c>
      <c r="L525" s="3" t="str">
        <f t="shared" si="67"/>
        <v>No Issue</v>
      </c>
      <c r="M525" s="3" t="str">
        <f t="shared" si="68"/>
        <v>No Issue</v>
      </c>
      <c r="N525" s="3" t="str">
        <f t="shared" si="69"/>
        <v>No Issue</v>
      </c>
      <c r="O525" s="3" t="str">
        <f t="shared" si="70"/>
        <v>No Issue</v>
      </c>
      <c r="P525" s="3" t="str">
        <f t="shared" si="71"/>
        <v>NoIssue</v>
      </c>
    </row>
    <row r="526" ht="15.75" customHeight="1">
      <c r="A526" s="28">
        <v>50.0</v>
      </c>
      <c r="B526" s="35"/>
      <c r="C526" s="36"/>
      <c r="D526" s="3"/>
      <c r="E526" s="3"/>
      <c r="F526" s="27"/>
      <c r="G526" s="27"/>
      <c r="H526" s="27"/>
      <c r="I526" s="3"/>
      <c r="J526" s="3" t="str">
        <f t="shared" si="65"/>
        <v>0</v>
      </c>
      <c r="K526" s="27" t="str">
        <f t="shared" si="66"/>
        <v> No Issue</v>
      </c>
      <c r="L526" s="3" t="str">
        <f t="shared" si="67"/>
        <v>No Issue</v>
      </c>
      <c r="M526" s="3" t="str">
        <f t="shared" si="68"/>
        <v>No Issue</v>
      </c>
      <c r="N526" s="3" t="str">
        <f t="shared" si="69"/>
        <v>No Issue</v>
      </c>
      <c r="O526" s="3" t="str">
        <f t="shared" si="70"/>
        <v>No Issue</v>
      </c>
      <c r="P526" s="3" t="str">
        <f t="shared" si="71"/>
        <v>NoIssue</v>
      </c>
    </row>
    <row r="527" ht="15.75" customHeight="1">
      <c r="A527" s="28">
        <v>51.0</v>
      </c>
      <c r="B527" s="35"/>
      <c r="C527" s="36"/>
      <c r="D527" s="3"/>
      <c r="E527" s="3"/>
      <c r="F527" s="27"/>
      <c r="G527" s="27"/>
      <c r="H527" s="27"/>
      <c r="I527" s="3"/>
      <c r="J527" s="3" t="str">
        <f t="shared" si="65"/>
        <v>0</v>
      </c>
      <c r="K527" s="27" t="str">
        <f t="shared" si="66"/>
        <v> No Issue</v>
      </c>
      <c r="L527" s="3" t="str">
        <f t="shared" si="67"/>
        <v>No Issue</v>
      </c>
      <c r="M527" s="3" t="str">
        <f t="shared" si="68"/>
        <v>No Issue</v>
      </c>
      <c r="N527" s="3" t="str">
        <f t="shared" si="69"/>
        <v>No Issue</v>
      </c>
      <c r="O527" s="3" t="str">
        <f t="shared" si="70"/>
        <v>No Issue</v>
      </c>
      <c r="P527" s="3" t="str">
        <f t="shared" si="71"/>
        <v>NoIssue</v>
      </c>
    </row>
    <row r="528" ht="15.75" customHeight="1">
      <c r="A528" s="28">
        <v>52.0</v>
      </c>
      <c r="B528" s="35"/>
      <c r="C528" s="36"/>
      <c r="D528" s="3"/>
      <c r="E528" s="3"/>
      <c r="F528" s="27"/>
      <c r="G528" s="27"/>
      <c r="H528" s="27"/>
      <c r="I528" s="3"/>
      <c r="J528" s="3" t="str">
        <f t="shared" si="65"/>
        <v>0</v>
      </c>
      <c r="K528" s="27" t="str">
        <f t="shared" si="66"/>
        <v> No Issue</v>
      </c>
      <c r="L528" s="3" t="str">
        <f t="shared" si="67"/>
        <v>No Issue</v>
      </c>
      <c r="M528" s="3" t="str">
        <f t="shared" si="68"/>
        <v>No Issue</v>
      </c>
      <c r="N528" s="3" t="str">
        <f t="shared" si="69"/>
        <v>No Issue</v>
      </c>
      <c r="O528" s="3" t="str">
        <f t="shared" si="70"/>
        <v>No Issue</v>
      </c>
      <c r="P528" s="3" t="str">
        <f t="shared" si="71"/>
        <v>NoIssue</v>
      </c>
    </row>
    <row r="529" ht="15.75" customHeight="1">
      <c r="A529" s="28">
        <v>53.0</v>
      </c>
      <c r="B529" s="35"/>
      <c r="C529" s="36"/>
      <c r="D529" s="3"/>
      <c r="E529" s="3"/>
      <c r="F529" s="27"/>
      <c r="G529" s="27"/>
      <c r="H529" s="27"/>
      <c r="I529" s="3"/>
      <c r="J529" s="3" t="str">
        <f t="shared" si="65"/>
        <v>0</v>
      </c>
      <c r="K529" s="27" t="str">
        <f t="shared" si="66"/>
        <v> No Issue</v>
      </c>
      <c r="L529" s="3" t="str">
        <f t="shared" si="67"/>
        <v>No Issue</v>
      </c>
      <c r="M529" s="3" t="str">
        <f t="shared" si="68"/>
        <v>No Issue</v>
      </c>
      <c r="N529" s="3" t="str">
        <f t="shared" si="69"/>
        <v>No Issue</v>
      </c>
      <c r="O529" s="3" t="str">
        <f t="shared" si="70"/>
        <v>No Issue</v>
      </c>
      <c r="P529" s="3" t="str">
        <f t="shared" si="71"/>
        <v>NoIssue</v>
      </c>
    </row>
    <row r="530" ht="15.75" customHeight="1">
      <c r="A530" s="28">
        <v>54.0</v>
      </c>
      <c r="B530" s="34"/>
      <c r="C530" s="34"/>
      <c r="D530" s="3"/>
      <c r="E530" s="3"/>
      <c r="F530" s="27"/>
      <c r="G530" s="27"/>
      <c r="H530" s="27"/>
      <c r="I530" s="3"/>
      <c r="J530" s="3" t="str">
        <f t="shared" si="65"/>
        <v>0</v>
      </c>
      <c r="K530" s="27" t="str">
        <f t="shared" si="66"/>
        <v> No Issue</v>
      </c>
      <c r="L530" s="3" t="str">
        <f t="shared" si="67"/>
        <v>No Issue</v>
      </c>
      <c r="M530" s="3" t="str">
        <f t="shared" si="68"/>
        <v>No Issue</v>
      </c>
      <c r="N530" s="3" t="str">
        <f t="shared" si="69"/>
        <v>No Issue</v>
      </c>
      <c r="O530" s="3" t="str">
        <f t="shared" si="70"/>
        <v>No Issue</v>
      </c>
      <c r="P530" s="3" t="str">
        <f t="shared" si="71"/>
        <v>NoIssue</v>
      </c>
    </row>
    <row r="531" ht="15.75" customHeight="1">
      <c r="A531" s="28">
        <v>55.0</v>
      </c>
      <c r="B531" s="35"/>
      <c r="C531" s="36"/>
      <c r="D531" s="3"/>
      <c r="E531" s="3"/>
      <c r="F531" s="27"/>
      <c r="G531" s="27"/>
      <c r="H531" s="27"/>
      <c r="I531" s="3"/>
      <c r="J531" s="3" t="str">
        <f t="shared" si="65"/>
        <v>0</v>
      </c>
      <c r="K531" s="27" t="str">
        <f t="shared" si="66"/>
        <v> No Issue</v>
      </c>
      <c r="L531" s="3" t="str">
        <f t="shared" si="67"/>
        <v>No Issue</v>
      </c>
      <c r="M531" s="3" t="str">
        <f t="shared" si="68"/>
        <v>No Issue</v>
      </c>
      <c r="N531" s="3" t="str">
        <f t="shared" si="69"/>
        <v>No Issue</v>
      </c>
      <c r="O531" s="3" t="str">
        <f t="shared" si="70"/>
        <v>No Issue</v>
      </c>
      <c r="P531" s="3" t="str">
        <f t="shared" si="71"/>
        <v>NoIssue</v>
      </c>
    </row>
    <row r="532" ht="15.75" customHeight="1">
      <c r="A532" s="28">
        <v>56.0</v>
      </c>
      <c r="B532" s="35"/>
      <c r="C532" s="36"/>
      <c r="D532" s="3"/>
      <c r="E532" s="3"/>
      <c r="F532" s="27"/>
      <c r="G532" s="27"/>
      <c r="H532" s="27"/>
      <c r="I532" s="3"/>
      <c r="J532" s="3" t="str">
        <f t="shared" si="65"/>
        <v>0</v>
      </c>
      <c r="K532" s="27" t="str">
        <f t="shared" si="66"/>
        <v> No Issue</v>
      </c>
      <c r="L532" s="3" t="str">
        <f t="shared" si="67"/>
        <v>No Issue</v>
      </c>
      <c r="M532" s="3" t="str">
        <f t="shared" si="68"/>
        <v>No Issue</v>
      </c>
      <c r="N532" s="3" t="str">
        <f t="shared" si="69"/>
        <v>No Issue</v>
      </c>
      <c r="O532" s="3" t="str">
        <f t="shared" si="70"/>
        <v>No Issue</v>
      </c>
      <c r="P532" s="3" t="str">
        <f t="shared" si="71"/>
        <v>NoIssue</v>
      </c>
    </row>
    <row r="533" ht="15.75" customHeight="1">
      <c r="A533" s="28"/>
      <c r="B533" s="3" t="s">
        <v>64</v>
      </c>
      <c r="C533" s="35"/>
      <c r="D533" s="3" t="str">
        <f t="shared" ref="D533:I533" si="72">SUMPRODUCT(D477:D532,$C477:$C532)</f>
        <v>0</v>
      </c>
      <c r="E533" s="3" t="str">
        <f t="shared" si="72"/>
        <v>0</v>
      </c>
      <c r="F533" s="3" t="str">
        <f t="shared" si="72"/>
        <v>0</v>
      </c>
      <c r="G533" s="3" t="str">
        <f t="shared" si="72"/>
        <v>0</v>
      </c>
      <c r="H533" s="3" t="str">
        <f t="shared" si="72"/>
        <v>0</v>
      </c>
      <c r="I533" s="3" t="str">
        <f t="shared" si="72"/>
        <v>0</v>
      </c>
      <c r="J533" s="3" t="str">
        <f t="shared" si="65"/>
        <v>0</v>
      </c>
      <c r="K533" s="27" t="str">
        <f t="shared" si="66"/>
        <v> No Issue</v>
      </c>
      <c r="L533" s="3" t="str">
        <f t="shared" si="67"/>
        <v>No Issue</v>
      </c>
      <c r="M533" s="3" t="str">
        <f t="shared" si="68"/>
        <v>No Issue</v>
      </c>
      <c r="N533" s="3" t="str">
        <f t="shared" si="69"/>
        <v>No Issue</v>
      </c>
      <c r="O533" s="3" t="str">
        <f t="shared" si="70"/>
        <v>No Issue</v>
      </c>
      <c r="P533" s="3" t="str">
        <f t="shared" si="71"/>
        <v>NoIssue</v>
      </c>
    </row>
    <row r="534" ht="15.75" customHeight="1">
      <c r="A534" s="10"/>
      <c r="B534" s="11" t="s">
        <v>3</v>
      </c>
      <c r="C534" s="39"/>
      <c r="D534" s="13"/>
      <c r="E534" s="11"/>
      <c r="F534" s="15"/>
      <c r="G534" s="16"/>
      <c r="H534" s="17"/>
      <c r="I534" s="15"/>
      <c r="J534" s="18"/>
      <c r="K534" s="19" t="s">
        <v>5</v>
      </c>
      <c r="L534" s="20"/>
      <c r="M534" s="20"/>
      <c r="N534" s="20"/>
      <c r="O534" s="20"/>
      <c r="P534" s="21"/>
    </row>
    <row r="535" ht="15.75" customHeight="1">
      <c r="A535" s="40" t="s">
        <v>6</v>
      </c>
      <c r="B535" s="27" t="s">
        <v>7</v>
      </c>
      <c r="C535" s="27" t="s">
        <v>8</v>
      </c>
      <c r="D535" s="26" t="s">
        <v>9</v>
      </c>
      <c r="E535" s="26" t="s">
        <v>10</v>
      </c>
      <c r="F535" s="26" t="s">
        <v>11</v>
      </c>
      <c r="G535" s="26" t="s">
        <v>12</v>
      </c>
      <c r="H535" s="26" t="s">
        <v>13</v>
      </c>
      <c r="I535" s="26" t="s">
        <v>14</v>
      </c>
      <c r="J535" s="26" t="s">
        <v>15</v>
      </c>
      <c r="K535" s="27" t="s">
        <v>16</v>
      </c>
      <c r="L535" s="27" t="s">
        <v>17</v>
      </c>
      <c r="M535" s="27" t="s">
        <v>18</v>
      </c>
      <c r="N535" s="27" t="s">
        <v>19</v>
      </c>
      <c r="O535" s="27" t="s">
        <v>20</v>
      </c>
      <c r="P535" s="27" t="s">
        <v>21</v>
      </c>
    </row>
    <row r="536" ht="15.75" customHeight="1">
      <c r="A536" s="28">
        <v>1.0</v>
      </c>
      <c r="B536" s="29" t="s">
        <v>22</v>
      </c>
      <c r="C536" s="30">
        <v>192.17</v>
      </c>
      <c r="D536" s="3"/>
      <c r="E536" s="3"/>
      <c r="F536" s="3"/>
      <c r="G536" s="3"/>
      <c r="H536" s="3"/>
      <c r="I536" s="3"/>
      <c r="J536" s="3" t="str">
        <f t="shared" ref="J536:J592" si="73">D536+E536-F536-G536+H536</f>
        <v>0</v>
      </c>
      <c r="K536" s="27" t="str">
        <f t="shared" ref="K536:K592" si="74">IF(I536&lt;&gt;(D536+E536-F536-G536+H536),"Closing stock Not Correct-Problem"," No Issue")</f>
        <v> No Issue</v>
      </c>
      <c r="L536" s="3" t="str">
        <f t="shared" ref="L536:L592" si="75">IF((D536+E536)&lt;F536,"High Sale and Less Stock-Problem","No Issue")</f>
        <v>No Issue</v>
      </c>
      <c r="M536" s="3" t="str">
        <f t="shared" ref="M536:M592" si="76">IF(AND((D536+E536+I536)=0,F536&gt;0),"No Stock Sale Present Problem","No Issue")</f>
        <v>No Issue</v>
      </c>
      <c r="N536" s="3" t="str">
        <f t="shared" ref="N536:N592" si="77">IF(AND(SUM(D536:H536)=0,I536&gt;0),"Only Closing Entered Other Parameters No Entired Problem","No Issue")</f>
        <v>No Issue</v>
      </c>
      <c r="O536" s="3" t="str">
        <f t="shared" ref="O536:O592" si="78">IF(F536&gt;5000,"Check Once Sales quantity or Value Problem","No Issue")</f>
        <v>No Issue</v>
      </c>
      <c r="P536" s="3" t="str">
        <f t="shared" ref="P536:P592" si="79">IF(I536&gt;5000,"Check Once Closing quantity or Value Problem","NoIssue")</f>
        <v>NoIssue</v>
      </c>
    </row>
    <row r="537" ht="15.75" customHeight="1">
      <c r="A537" s="28">
        <v>2.0</v>
      </c>
      <c r="B537" s="29" t="s">
        <v>23</v>
      </c>
      <c r="C537" s="30">
        <v>9.26</v>
      </c>
      <c r="D537" s="3"/>
      <c r="E537" s="3"/>
      <c r="F537" s="3"/>
      <c r="G537" s="3"/>
      <c r="H537" s="3"/>
      <c r="I537" s="3"/>
      <c r="J537" s="3" t="str">
        <f t="shared" si="73"/>
        <v>0</v>
      </c>
      <c r="K537" s="27" t="str">
        <f t="shared" si="74"/>
        <v> No Issue</v>
      </c>
      <c r="L537" s="3" t="str">
        <f t="shared" si="75"/>
        <v>No Issue</v>
      </c>
      <c r="M537" s="3" t="str">
        <f t="shared" si="76"/>
        <v>No Issue</v>
      </c>
      <c r="N537" s="3" t="str">
        <f t="shared" si="77"/>
        <v>No Issue</v>
      </c>
      <c r="O537" s="3" t="str">
        <f t="shared" si="78"/>
        <v>No Issue</v>
      </c>
      <c r="P537" s="3" t="str">
        <f t="shared" si="79"/>
        <v>NoIssue</v>
      </c>
    </row>
    <row r="538" ht="15.75" customHeight="1">
      <c r="A538" s="28">
        <v>3.0</v>
      </c>
      <c r="B538" s="29" t="s">
        <v>24</v>
      </c>
      <c r="C538" s="30">
        <v>87.79</v>
      </c>
      <c r="D538" s="3"/>
      <c r="E538" s="3"/>
      <c r="F538" s="3"/>
      <c r="G538" s="3"/>
      <c r="H538" s="3"/>
      <c r="I538" s="3"/>
      <c r="J538" s="3" t="str">
        <f t="shared" si="73"/>
        <v>0</v>
      </c>
      <c r="K538" s="27" t="str">
        <f t="shared" si="74"/>
        <v> No Issue</v>
      </c>
      <c r="L538" s="3" t="str">
        <f t="shared" si="75"/>
        <v>No Issue</v>
      </c>
      <c r="M538" s="3" t="str">
        <f t="shared" si="76"/>
        <v>No Issue</v>
      </c>
      <c r="N538" s="3" t="str">
        <f t="shared" si="77"/>
        <v>No Issue</v>
      </c>
      <c r="O538" s="3" t="str">
        <f t="shared" si="78"/>
        <v>No Issue</v>
      </c>
      <c r="P538" s="3" t="str">
        <f t="shared" si="79"/>
        <v>NoIssue</v>
      </c>
    </row>
    <row r="539" ht="15.75" customHeight="1">
      <c r="A539" s="28">
        <v>4.0</v>
      </c>
      <c r="B539" s="29" t="s">
        <v>25</v>
      </c>
      <c r="C539" s="30">
        <v>55.55</v>
      </c>
      <c r="D539" s="3"/>
      <c r="E539" s="3"/>
      <c r="F539" s="3"/>
      <c r="G539" s="3"/>
      <c r="H539" s="3"/>
      <c r="I539" s="3"/>
      <c r="J539" s="3" t="str">
        <f t="shared" si="73"/>
        <v>0</v>
      </c>
      <c r="K539" s="27" t="str">
        <f t="shared" si="74"/>
        <v> No Issue</v>
      </c>
      <c r="L539" s="3" t="str">
        <f t="shared" si="75"/>
        <v>No Issue</v>
      </c>
      <c r="M539" s="3" t="str">
        <f t="shared" si="76"/>
        <v>No Issue</v>
      </c>
      <c r="N539" s="3" t="str">
        <f t="shared" si="77"/>
        <v>No Issue</v>
      </c>
      <c r="O539" s="3" t="str">
        <f t="shared" si="78"/>
        <v>No Issue</v>
      </c>
      <c r="P539" s="3" t="str">
        <f t="shared" si="79"/>
        <v>NoIssue</v>
      </c>
    </row>
    <row r="540" ht="15.75" customHeight="1">
      <c r="A540" s="28">
        <v>5.0</v>
      </c>
      <c r="B540" s="29" t="s">
        <v>26</v>
      </c>
      <c r="C540" s="30">
        <v>70.01</v>
      </c>
      <c r="D540" s="3"/>
      <c r="E540" s="3"/>
      <c r="F540" s="3"/>
      <c r="G540" s="3"/>
      <c r="H540" s="3"/>
      <c r="I540" s="3"/>
      <c r="J540" s="3" t="str">
        <f t="shared" si="73"/>
        <v>0</v>
      </c>
      <c r="K540" s="27" t="str">
        <f t="shared" si="74"/>
        <v> No Issue</v>
      </c>
      <c r="L540" s="3" t="str">
        <f t="shared" si="75"/>
        <v>No Issue</v>
      </c>
      <c r="M540" s="3" t="str">
        <f t="shared" si="76"/>
        <v>No Issue</v>
      </c>
      <c r="N540" s="3" t="str">
        <f t="shared" si="77"/>
        <v>No Issue</v>
      </c>
      <c r="O540" s="3" t="str">
        <f t="shared" si="78"/>
        <v>No Issue</v>
      </c>
      <c r="P540" s="3" t="str">
        <f t="shared" si="79"/>
        <v>NoIssue</v>
      </c>
    </row>
    <row r="541" ht="15.75" customHeight="1">
      <c r="A541" s="28">
        <v>6.0</v>
      </c>
      <c r="B541" s="29" t="s">
        <v>27</v>
      </c>
      <c r="C541" s="30">
        <v>73.92999999999999</v>
      </c>
      <c r="D541" s="3"/>
      <c r="E541" s="3"/>
      <c r="F541" s="3"/>
      <c r="G541" s="3"/>
      <c r="H541" s="3"/>
      <c r="I541" s="3"/>
      <c r="J541" s="3" t="str">
        <f t="shared" si="73"/>
        <v>0</v>
      </c>
      <c r="K541" s="27" t="str">
        <f t="shared" si="74"/>
        <v> No Issue</v>
      </c>
      <c r="L541" s="3" t="str">
        <f t="shared" si="75"/>
        <v>No Issue</v>
      </c>
      <c r="M541" s="3" t="str">
        <f t="shared" si="76"/>
        <v>No Issue</v>
      </c>
      <c r="N541" s="3" t="str">
        <f t="shared" si="77"/>
        <v>No Issue</v>
      </c>
      <c r="O541" s="3" t="str">
        <f t="shared" si="78"/>
        <v>No Issue</v>
      </c>
      <c r="P541" s="3" t="str">
        <f t="shared" si="79"/>
        <v>NoIssue</v>
      </c>
    </row>
    <row r="542" ht="15.75" customHeight="1">
      <c r="A542" s="28">
        <v>7.0</v>
      </c>
      <c r="B542" s="29" t="s">
        <v>28</v>
      </c>
      <c r="C542" s="30">
        <v>13.91</v>
      </c>
      <c r="D542" s="3"/>
      <c r="E542" s="3"/>
      <c r="F542" s="3"/>
      <c r="G542" s="3"/>
      <c r="H542" s="3"/>
      <c r="I542" s="3"/>
      <c r="J542" s="3" t="str">
        <f t="shared" si="73"/>
        <v>0</v>
      </c>
      <c r="K542" s="27" t="str">
        <f t="shared" si="74"/>
        <v> No Issue</v>
      </c>
      <c r="L542" s="3" t="str">
        <f t="shared" si="75"/>
        <v>No Issue</v>
      </c>
      <c r="M542" s="3" t="str">
        <f t="shared" si="76"/>
        <v>No Issue</v>
      </c>
      <c r="N542" s="3" t="str">
        <f t="shared" si="77"/>
        <v>No Issue</v>
      </c>
      <c r="O542" s="3" t="str">
        <f t="shared" si="78"/>
        <v>No Issue</v>
      </c>
      <c r="P542" s="3" t="str">
        <f t="shared" si="79"/>
        <v>NoIssue</v>
      </c>
    </row>
    <row r="543" ht="15.75" customHeight="1">
      <c r="A543" s="28">
        <v>8.0</v>
      </c>
      <c r="B543" s="29" t="s">
        <v>29</v>
      </c>
      <c r="C543" s="30">
        <v>19.5</v>
      </c>
      <c r="D543" s="3"/>
      <c r="E543" s="3"/>
      <c r="F543" s="3"/>
      <c r="G543" s="3"/>
      <c r="H543" s="3"/>
      <c r="I543" s="3"/>
      <c r="J543" s="3" t="str">
        <f t="shared" si="73"/>
        <v>0</v>
      </c>
      <c r="K543" s="27" t="str">
        <f t="shared" si="74"/>
        <v> No Issue</v>
      </c>
      <c r="L543" s="3" t="str">
        <f t="shared" si="75"/>
        <v>No Issue</v>
      </c>
      <c r="M543" s="3" t="str">
        <f t="shared" si="76"/>
        <v>No Issue</v>
      </c>
      <c r="N543" s="3" t="str">
        <f t="shared" si="77"/>
        <v>No Issue</v>
      </c>
      <c r="O543" s="3" t="str">
        <f t="shared" si="78"/>
        <v>No Issue</v>
      </c>
      <c r="P543" s="3" t="str">
        <f t="shared" si="79"/>
        <v>NoIssue</v>
      </c>
    </row>
    <row r="544" ht="15.75" customHeight="1">
      <c r="A544" s="28">
        <v>9.0</v>
      </c>
      <c r="B544" s="29" t="s">
        <v>30</v>
      </c>
      <c r="C544" s="30">
        <v>28.83</v>
      </c>
      <c r="D544" s="3"/>
      <c r="E544" s="3"/>
      <c r="F544" s="3"/>
      <c r="G544" s="3"/>
      <c r="H544" s="3"/>
      <c r="I544" s="3"/>
      <c r="J544" s="3" t="str">
        <f t="shared" si="73"/>
        <v>0</v>
      </c>
      <c r="K544" s="27" t="str">
        <f t="shared" si="74"/>
        <v> No Issue</v>
      </c>
      <c r="L544" s="3" t="str">
        <f t="shared" si="75"/>
        <v>No Issue</v>
      </c>
      <c r="M544" s="3" t="str">
        <f t="shared" si="76"/>
        <v>No Issue</v>
      </c>
      <c r="N544" s="3" t="str">
        <f t="shared" si="77"/>
        <v>No Issue</v>
      </c>
      <c r="O544" s="3" t="str">
        <f t="shared" si="78"/>
        <v>No Issue</v>
      </c>
      <c r="P544" s="3" t="str">
        <f t="shared" si="79"/>
        <v>NoIssue</v>
      </c>
    </row>
    <row r="545" ht="15.75" customHeight="1">
      <c r="A545" s="28">
        <v>10.0</v>
      </c>
      <c r="B545" s="29" t="s">
        <v>31</v>
      </c>
      <c r="C545" s="30">
        <v>8.51</v>
      </c>
      <c r="D545" s="3"/>
      <c r="E545" s="3"/>
      <c r="F545" s="3"/>
      <c r="G545" s="3"/>
      <c r="H545" s="3"/>
      <c r="I545" s="3"/>
      <c r="J545" s="3" t="str">
        <f t="shared" si="73"/>
        <v>0</v>
      </c>
      <c r="K545" s="27" t="str">
        <f t="shared" si="74"/>
        <v> No Issue</v>
      </c>
      <c r="L545" s="3" t="str">
        <f t="shared" si="75"/>
        <v>No Issue</v>
      </c>
      <c r="M545" s="3" t="str">
        <f t="shared" si="76"/>
        <v>No Issue</v>
      </c>
      <c r="N545" s="3" t="str">
        <f t="shared" si="77"/>
        <v>No Issue</v>
      </c>
      <c r="O545" s="3" t="str">
        <f t="shared" si="78"/>
        <v>No Issue</v>
      </c>
      <c r="P545" s="3" t="str">
        <f t="shared" si="79"/>
        <v>NoIssue</v>
      </c>
    </row>
    <row r="546" ht="15.75" customHeight="1">
      <c r="A546" s="28">
        <v>11.0</v>
      </c>
      <c r="B546" s="29" t="s">
        <v>32</v>
      </c>
      <c r="C546" s="30">
        <v>102.17</v>
      </c>
      <c r="D546" s="3"/>
      <c r="E546" s="3"/>
      <c r="F546" s="3"/>
      <c r="G546" s="3"/>
      <c r="H546" s="3"/>
      <c r="I546" s="3"/>
      <c r="J546" s="3" t="str">
        <f t="shared" si="73"/>
        <v>0</v>
      </c>
      <c r="K546" s="27" t="str">
        <f t="shared" si="74"/>
        <v> No Issue</v>
      </c>
      <c r="L546" s="3" t="str">
        <f t="shared" si="75"/>
        <v>No Issue</v>
      </c>
      <c r="M546" s="3" t="str">
        <f t="shared" si="76"/>
        <v>No Issue</v>
      </c>
      <c r="N546" s="3" t="str">
        <f t="shared" si="77"/>
        <v>No Issue</v>
      </c>
      <c r="O546" s="3" t="str">
        <f t="shared" si="78"/>
        <v>No Issue</v>
      </c>
      <c r="P546" s="3" t="str">
        <f t="shared" si="79"/>
        <v>NoIssue</v>
      </c>
    </row>
    <row r="547" ht="15.75" customHeight="1">
      <c r="A547" s="28">
        <v>12.0</v>
      </c>
      <c r="B547" s="29" t="s">
        <v>33</v>
      </c>
      <c r="C547" s="30">
        <v>59.93</v>
      </c>
      <c r="D547" s="3"/>
      <c r="E547" s="3"/>
      <c r="F547" s="3"/>
      <c r="G547" s="3"/>
      <c r="H547" s="3"/>
      <c r="I547" s="3"/>
      <c r="J547" s="3" t="str">
        <f t="shared" si="73"/>
        <v>0</v>
      </c>
      <c r="K547" s="27" t="str">
        <f t="shared" si="74"/>
        <v> No Issue</v>
      </c>
      <c r="L547" s="3" t="str">
        <f t="shared" si="75"/>
        <v>No Issue</v>
      </c>
      <c r="M547" s="3" t="str">
        <f t="shared" si="76"/>
        <v>No Issue</v>
      </c>
      <c r="N547" s="3" t="str">
        <f t="shared" si="77"/>
        <v>No Issue</v>
      </c>
      <c r="O547" s="3" t="str">
        <f t="shared" si="78"/>
        <v>No Issue</v>
      </c>
      <c r="P547" s="3" t="str">
        <f t="shared" si="79"/>
        <v>NoIssue</v>
      </c>
    </row>
    <row r="548" ht="15.75" customHeight="1">
      <c r="A548" s="28">
        <v>13.0</v>
      </c>
      <c r="B548" s="29" t="s">
        <v>34</v>
      </c>
      <c r="C548" s="30">
        <v>118.0</v>
      </c>
      <c r="D548" s="3"/>
      <c r="E548" s="3"/>
      <c r="F548" s="3"/>
      <c r="G548" s="3"/>
      <c r="H548" s="3"/>
      <c r="I548" s="3"/>
      <c r="J548" s="3" t="str">
        <f t="shared" si="73"/>
        <v>0</v>
      </c>
      <c r="K548" s="27" t="str">
        <f t="shared" si="74"/>
        <v> No Issue</v>
      </c>
      <c r="L548" s="3" t="str">
        <f t="shared" si="75"/>
        <v>No Issue</v>
      </c>
      <c r="M548" s="3" t="str">
        <f t="shared" si="76"/>
        <v>No Issue</v>
      </c>
      <c r="N548" s="3" t="str">
        <f t="shared" si="77"/>
        <v>No Issue</v>
      </c>
      <c r="O548" s="3" t="str">
        <f t="shared" si="78"/>
        <v>No Issue</v>
      </c>
      <c r="P548" s="3" t="str">
        <f t="shared" si="79"/>
        <v>NoIssue</v>
      </c>
    </row>
    <row r="549" ht="15.75" customHeight="1">
      <c r="A549" s="28">
        <v>14.0</v>
      </c>
      <c r="B549" s="29" t="s">
        <v>35</v>
      </c>
      <c r="C549" s="30">
        <v>52.83</v>
      </c>
      <c r="D549" s="3"/>
      <c r="E549" s="3"/>
      <c r="F549" s="3"/>
      <c r="G549" s="3"/>
      <c r="H549" s="3"/>
      <c r="I549" s="3"/>
      <c r="J549" s="3" t="str">
        <f t="shared" si="73"/>
        <v>0</v>
      </c>
      <c r="K549" s="27" t="str">
        <f t="shared" si="74"/>
        <v> No Issue</v>
      </c>
      <c r="L549" s="3" t="str">
        <f t="shared" si="75"/>
        <v>No Issue</v>
      </c>
      <c r="M549" s="3" t="str">
        <f t="shared" si="76"/>
        <v>No Issue</v>
      </c>
      <c r="N549" s="3" t="str">
        <f t="shared" si="77"/>
        <v>No Issue</v>
      </c>
      <c r="O549" s="3" t="str">
        <f t="shared" si="78"/>
        <v>No Issue</v>
      </c>
      <c r="P549" s="3" t="str">
        <f t="shared" si="79"/>
        <v>NoIssue</v>
      </c>
    </row>
    <row r="550" ht="15.75" customHeight="1">
      <c r="A550" s="28">
        <v>15.0</v>
      </c>
      <c r="B550" s="29" t="s">
        <v>36</v>
      </c>
      <c r="C550" s="30">
        <v>93.2</v>
      </c>
      <c r="D550" s="3"/>
      <c r="E550" s="3"/>
      <c r="F550" s="3"/>
      <c r="G550" s="3"/>
      <c r="H550" s="3"/>
      <c r="I550" s="3"/>
      <c r="J550" s="3" t="str">
        <f t="shared" si="73"/>
        <v>0</v>
      </c>
      <c r="K550" s="27" t="str">
        <f t="shared" si="74"/>
        <v> No Issue</v>
      </c>
      <c r="L550" s="3" t="str">
        <f t="shared" si="75"/>
        <v>No Issue</v>
      </c>
      <c r="M550" s="3" t="str">
        <f t="shared" si="76"/>
        <v>No Issue</v>
      </c>
      <c r="N550" s="3" t="str">
        <f t="shared" si="77"/>
        <v>No Issue</v>
      </c>
      <c r="O550" s="3" t="str">
        <f t="shared" si="78"/>
        <v>No Issue</v>
      </c>
      <c r="P550" s="3" t="str">
        <f t="shared" si="79"/>
        <v>NoIssue</v>
      </c>
    </row>
    <row r="551" ht="15.75" customHeight="1">
      <c r="A551" s="28">
        <v>16.0</v>
      </c>
      <c r="B551" s="29" t="s">
        <v>37</v>
      </c>
      <c r="C551" s="30">
        <v>61.02</v>
      </c>
      <c r="D551" s="3"/>
      <c r="E551" s="3"/>
      <c r="F551" s="3"/>
      <c r="G551" s="3"/>
      <c r="H551" s="3"/>
      <c r="I551" s="3"/>
      <c r="J551" s="3" t="str">
        <f t="shared" si="73"/>
        <v>0</v>
      </c>
      <c r="K551" s="27" t="str">
        <f t="shared" si="74"/>
        <v> No Issue</v>
      </c>
      <c r="L551" s="3" t="str">
        <f t="shared" si="75"/>
        <v>No Issue</v>
      </c>
      <c r="M551" s="3" t="str">
        <f t="shared" si="76"/>
        <v>No Issue</v>
      </c>
      <c r="N551" s="3" t="str">
        <f t="shared" si="77"/>
        <v>No Issue</v>
      </c>
      <c r="O551" s="3" t="str">
        <f t="shared" si="78"/>
        <v>No Issue</v>
      </c>
      <c r="P551" s="3" t="str">
        <f t="shared" si="79"/>
        <v>NoIssue</v>
      </c>
    </row>
    <row r="552" ht="15.75" customHeight="1">
      <c r="A552" s="28">
        <v>17.0</v>
      </c>
      <c r="B552" s="29" t="s">
        <v>38</v>
      </c>
      <c r="C552" s="30">
        <v>36.62</v>
      </c>
      <c r="D552" s="3"/>
      <c r="E552" s="3"/>
      <c r="F552" s="3"/>
      <c r="G552" s="3"/>
      <c r="H552" s="3"/>
      <c r="I552" s="3"/>
      <c r="J552" s="3" t="str">
        <f t="shared" si="73"/>
        <v>0</v>
      </c>
      <c r="K552" s="27" t="str">
        <f t="shared" si="74"/>
        <v> No Issue</v>
      </c>
      <c r="L552" s="3" t="str">
        <f t="shared" si="75"/>
        <v>No Issue</v>
      </c>
      <c r="M552" s="3" t="str">
        <f t="shared" si="76"/>
        <v>No Issue</v>
      </c>
      <c r="N552" s="3" t="str">
        <f t="shared" si="77"/>
        <v>No Issue</v>
      </c>
      <c r="O552" s="3" t="str">
        <f t="shared" si="78"/>
        <v>No Issue</v>
      </c>
      <c r="P552" s="3" t="str">
        <f t="shared" si="79"/>
        <v>NoIssue</v>
      </c>
    </row>
    <row r="553" ht="15.75" customHeight="1">
      <c r="A553" s="28">
        <v>18.0</v>
      </c>
      <c r="B553" s="29" t="s">
        <v>39</v>
      </c>
      <c r="C553" s="30">
        <v>80.36</v>
      </c>
      <c r="D553" s="3"/>
      <c r="E553" s="3"/>
      <c r="F553" s="3"/>
      <c r="G553" s="3"/>
      <c r="H553" s="3"/>
      <c r="I553" s="3"/>
      <c r="J553" s="3" t="str">
        <f t="shared" si="73"/>
        <v>0</v>
      </c>
      <c r="K553" s="27" t="str">
        <f t="shared" si="74"/>
        <v> No Issue</v>
      </c>
      <c r="L553" s="3" t="str">
        <f t="shared" si="75"/>
        <v>No Issue</v>
      </c>
      <c r="M553" s="3" t="str">
        <f t="shared" si="76"/>
        <v>No Issue</v>
      </c>
      <c r="N553" s="3" t="str">
        <f t="shared" si="77"/>
        <v>No Issue</v>
      </c>
      <c r="O553" s="3" t="str">
        <f t="shared" si="78"/>
        <v>No Issue</v>
      </c>
      <c r="P553" s="3" t="str">
        <f t="shared" si="79"/>
        <v>NoIssue</v>
      </c>
    </row>
    <row r="554" ht="15.75" customHeight="1">
      <c r="A554" s="28">
        <v>19.0</v>
      </c>
      <c r="B554" s="29" t="s">
        <v>40</v>
      </c>
      <c r="C554" s="30">
        <v>160.56</v>
      </c>
      <c r="D554" s="3"/>
      <c r="E554" s="3"/>
      <c r="F554" s="3"/>
      <c r="G554" s="3"/>
      <c r="H554" s="3"/>
      <c r="I554" s="3"/>
      <c r="J554" s="3" t="str">
        <f t="shared" si="73"/>
        <v>0</v>
      </c>
      <c r="K554" s="27" t="str">
        <f t="shared" si="74"/>
        <v> No Issue</v>
      </c>
      <c r="L554" s="3" t="str">
        <f t="shared" si="75"/>
        <v>No Issue</v>
      </c>
      <c r="M554" s="3" t="str">
        <f t="shared" si="76"/>
        <v>No Issue</v>
      </c>
      <c r="N554" s="3" t="str">
        <f t="shared" si="77"/>
        <v>No Issue</v>
      </c>
      <c r="O554" s="3" t="str">
        <f t="shared" si="78"/>
        <v>No Issue</v>
      </c>
      <c r="P554" s="3" t="str">
        <f t="shared" si="79"/>
        <v>NoIssue</v>
      </c>
    </row>
    <row r="555" ht="15.75" customHeight="1">
      <c r="A555" s="28">
        <v>20.0</v>
      </c>
      <c r="B555" s="29" t="s">
        <v>41</v>
      </c>
      <c r="C555" s="30">
        <v>186.44</v>
      </c>
      <c r="D555" s="3"/>
      <c r="E555" s="3"/>
      <c r="F555" s="3"/>
      <c r="G555" s="3"/>
      <c r="H555" s="3"/>
      <c r="I555" s="3"/>
      <c r="J555" s="3" t="str">
        <f t="shared" si="73"/>
        <v>0</v>
      </c>
      <c r="K555" s="27" t="str">
        <f t="shared" si="74"/>
        <v> No Issue</v>
      </c>
      <c r="L555" s="3" t="str">
        <f t="shared" si="75"/>
        <v>No Issue</v>
      </c>
      <c r="M555" s="3" t="str">
        <f t="shared" si="76"/>
        <v>No Issue</v>
      </c>
      <c r="N555" s="3" t="str">
        <f t="shared" si="77"/>
        <v>No Issue</v>
      </c>
      <c r="O555" s="3" t="str">
        <f t="shared" si="78"/>
        <v>No Issue</v>
      </c>
      <c r="P555" s="3" t="str">
        <f t="shared" si="79"/>
        <v>NoIssue</v>
      </c>
    </row>
    <row r="556" ht="15.75" customHeight="1">
      <c r="A556" s="28">
        <v>21.0</v>
      </c>
      <c r="B556" s="29" t="s">
        <v>42</v>
      </c>
      <c r="C556" s="30">
        <v>92.59</v>
      </c>
      <c r="D556" s="3"/>
      <c r="E556" s="3"/>
      <c r="F556" s="3"/>
      <c r="G556" s="3"/>
      <c r="H556" s="3"/>
      <c r="I556" s="3"/>
      <c r="J556" s="3" t="str">
        <f t="shared" si="73"/>
        <v>0</v>
      </c>
      <c r="K556" s="27" t="str">
        <f t="shared" si="74"/>
        <v> No Issue</v>
      </c>
      <c r="L556" s="3" t="str">
        <f t="shared" si="75"/>
        <v>No Issue</v>
      </c>
      <c r="M556" s="3" t="str">
        <f t="shared" si="76"/>
        <v>No Issue</v>
      </c>
      <c r="N556" s="3" t="str">
        <f t="shared" si="77"/>
        <v>No Issue</v>
      </c>
      <c r="O556" s="3" t="str">
        <f t="shared" si="78"/>
        <v>No Issue</v>
      </c>
      <c r="P556" s="3" t="str">
        <f t="shared" si="79"/>
        <v>NoIssue</v>
      </c>
    </row>
    <row r="557" ht="15.75" customHeight="1">
      <c r="A557" s="28">
        <v>22.0</v>
      </c>
      <c r="B557" s="29" t="s">
        <v>43</v>
      </c>
      <c r="C557" s="30">
        <v>95.17</v>
      </c>
      <c r="D557" s="3"/>
      <c r="E557" s="3"/>
      <c r="F557" s="3"/>
      <c r="G557" s="3"/>
      <c r="H557" s="3"/>
      <c r="I557" s="3"/>
      <c r="J557" s="3" t="str">
        <f t="shared" si="73"/>
        <v>0</v>
      </c>
      <c r="K557" s="27" t="str">
        <f t="shared" si="74"/>
        <v> No Issue</v>
      </c>
      <c r="L557" s="3" t="str">
        <f t="shared" si="75"/>
        <v>No Issue</v>
      </c>
      <c r="M557" s="3" t="str">
        <f t="shared" si="76"/>
        <v>No Issue</v>
      </c>
      <c r="N557" s="3" t="str">
        <f t="shared" si="77"/>
        <v>No Issue</v>
      </c>
      <c r="O557" s="3" t="str">
        <f t="shared" si="78"/>
        <v>No Issue</v>
      </c>
      <c r="P557" s="3" t="str">
        <f t="shared" si="79"/>
        <v>NoIssue</v>
      </c>
    </row>
    <row r="558" ht="15.75" customHeight="1">
      <c r="A558" s="28">
        <v>23.0</v>
      </c>
      <c r="B558" s="29" t="s">
        <v>44</v>
      </c>
      <c r="C558" s="30">
        <v>92.94</v>
      </c>
      <c r="D558" s="3"/>
      <c r="E558" s="3"/>
      <c r="F558" s="3"/>
      <c r="G558" s="3"/>
      <c r="H558" s="3"/>
      <c r="I558" s="3"/>
      <c r="J558" s="3" t="str">
        <f t="shared" si="73"/>
        <v>0</v>
      </c>
      <c r="K558" s="27" t="str">
        <f t="shared" si="74"/>
        <v> No Issue</v>
      </c>
      <c r="L558" s="3" t="str">
        <f t="shared" si="75"/>
        <v>No Issue</v>
      </c>
      <c r="M558" s="3" t="str">
        <f t="shared" si="76"/>
        <v>No Issue</v>
      </c>
      <c r="N558" s="3" t="str">
        <f t="shared" si="77"/>
        <v>No Issue</v>
      </c>
      <c r="O558" s="3" t="str">
        <f t="shared" si="78"/>
        <v>No Issue</v>
      </c>
      <c r="P558" s="3" t="str">
        <f t="shared" si="79"/>
        <v>NoIssue</v>
      </c>
    </row>
    <row r="559" ht="15.75" customHeight="1">
      <c r="A559" s="28">
        <v>24.0</v>
      </c>
      <c r="B559" s="29" t="s">
        <v>45</v>
      </c>
      <c r="C559" s="30">
        <v>101.82</v>
      </c>
      <c r="D559" s="3"/>
      <c r="E559" s="3"/>
      <c r="F559" s="3"/>
      <c r="G559" s="3"/>
      <c r="H559" s="3"/>
      <c r="I559" s="3"/>
      <c r="J559" s="3" t="str">
        <f t="shared" si="73"/>
        <v>0</v>
      </c>
      <c r="K559" s="27" t="str">
        <f t="shared" si="74"/>
        <v> No Issue</v>
      </c>
      <c r="L559" s="3" t="str">
        <f t="shared" si="75"/>
        <v>No Issue</v>
      </c>
      <c r="M559" s="3" t="str">
        <f t="shared" si="76"/>
        <v>No Issue</v>
      </c>
      <c r="N559" s="3" t="str">
        <f t="shared" si="77"/>
        <v>No Issue</v>
      </c>
      <c r="O559" s="3" t="str">
        <f t="shared" si="78"/>
        <v>No Issue</v>
      </c>
      <c r="P559" s="3" t="str">
        <f t="shared" si="79"/>
        <v>NoIssue</v>
      </c>
    </row>
    <row r="560" ht="15.75" customHeight="1">
      <c r="A560" s="28">
        <v>25.0</v>
      </c>
      <c r="B560" s="29" t="s">
        <v>46</v>
      </c>
      <c r="C560" s="30">
        <v>53.49</v>
      </c>
      <c r="D560" s="3"/>
      <c r="E560" s="3"/>
      <c r="F560" s="3"/>
      <c r="G560" s="3"/>
      <c r="H560" s="3"/>
      <c r="I560" s="3"/>
      <c r="J560" s="3" t="str">
        <f t="shared" si="73"/>
        <v>0</v>
      </c>
      <c r="K560" s="27" t="str">
        <f t="shared" si="74"/>
        <v> No Issue</v>
      </c>
      <c r="L560" s="3" t="str">
        <f t="shared" si="75"/>
        <v>No Issue</v>
      </c>
      <c r="M560" s="3" t="str">
        <f t="shared" si="76"/>
        <v>No Issue</v>
      </c>
      <c r="N560" s="3" t="str">
        <f t="shared" si="77"/>
        <v>No Issue</v>
      </c>
      <c r="O560" s="3" t="str">
        <f t="shared" si="78"/>
        <v>No Issue</v>
      </c>
      <c r="P560" s="3" t="str">
        <f t="shared" si="79"/>
        <v>NoIssue</v>
      </c>
    </row>
    <row r="561" ht="15.75" customHeight="1">
      <c r="A561" s="28">
        <v>26.0</v>
      </c>
      <c r="B561" s="29" t="s">
        <v>47</v>
      </c>
      <c r="C561" s="30">
        <v>32.92</v>
      </c>
      <c r="D561" s="3"/>
      <c r="E561" s="3"/>
      <c r="F561" s="3"/>
      <c r="G561" s="3"/>
      <c r="H561" s="3"/>
      <c r="I561" s="3"/>
      <c r="J561" s="3" t="str">
        <f t="shared" si="73"/>
        <v>0</v>
      </c>
      <c r="K561" s="27" t="str">
        <f t="shared" si="74"/>
        <v> No Issue</v>
      </c>
      <c r="L561" s="3" t="str">
        <f t="shared" si="75"/>
        <v>No Issue</v>
      </c>
      <c r="M561" s="3" t="str">
        <f t="shared" si="76"/>
        <v>No Issue</v>
      </c>
      <c r="N561" s="3" t="str">
        <f t="shared" si="77"/>
        <v>No Issue</v>
      </c>
      <c r="O561" s="3" t="str">
        <f t="shared" si="78"/>
        <v>No Issue</v>
      </c>
      <c r="P561" s="3" t="str">
        <f t="shared" si="79"/>
        <v>NoIssue</v>
      </c>
    </row>
    <row r="562" ht="15.75" customHeight="1">
      <c r="A562" s="28">
        <v>27.0</v>
      </c>
      <c r="B562" s="29" t="s">
        <v>48</v>
      </c>
      <c r="C562" s="30">
        <v>116.68</v>
      </c>
      <c r="D562" s="3"/>
      <c r="E562" s="3"/>
      <c r="F562" s="3"/>
      <c r="G562" s="3"/>
      <c r="H562" s="3"/>
      <c r="I562" s="3"/>
      <c r="J562" s="3" t="str">
        <f t="shared" si="73"/>
        <v>0</v>
      </c>
      <c r="K562" s="27" t="str">
        <f t="shared" si="74"/>
        <v> No Issue</v>
      </c>
      <c r="L562" s="3" t="str">
        <f t="shared" si="75"/>
        <v>No Issue</v>
      </c>
      <c r="M562" s="3" t="str">
        <f t="shared" si="76"/>
        <v>No Issue</v>
      </c>
      <c r="N562" s="3" t="str">
        <f t="shared" si="77"/>
        <v>No Issue</v>
      </c>
      <c r="O562" s="3" t="str">
        <f t="shared" si="78"/>
        <v>No Issue</v>
      </c>
      <c r="P562" s="3" t="str">
        <f t="shared" si="79"/>
        <v>NoIssue</v>
      </c>
    </row>
    <row r="563" ht="15.75" customHeight="1">
      <c r="A563" s="28">
        <v>28.0</v>
      </c>
      <c r="B563" s="29" t="s">
        <v>49</v>
      </c>
      <c r="C563" s="30">
        <v>107.96</v>
      </c>
      <c r="D563" s="3"/>
      <c r="E563" s="3"/>
      <c r="F563" s="3"/>
      <c r="G563" s="3"/>
      <c r="H563" s="3"/>
      <c r="I563" s="3"/>
      <c r="J563" s="3" t="str">
        <f t="shared" si="73"/>
        <v>0</v>
      </c>
      <c r="K563" s="27" t="str">
        <f t="shared" si="74"/>
        <v> No Issue</v>
      </c>
      <c r="L563" s="3" t="str">
        <f t="shared" si="75"/>
        <v>No Issue</v>
      </c>
      <c r="M563" s="3" t="str">
        <f t="shared" si="76"/>
        <v>No Issue</v>
      </c>
      <c r="N563" s="3" t="str">
        <f t="shared" si="77"/>
        <v>No Issue</v>
      </c>
      <c r="O563" s="3" t="str">
        <f t="shared" si="78"/>
        <v>No Issue</v>
      </c>
      <c r="P563" s="3" t="str">
        <f t="shared" si="79"/>
        <v>NoIssue</v>
      </c>
    </row>
    <row r="564" ht="15.75" customHeight="1">
      <c r="A564" s="28">
        <v>29.0</v>
      </c>
      <c r="B564" s="29" t="s">
        <v>50</v>
      </c>
      <c r="C564" s="30">
        <v>248.89</v>
      </c>
      <c r="D564" s="3"/>
      <c r="E564" s="3"/>
      <c r="F564" s="3"/>
      <c r="G564" s="3"/>
      <c r="H564" s="3"/>
      <c r="I564" s="3"/>
      <c r="J564" s="3" t="str">
        <f t="shared" si="73"/>
        <v>0</v>
      </c>
      <c r="K564" s="27" t="str">
        <f t="shared" si="74"/>
        <v> No Issue</v>
      </c>
      <c r="L564" s="3" t="str">
        <f t="shared" si="75"/>
        <v>No Issue</v>
      </c>
      <c r="M564" s="3" t="str">
        <f t="shared" si="76"/>
        <v>No Issue</v>
      </c>
      <c r="N564" s="3" t="str">
        <f t="shared" si="77"/>
        <v>No Issue</v>
      </c>
      <c r="O564" s="3" t="str">
        <f t="shared" si="78"/>
        <v>No Issue</v>
      </c>
      <c r="P564" s="3" t="str">
        <f t="shared" si="79"/>
        <v>NoIssue</v>
      </c>
    </row>
    <row r="565" ht="15.75" customHeight="1">
      <c r="A565" s="28">
        <v>30.0</v>
      </c>
      <c r="B565" s="29" t="s">
        <v>51</v>
      </c>
      <c r="C565" s="30">
        <v>80.36</v>
      </c>
      <c r="D565" s="3"/>
      <c r="E565" s="3"/>
      <c r="F565" s="27"/>
      <c r="G565" s="27"/>
      <c r="H565" s="27"/>
      <c r="I565" s="3"/>
      <c r="J565" s="3" t="str">
        <f t="shared" si="73"/>
        <v>0</v>
      </c>
      <c r="K565" s="27" t="str">
        <f t="shared" si="74"/>
        <v> No Issue</v>
      </c>
      <c r="L565" s="3" t="str">
        <f t="shared" si="75"/>
        <v>No Issue</v>
      </c>
      <c r="M565" s="3" t="str">
        <f t="shared" si="76"/>
        <v>No Issue</v>
      </c>
      <c r="N565" s="3" t="str">
        <f t="shared" si="77"/>
        <v>No Issue</v>
      </c>
      <c r="O565" s="3" t="str">
        <f t="shared" si="78"/>
        <v>No Issue</v>
      </c>
      <c r="P565" s="3" t="str">
        <f t="shared" si="79"/>
        <v>NoIssue</v>
      </c>
    </row>
    <row r="566" ht="15.75" customHeight="1">
      <c r="A566" s="28">
        <v>31.0</v>
      </c>
      <c r="B566" s="29" t="s">
        <v>52</v>
      </c>
      <c r="C566" s="30">
        <v>52.46</v>
      </c>
      <c r="D566" s="3"/>
      <c r="E566" s="3"/>
      <c r="F566" s="27"/>
      <c r="G566" s="27"/>
      <c r="H566" s="27"/>
      <c r="I566" s="3"/>
      <c r="J566" s="3" t="str">
        <f t="shared" si="73"/>
        <v>0</v>
      </c>
      <c r="K566" s="27" t="str">
        <f t="shared" si="74"/>
        <v> No Issue</v>
      </c>
      <c r="L566" s="3" t="str">
        <f t="shared" si="75"/>
        <v>No Issue</v>
      </c>
      <c r="M566" s="3" t="str">
        <f t="shared" si="76"/>
        <v>No Issue</v>
      </c>
      <c r="N566" s="3" t="str">
        <f t="shared" si="77"/>
        <v>No Issue</v>
      </c>
      <c r="O566" s="3" t="str">
        <f t="shared" si="78"/>
        <v>No Issue</v>
      </c>
      <c r="P566" s="3" t="str">
        <f t="shared" si="79"/>
        <v>NoIssue</v>
      </c>
    </row>
    <row r="567" ht="15.75" customHeight="1">
      <c r="A567" s="28">
        <v>32.0</v>
      </c>
      <c r="B567" s="29" t="s">
        <v>53</v>
      </c>
      <c r="C567" s="30">
        <v>71.21</v>
      </c>
      <c r="D567" s="3"/>
      <c r="E567" s="3"/>
      <c r="F567" s="27"/>
      <c r="G567" s="27"/>
      <c r="H567" s="27"/>
      <c r="I567" s="3"/>
      <c r="J567" s="3" t="str">
        <f t="shared" si="73"/>
        <v>0</v>
      </c>
      <c r="K567" s="27" t="str">
        <f t="shared" si="74"/>
        <v> No Issue</v>
      </c>
      <c r="L567" s="3" t="str">
        <f t="shared" si="75"/>
        <v>No Issue</v>
      </c>
      <c r="M567" s="3" t="str">
        <f t="shared" si="76"/>
        <v>No Issue</v>
      </c>
      <c r="N567" s="3" t="str">
        <f t="shared" si="77"/>
        <v>No Issue</v>
      </c>
      <c r="O567" s="3" t="str">
        <f t="shared" si="78"/>
        <v>No Issue</v>
      </c>
      <c r="P567" s="3" t="str">
        <f t="shared" si="79"/>
        <v>NoIssue</v>
      </c>
    </row>
    <row r="568" ht="15.75" customHeight="1">
      <c r="A568" s="28">
        <v>33.0</v>
      </c>
      <c r="B568" s="29" t="s">
        <v>54</v>
      </c>
      <c r="C568" s="30">
        <v>80.35</v>
      </c>
      <c r="D568" s="3"/>
      <c r="E568" s="3"/>
      <c r="F568" s="27"/>
      <c r="G568" s="27"/>
      <c r="H568" s="27"/>
      <c r="I568" s="3"/>
      <c r="J568" s="3" t="str">
        <f t="shared" si="73"/>
        <v>0</v>
      </c>
      <c r="K568" s="27" t="str">
        <f t="shared" si="74"/>
        <v> No Issue</v>
      </c>
      <c r="L568" s="3" t="str">
        <f t="shared" si="75"/>
        <v>No Issue</v>
      </c>
      <c r="M568" s="3" t="str">
        <f t="shared" si="76"/>
        <v>No Issue</v>
      </c>
      <c r="N568" s="3" t="str">
        <f t="shared" si="77"/>
        <v>No Issue</v>
      </c>
      <c r="O568" s="3" t="str">
        <f t="shared" si="78"/>
        <v>No Issue</v>
      </c>
      <c r="P568" s="3" t="str">
        <f t="shared" si="79"/>
        <v>NoIssue</v>
      </c>
    </row>
    <row r="569" ht="15.75" customHeight="1">
      <c r="A569" s="28">
        <v>34.0</v>
      </c>
      <c r="B569" s="29" t="s">
        <v>55</v>
      </c>
      <c r="C569" s="30">
        <v>64.18</v>
      </c>
      <c r="D569" s="3"/>
      <c r="E569" s="3"/>
      <c r="F569" s="27"/>
      <c r="G569" s="27"/>
      <c r="H569" s="27"/>
      <c r="I569" s="3"/>
      <c r="J569" s="3" t="str">
        <f t="shared" si="73"/>
        <v>0</v>
      </c>
      <c r="K569" s="27" t="str">
        <f t="shared" si="74"/>
        <v> No Issue</v>
      </c>
      <c r="L569" s="3" t="str">
        <f t="shared" si="75"/>
        <v>No Issue</v>
      </c>
      <c r="M569" s="3" t="str">
        <f t="shared" si="76"/>
        <v>No Issue</v>
      </c>
      <c r="N569" s="3" t="str">
        <f t="shared" si="77"/>
        <v>No Issue</v>
      </c>
      <c r="O569" s="3" t="str">
        <f t="shared" si="78"/>
        <v>No Issue</v>
      </c>
      <c r="P569" s="3" t="str">
        <f t="shared" si="79"/>
        <v>NoIssue</v>
      </c>
    </row>
    <row r="570" ht="15.75" customHeight="1">
      <c r="A570" s="28">
        <v>35.0</v>
      </c>
      <c r="B570" s="29" t="s">
        <v>56</v>
      </c>
      <c r="C570" s="30">
        <v>36.9</v>
      </c>
      <c r="D570" s="3"/>
      <c r="E570" s="3"/>
      <c r="F570" s="27"/>
      <c r="G570" s="27"/>
      <c r="H570" s="27"/>
      <c r="I570" s="3"/>
      <c r="J570" s="3" t="str">
        <f t="shared" si="73"/>
        <v>0</v>
      </c>
      <c r="K570" s="27" t="str">
        <f t="shared" si="74"/>
        <v> No Issue</v>
      </c>
      <c r="L570" s="3" t="str">
        <f t="shared" si="75"/>
        <v>No Issue</v>
      </c>
      <c r="M570" s="3" t="str">
        <f t="shared" si="76"/>
        <v>No Issue</v>
      </c>
      <c r="N570" s="3" t="str">
        <f t="shared" si="77"/>
        <v>No Issue</v>
      </c>
      <c r="O570" s="3" t="str">
        <f t="shared" si="78"/>
        <v>No Issue</v>
      </c>
      <c r="P570" s="3" t="str">
        <f t="shared" si="79"/>
        <v>NoIssue</v>
      </c>
    </row>
    <row r="571" ht="15.75" customHeight="1">
      <c r="A571" s="28">
        <v>36.0</v>
      </c>
      <c r="B571" s="29" t="s">
        <v>57</v>
      </c>
      <c r="C571" s="30">
        <v>101.54</v>
      </c>
      <c r="D571" s="3"/>
      <c r="E571" s="3"/>
      <c r="F571" s="27"/>
      <c r="G571" s="27"/>
      <c r="H571" s="27"/>
      <c r="I571" s="3"/>
      <c r="J571" s="3" t="str">
        <f t="shared" si="73"/>
        <v>0</v>
      </c>
      <c r="K571" s="27" t="str">
        <f t="shared" si="74"/>
        <v> No Issue</v>
      </c>
      <c r="L571" s="3" t="str">
        <f t="shared" si="75"/>
        <v>No Issue</v>
      </c>
      <c r="M571" s="3" t="str">
        <f t="shared" si="76"/>
        <v>No Issue</v>
      </c>
      <c r="N571" s="3" t="str">
        <f t="shared" si="77"/>
        <v>No Issue</v>
      </c>
      <c r="O571" s="3" t="str">
        <f t="shared" si="78"/>
        <v>No Issue</v>
      </c>
      <c r="P571" s="3" t="str">
        <f t="shared" si="79"/>
        <v>NoIssue</v>
      </c>
    </row>
    <row r="572" ht="15.75" customHeight="1">
      <c r="A572" s="28">
        <v>37.0</v>
      </c>
      <c r="B572" s="29" t="s">
        <v>58</v>
      </c>
      <c r="C572" s="30">
        <v>40.5</v>
      </c>
      <c r="D572" s="3"/>
      <c r="E572" s="3"/>
      <c r="F572" s="27"/>
      <c r="G572" s="27"/>
      <c r="H572" s="27"/>
      <c r="I572" s="3"/>
      <c r="J572" s="3" t="str">
        <f t="shared" si="73"/>
        <v>0</v>
      </c>
      <c r="K572" s="27" t="str">
        <f t="shared" si="74"/>
        <v> No Issue</v>
      </c>
      <c r="L572" s="3" t="str">
        <f t="shared" si="75"/>
        <v>No Issue</v>
      </c>
      <c r="M572" s="3" t="str">
        <f t="shared" si="76"/>
        <v>No Issue</v>
      </c>
      <c r="N572" s="3" t="str">
        <f t="shared" si="77"/>
        <v>No Issue</v>
      </c>
      <c r="O572" s="3" t="str">
        <f t="shared" si="78"/>
        <v>No Issue</v>
      </c>
      <c r="P572" s="3" t="str">
        <f t="shared" si="79"/>
        <v>NoIssue</v>
      </c>
    </row>
    <row r="573" ht="15.75" customHeight="1">
      <c r="A573" s="28">
        <v>38.0</v>
      </c>
      <c r="B573" s="29" t="s">
        <v>59</v>
      </c>
      <c r="C573" s="30">
        <v>66.69</v>
      </c>
      <c r="D573" s="3"/>
      <c r="E573" s="3"/>
      <c r="F573" s="27"/>
      <c r="G573" s="27"/>
      <c r="H573" s="27"/>
      <c r="I573" s="3"/>
      <c r="J573" s="3" t="str">
        <f t="shared" si="73"/>
        <v>0</v>
      </c>
      <c r="K573" s="27" t="str">
        <f t="shared" si="74"/>
        <v> No Issue</v>
      </c>
      <c r="L573" s="3" t="str">
        <f t="shared" si="75"/>
        <v>No Issue</v>
      </c>
      <c r="M573" s="3" t="str">
        <f t="shared" si="76"/>
        <v>No Issue</v>
      </c>
      <c r="N573" s="3" t="str">
        <f t="shared" si="77"/>
        <v>No Issue</v>
      </c>
      <c r="O573" s="3" t="str">
        <f t="shared" si="78"/>
        <v>No Issue</v>
      </c>
      <c r="P573" s="3" t="str">
        <f t="shared" si="79"/>
        <v>NoIssue</v>
      </c>
    </row>
    <row r="574" ht="15.75" customHeight="1">
      <c r="A574" s="28">
        <v>39.0</v>
      </c>
      <c r="B574" s="29" t="s">
        <v>60</v>
      </c>
      <c r="C574" s="29">
        <v>150.85999999999999</v>
      </c>
      <c r="D574" s="3"/>
      <c r="E574" s="3"/>
      <c r="F574" s="27"/>
      <c r="G574" s="27"/>
      <c r="H574" s="27"/>
      <c r="I574" s="3"/>
      <c r="J574" s="3" t="str">
        <f t="shared" si="73"/>
        <v>0</v>
      </c>
      <c r="K574" s="27" t="str">
        <f t="shared" si="74"/>
        <v> No Issue</v>
      </c>
      <c r="L574" s="3" t="str">
        <f t="shared" si="75"/>
        <v>No Issue</v>
      </c>
      <c r="M574" s="3" t="str">
        <f t="shared" si="76"/>
        <v>No Issue</v>
      </c>
      <c r="N574" s="3" t="str">
        <f t="shared" si="77"/>
        <v>No Issue</v>
      </c>
      <c r="O574" s="3" t="str">
        <f t="shared" si="78"/>
        <v>No Issue</v>
      </c>
      <c r="P574" s="3" t="str">
        <f t="shared" si="79"/>
        <v>NoIssue</v>
      </c>
    </row>
    <row r="575" ht="15.75" customHeight="1">
      <c r="A575" s="28">
        <v>40.0</v>
      </c>
      <c r="B575" s="33" t="s">
        <v>61</v>
      </c>
      <c r="C575" s="30">
        <v>180.0</v>
      </c>
      <c r="D575" s="3"/>
      <c r="E575" s="3"/>
      <c r="F575" s="27"/>
      <c r="G575" s="27"/>
      <c r="H575" s="27"/>
      <c r="I575" s="3"/>
      <c r="J575" s="3" t="str">
        <f t="shared" si="73"/>
        <v>0</v>
      </c>
      <c r="K575" s="27" t="str">
        <f t="shared" si="74"/>
        <v> No Issue</v>
      </c>
      <c r="L575" s="3" t="str">
        <f t="shared" si="75"/>
        <v>No Issue</v>
      </c>
      <c r="M575" s="3" t="str">
        <f t="shared" si="76"/>
        <v>No Issue</v>
      </c>
      <c r="N575" s="3" t="str">
        <f t="shared" si="77"/>
        <v>No Issue</v>
      </c>
      <c r="O575" s="3" t="str">
        <f t="shared" si="78"/>
        <v>No Issue</v>
      </c>
      <c r="P575" s="3" t="str">
        <f t="shared" si="79"/>
        <v>NoIssue</v>
      </c>
    </row>
    <row r="576" ht="15.75" customHeight="1">
      <c r="A576" s="28">
        <v>41.0</v>
      </c>
      <c r="B576" s="33" t="s">
        <v>62</v>
      </c>
      <c r="C576" s="29">
        <v>128.57</v>
      </c>
      <c r="D576" s="3"/>
      <c r="E576" s="3"/>
      <c r="F576" s="27"/>
      <c r="G576" s="27"/>
      <c r="H576" s="27"/>
      <c r="I576" s="3"/>
      <c r="J576" s="3" t="str">
        <f t="shared" si="73"/>
        <v>0</v>
      </c>
      <c r="K576" s="27" t="str">
        <f t="shared" si="74"/>
        <v> No Issue</v>
      </c>
      <c r="L576" s="3" t="str">
        <f t="shared" si="75"/>
        <v>No Issue</v>
      </c>
      <c r="M576" s="3" t="str">
        <f t="shared" si="76"/>
        <v>No Issue</v>
      </c>
      <c r="N576" s="3" t="str">
        <f t="shared" si="77"/>
        <v>No Issue</v>
      </c>
      <c r="O576" s="3" t="str">
        <f t="shared" si="78"/>
        <v>No Issue</v>
      </c>
      <c r="P576" s="3" t="str">
        <f t="shared" si="79"/>
        <v>NoIssue</v>
      </c>
    </row>
    <row r="577" ht="15.75" customHeight="1">
      <c r="A577" s="28">
        <v>42.0</v>
      </c>
      <c r="B577" s="29"/>
      <c r="C577" s="29"/>
      <c r="D577" s="3"/>
      <c r="E577" s="3"/>
      <c r="F577" s="27"/>
      <c r="G577" s="27"/>
      <c r="H577" s="27"/>
      <c r="I577" s="3"/>
      <c r="J577" s="3" t="str">
        <f t="shared" si="73"/>
        <v>0</v>
      </c>
      <c r="K577" s="27" t="str">
        <f t="shared" si="74"/>
        <v> No Issue</v>
      </c>
      <c r="L577" s="3" t="str">
        <f t="shared" si="75"/>
        <v>No Issue</v>
      </c>
      <c r="M577" s="3" t="str">
        <f t="shared" si="76"/>
        <v>No Issue</v>
      </c>
      <c r="N577" s="3" t="str">
        <f t="shared" si="77"/>
        <v>No Issue</v>
      </c>
      <c r="O577" s="3" t="str">
        <f t="shared" si="78"/>
        <v>No Issue</v>
      </c>
      <c r="P577" s="3" t="str">
        <f t="shared" si="79"/>
        <v>NoIssue</v>
      </c>
    </row>
    <row r="578" ht="15.75" customHeight="1">
      <c r="A578" s="28">
        <v>43.0</v>
      </c>
      <c r="B578" s="34"/>
      <c r="C578" s="34"/>
      <c r="D578" s="3"/>
      <c r="E578" s="3"/>
      <c r="F578" s="27"/>
      <c r="G578" s="27"/>
      <c r="H578" s="27"/>
      <c r="I578" s="3"/>
      <c r="J578" s="3" t="str">
        <f t="shared" si="73"/>
        <v>0</v>
      </c>
      <c r="K578" s="27" t="str">
        <f t="shared" si="74"/>
        <v> No Issue</v>
      </c>
      <c r="L578" s="3" t="str">
        <f t="shared" si="75"/>
        <v>No Issue</v>
      </c>
      <c r="M578" s="3" t="str">
        <f t="shared" si="76"/>
        <v>No Issue</v>
      </c>
      <c r="N578" s="3" t="str">
        <f t="shared" si="77"/>
        <v>No Issue</v>
      </c>
      <c r="O578" s="3" t="str">
        <f t="shared" si="78"/>
        <v>No Issue</v>
      </c>
      <c r="P578" s="3" t="str">
        <f t="shared" si="79"/>
        <v>NoIssue</v>
      </c>
    </row>
    <row r="579" ht="15.75" customHeight="1">
      <c r="A579" s="28">
        <v>44.0</v>
      </c>
      <c r="B579" s="34"/>
      <c r="C579" s="34"/>
      <c r="D579" s="3"/>
      <c r="E579" s="3"/>
      <c r="F579" s="27"/>
      <c r="G579" s="27"/>
      <c r="H579" s="27"/>
      <c r="I579" s="3"/>
      <c r="J579" s="3" t="str">
        <f t="shared" si="73"/>
        <v>0</v>
      </c>
      <c r="K579" s="27" t="str">
        <f t="shared" si="74"/>
        <v> No Issue</v>
      </c>
      <c r="L579" s="3" t="str">
        <f t="shared" si="75"/>
        <v>No Issue</v>
      </c>
      <c r="M579" s="3" t="str">
        <f t="shared" si="76"/>
        <v>No Issue</v>
      </c>
      <c r="N579" s="3" t="str">
        <f t="shared" si="77"/>
        <v>No Issue</v>
      </c>
      <c r="O579" s="3" t="str">
        <f t="shared" si="78"/>
        <v>No Issue</v>
      </c>
      <c r="P579" s="3" t="str">
        <f t="shared" si="79"/>
        <v>NoIssue</v>
      </c>
    </row>
    <row r="580" ht="15.75" customHeight="1">
      <c r="A580" s="28">
        <v>45.0</v>
      </c>
      <c r="B580" s="34"/>
      <c r="C580" s="34"/>
      <c r="D580" s="3"/>
      <c r="E580" s="3"/>
      <c r="F580" s="27"/>
      <c r="G580" s="27"/>
      <c r="H580" s="27"/>
      <c r="I580" s="3"/>
      <c r="J580" s="3" t="str">
        <f t="shared" si="73"/>
        <v>0</v>
      </c>
      <c r="K580" s="27" t="str">
        <f t="shared" si="74"/>
        <v> No Issue</v>
      </c>
      <c r="L580" s="3" t="str">
        <f t="shared" si="75"/>
        <v>No Issue</v>
      </c>
      <c r="M580" s="3" t="str">
        <f t="shared" si="76"/>
        <v>No Issue</v>
      </c>
      <c r="N580" s="3" t="str">
        <f t="shared" si="77"/>
        <v>No Issue</v>
      </c>
      <c r="O580" s="3" t="str">
        <f t="shared" si="78"/>
        <v>No Issue</v>
      </c>
      <c r="P580" s="3" t="str">
        <f t="shared" si="79"/>
        <v>NoIssue</v>
      </c>
    </row>
    <row r="581" ht="15.75" customHeight="1">
      <c r="A581" s="28">
        <v>46.0</v>
      </c>
      <c r="B581" s="34"/>
      <c r="C581" s="34"/>
      <c r="D581" s="3"/>
      <c r="E581" s="3"/>
      <c r="F581" s="27"/>
      <c r="G581" s="27"/>
      <c r="H581" s="27"/>
      <c r="I581" s="3"/>
      <c r="J581" s="3" t="str">
        <f t="shared" si="73"/>
        <v>0</v>
      </c>
      <c r="K581" s="27" t="str">
        <f t="shared" si="74"/>
        <v> No Issue</v>
      </c>
      <c r="L581" s="3" t="str">
        <f t="shared" si="75"/>
        <v>No Issue</v>
      </c>
      <c r="M581" s="3" t="str">
        <f t="shared" si="76"/>
        <v>No Issue</v>
      </c>
      <c r="N581" s="3" t="str">
        <f t="shared" si="77"/>
        <v>No Issue</v>
      </c>
      <c r="O581" s="3" t="str">
        <f t="shared" si="78"/>
        <v>No Issue</v>
      </c>
      <c r="P581" s="3" t="str">
        <f t="shared" si="79"/>
        <v>NoIssue</v>
      </c>
    </row>
    <row r="582" ht="15.75" customHeight="1">
      <c r="A582" s="28">
        <v>47.0</v>
      </c>
      <c r="B582" s="35"/>
      <c r="C582" s="36"/>
      <c r="D582" s="3"/>
      <c r="E582" s="3"/>
      <c r="F582" s="27"/>
      <c r="G582" s="27"/>
      <c r="H582" s="27"/>
      <c r="I582" s="3"/>
      <c r="J582" s="3" t="str">
        <f t="shared" si="73"/>
        <v>0</v>
      </c>
      <c r="K582" s="27" t="str">
        <f t="shared" si="74"/>
        <v> No Issue</v>
      </c>
      <c r="L582" s="3" t="str">
        <f t="shared" si="75"/>
        <v>No Issue</v>
      </c>
      <c r="M582" s="3" t="str">
        <f t="shared" si="76"/>
        <v>No Issue</v>
      </c>
      <c r="N582" s="3" t="str">
        <f t="shared" si="77"/>
        <v>No Issue</v>
      </c>
      <c r="O582" s="3" t="str">
        <f t="shared" si="78"/>
        <v>No Issue</v>
      </c>
      <c r="P582" s="3" t="str">
        <f t="shared" si="79"/>
        <v>NoIssue</v>
      </c>
    </row>
    <row r="583" ht="15.75" customHeight="1">
      <c r="A583" s="28">
        <v>48.0</v>
      </c>
      <c r="B583" s="35"/>
      <c r="C583" s="36"/>
      <c r="D583" s="3"/>
      <c r="E583" s="3"/>
      <c r="F583" s="27"/>
      <c r="G583" s="27"/>
      <c r="H583" s="27"/>
      <c r="I583" s="3"/>
      <c r="J583" s="3" t="str">
        <f t="shared" si="73"/>
        <v>0</v>
      </c>
      <c r="K583" s="27" t="str">
        <f t="shared" si="74"/>
        <v> No Issue</v>
      </c>
      <c r="L583" s="3" t="str">
        <f t="shared" si="75"/>
        <v>No Issue</v>
      </c>
      <c r="M583" s="3" t="str">
        <f t="shared" si="76"/>
        <v>No Issue</v>
      </c>
      <c r="N583" s="3" t="str">
        <f t="shared" si="77"/>
        <v>No Issue</v>
      </c>
      <c r="O583" s="3" t="str">
        <f t="shared" si="78"/>
        <v>No Issue</v>
      </c>
      <c r="P583" s="3" t="str">
        <f t="shared" si="79"/>
        <v>NoIssue</v>
      </c>
    </row>
    <row r="584" ht="15.75" customHeight="1">
      <c r="A584" s="28">
        <v>49.0</v>
      </c>
      <c r="B584" s="35"/>
      <c r="C584" s="36"/>
      <c r="D584" s="3"/>
      <c r="E584" s="3"/>
      <c r="F584" s="27"/>
      <c r="G584" s="27"/>
      <c r="H584" s="27"/>
      <c r="I584" s="3"/>
      <c r="J584" s="3" t="str">
        <f t="shared" si="73"/>
        <v>0</v>
      </c>
      <c r="K584" s="27" t="str">
        <f t="shared" si="74"/>
        <v> No Issue</v>
      </c>
      <c r="L584" s="3" t="str">
        <f t="shared" si="75"/>
        <v>No Issue</v>
      </c>
      <c r="M584" s="3" t="str">
        <f t="shared" si="76"/>
        <v>No Issue</v>
      </c>
      <c r="N584" s="3" t="str">
        <f t="shared" si="77"/>
        <v>No Issue</v>
      </c>
      <c r="O584" s="3" t="str">
        <f t="shared" si="78"/>
        <v>No Issue</v>
      </c>
      <c r="P584" s="3" t="str">
        <f t="shared" si="79"/>
        <v>NoIssue</v>
      </c>
    </row>
    <row r="585" ht="15.75" customHeight="1">
      <c r="A585" s="28">
        <v>50.0</v>
      </c>
      <c r="B585" s="35"/>
      <c r="C585" s="36"/>
      <c r="D585" s="3"/>
      <c r="E585" s="3"/>
      <c r="F585" s="27"/>
      <c r="G585" s="27"/>
      <c r="H585" s="27"/>
      <c r="I585" s="3"/>
      <c r="J585" s="3" t="str">
        <f t="shared" si="73"/>
        <v>0</v>
      </c>
      <c r="K585" s="27" t="str">
        <f t="shared" si="74"/>
        <v> No Issue</v>
      </c>
      <c r="L585" s="3" t="str">
        <f t="shared" si="75"/>
        <v>No Issue</v>
      </c>
      <c r="M585" s="3" t="str">
        <f t="shared" si="76"/>
        <v>No Issue</v>
      </c>
      <c r="N585" s="3" t="str">
        <f t="shared" si="77"/>
        <v>No Issue</v>
      </c>
      <c r="O585" s="3" t="str">
        <f t="shared" si="78"/>
        <v>No Issue</v>
      </c>
      <c r="P585" s="3" t="str">
        <f t="shared" si="79"/>
        <v>NoIssue</v>
      </c>
    </row>
    <row r="586" ht="15.75" customHeight="1">
      <c r="A586" s="28">
        <v>51.0</v>
      </c>
      <c r="B586" s="35"/>
      <c r="C586" s="36"/>
      <c r="D586" s="3"/>
      <c r="E586" s="3"/>
      <c r="F586" s="27"/>
      <c r="G586" s="27"/>
      <c r="H586" s="27"/>
      <c r="I586" s="3"/>
      <c r="J586" s="3" t="str">
        <f t="shared" si="73"/>
        <v>0</v>
      </c>
      <c r="K586" s="27" t="str">
        <f t="shared" si="74"/>
        <v> No Issue</v>
      </c>
      <c r="L586" s="3" t="str">
        <f t="shared" si="75"/>
        <v>No Issue</v>
      </c>
      <c r="M586" s="3" t="str">
        <f t="shared" si="76"/>
        <v>No Issue</v>
      </c>
      <c r="N586" s="3" t="str">
        <f t="shared" si="77"/>
        <v>No Issue</v>
      </c>
      <c r="O586" s="3" t="str">
        <f t="shared" si="78"/>
        <v>No Issue</v>
      </c>
      <c r="P586" s="3" t="str">
        <f t="shared" si="79"/>
        <v>NoIssue</v>
      </c>
    </row>
    <row r="587" ht="15.75" customHeight="1">
      <c r="A587" s="28">
        <v>52.0</v>
      </c>
      <c r="B587" s="35"/>
      <c r="C587" s="36"/>
      <c r="D587" s="3"/>
      <c r="E587" s="3"/>
      <c r="F587" s="27"/>
      <c r="G587" s="27"/>
      <c r="H587" s="27"/>
      <c r="I587" s="3"/>
      <c r="J587" s="3" t="str">
        <f t="shared" si="73"/>
        <v>0</v>
      </c>
      <c r="K587" s="27" t="str">
        <f t="shared" si="74"/>
        <v> No Issue</v>
      </c>
      <c r="L587" s="3" t="str">
        <f t="shared" si="75"/>
        <v>No Issue</v>
      </c>
      <c r="M587" s="3" t="str">
        <f t="shared" si="76"/>
        <v>No Issue</v>
      </c>
      <c r="N587" s="3" t="str">
        <f t="shared" si="77"/>
        <v>No Issue</v>
      </c>
      <c r="O587" s="3" t="str">
        <f t="shared" si="78"/>
        <v>No Issue</v>
      </c>
      <c r="P587" s="3" t="str">
        <f t="shared" si="79"/>
        <v>NoIssue</v>
      </c>
    </row>
    <row r="588" ht="15.75" customHeight="1">
      <c r="A588" s="28">
        <v>53.0</v>
      </c>
      <c r="B588" s="35"/>
      <c r="C588" s="36"/>
      <c r="D588" s="3"/>
      <c r="E588" s="3"/>
      <c r="F588" s="27"/>
      <c r="G588" s="27"/>
      <c r="H588" s="27"/>
      <c r="I588" s="3"/>
      <c r="J588" s="3" t="str">
        <f t="shared" si="73"/>
        <v>0</v>
      </c>
      <c r="K588" s="27" t="str">
        <f t="shared" si="74"/>
        <v> No Issue</v>
      </c>
      <c r="L588" s="3" t="str">
        <f t="shared" si="75"/>
        <v>No Issue</v>
      </c>
      <c r="M588" s="3" t="str">
        <f t="shared" si="76"/>
        <v>No Issue</v>
      </c>
      <c r="N588" s="3" t="str">
        <f t="shared" si="77"/>
        <v>No Issue</v>
      </c>
      <c r="O588" s="3" t="str">
        <f t="shared" si="78"/>
        <v>No Issue</v>
      </c>
      <c r="P588" s="3" t="str">
        <f t="shared" si="79"/>
        <v>NoIssue</v>
      </c>
    </row>
    <row r="589" ht="15.75" customHeight="1">
      <c r="A589" s="28">
        <v>54.0</v>
      </c>
      <c r="B589" s="34"/>
      <c r="C589" s="34"/>
      <c r="D589" s="3"/>
      <c r="E589" s="3"/>
      <c r="F589" s="27"/>
      <c r="G589" s="27"/>
      <c r="H589" s="27"/>
      <c r="I589" s="3"/>
      <c r="J589" s="3" t="str">
        <f t="shared" si="73"/>
        <v>0</v>
      </c>
      <c r="K589" s="27" t="str">
        <f t="shared" si="74"/>
        <v> No Issue</v>
      </c>
      <c r="L589" s="3" t="str">
        <f t="shared" si="75"/>
        <v>No Issue</v>
      </c>
      <c r="M589" s="3" t="str">
        <f t="shared" si="76"/>
        <v>No Issue</v>
      </c>
      <c r="N589" s="3" t="str">
        <f t="shared" si="77"/>
        <v>No Issue</v>
      </c>
      <c r="O589" s="3" t="str">
        <f t="shared" si="78"/>
        <v>No Issue</v>
      </c>
      <c r="P589" s="3" t="str">
        <f t="shared" si="79"/>
        <v>NoIssue</v>
      </c>
    </row>
    <row r="590" ht="15.75" customHeight="1">
      <c r="A590" s="28">
        <v>55.0</v>
      </c>
      <c r="B590" s="35"/>
      <c r="C590" s="36"/>
      <c r="D590" s="3"/>
      <c r="E590" s="3"/>
      <c r="F590" s="27"/>
      <c r="G590" s="27"/>
      <c r="H590" s="27"/>
      <c r="I590" s="3"/>
      <c r="J590" s="3" t="str">
        <f t="shared" si="73"/>
        <v>0</v>
      </c>
      <c r="K590" s="27" t="str">
        <f t="shared" si="74"/>
        <v> No Issue</v>
      </c>
      <c r="L590" s="3" t="str">
        <f t="shared" si="75"/>
        <v>No Issue</v>
      </c>
      <c r="M590" s="3" t="str">
        <f t="shared" si="76"/>
        <v>No Issue</v>
      </c>
      <c r="N590" s="3" t="str">
        <f t="shared" si="77"/>
        <v>No Issue</v>
      </c>
      <c r="O590" s="3" t="str">
        <f t="shared" si="78"/>
        <v>No Issue</v>
      </c>
      <c r="P590" s="3" t="str">
        <f t="shared" si="79"/>
        <v>NoIssue</v>
      </c>
    </row>
    <row r="591" ht="15.75" customHeight="1">
      <c r="A591" s="28">
        <v>56.0</v>
      </c>
      <c r="B591" s="35"/>
      <c r="C591" s="36"/>
      <c r="D591" s="3"/>
      <c r="E591" s="3"/>
      <c r="F591" s="27"/>
      <c r="G591" s="27"/>
      <c r="H591" s="27"/>
      <c r="I591" s="3"/>
      <c r="J591" s="3" t="str">
        <f t="shared" si="73"/>
        <v>0</v>
      </c>
      <c r="K591" s="27" t="str">
        <f t="shared" si="74"/>
        <v> No Issue</v>
      </c>
      <c r="L591" s="3" t="str">
        <f t="shared" si="75"/>
        <v>No Issue</v>
      </c>
      <c r="M591" s="3" t="str">
        <f t="shared" si="76"/>
        <v>No Issue</v>
      </c>
      <c r="N591" s="3" t="str">
        <f t="shared" si="77"/>
        <v>No Issue</v>
      </c>
      <c r="O591" s="3" t="str">
        <f t="shared" si="78"/>
        <v>No Issue</v>
      </c>
      <c r="P591" s="3" t="str">
        <f t="shared" si="79"/>
        <v>NoIssue</v>
      </c>
    </row>
    <row r="592" ht="15.75" customHeight="1">
      <c r="A592" s="28"/>
      <c r="B592" s="3" t="s">
        <v>64</v>
      </c>
      <c r="C592" s="35"/>
      <c r="D592" s="3" t="str">
        <f t="shared" ref="D592:I592" si="80">SUMPRODUCT(D536:D591,$C536:$C591)</f>
        <v>0</v>
      </c>
      <c r="E592" s="3" t="str">
        <f t="shared" si="80"/>
        <v>0</v>
      </c>
      <c r="F592" s="3" t="str">
        <f t="shared" si="80"/>
        <v>0</v>
      </c>
      <c r="G592" s="3" t="str">
        <f t="shared" si="80"/>
        <v>0</v>
      </c>
      <c r="H592" s="3" t="str">
        <f t="shared" si="80"/>
        <v>0</v>
      </c>
      <c r="I592" s="3" t="str">
        <f t="shared" si="80"/>
        <v>0</v>
      </c>
      <c r="J592" s="3" t="str">
        <f t="shared" si="73"/>
        <v>0</v>
      </c>
      <c r="K592" s="27" t="str">
        <f t="shared" si="74"/>
        <v> No Issue</v>
      </c>
      <c r="L592" s="3" t="str">
        <f t="shared" si="75"/>
        <v>No Issue</v>
      </c>
      <c r="M592" s="3" t="str">
        <f t="shared" si="76"/>
        <v>No Issue</v>
      </c>
      <c r="N592" s="3" t="str">
        <f t="shared" si="77"/>
        <v>No Issue</v>
      </c>
      <c r="O592" s="3" t="str">
        <f t="shared" si="78"/>
        <v>No Issue</v>
      </c>
      <c r="P592" s="3" t="str">
        <f t="shared" si="79"/>
        <v>NoIssue</v>
      </c>
    </row>
    <row r="593" ht="15.75" customHeight="1">
      <c r="A593" s="10"/>
      <c r="B593" s="11" t="s">
        <v>3</v>
      </c>
      <c r="C593" s="39"/>
      <c r="D593" s="13"/>
      <c r="E593" s="11"/>
      <c r="F593" s="15"/>
      <c r="G593" s="16"/>
      <c r="H593" s="17"/>
      <c r="I593" s="15"/>
      <c r="J593" s="18"/>
      <c r="K593" s="19" t="s">
        <v>5</v>
      </c>
      <c r="L593" s="20"/>
      <c r="M593" s="20"/>
      <c r="N593" s="20"/>
      <c r="O593" s="20"/>
      <c r="P593" s="21"/>
    </row>
    <row r="594" ht="15.75" customHeight="1">
      <c r="A594" s="40" t="s">
        <v>6</v>
      </c>
      <c r="B594" s="27" t="s">
        <v>7</v>
      </c>
      <c r="C594" s="27" t="s">
        <v>8</v>
      </c>
      <c r="D594" s="26" t="s">
        <v>9</v>
      </c>
      <c r="E594" s="26" t="s">
        <v>10</v>
      </c>
      <c r="F594" s="26" t="s">
        <v>11</v>
      </c>
      <c r="G594" s="26" t="s">
        <v>12</v>
      </c>
      <c r="H594" s="26" t="s">
        <v>13</v>
      </c>
      <c r="I594" s="26" t="s">
        <v>14</v>
      </c>
      <c r="J594" s="26" t="s">
        <v>15</v>
      </c>
      <c r="K594" s="27" t="s">
        <v>16</v>
      </c>
      <c r="L594" s="27" t="s">
        <v>17</v>
      </c>
      <c r="M594" s="27" t="s">
        <v>18</v>
      </c>
      <c r="N594" s="27" t="s">
        <v>19</v>
      </c>
      <c r="O594" s="27" t="s">
        <v>20</v>
      </c>
      <c r="P594" s="27" t="s">
        <v>21</v>
      </c>
    </row>
    <row r="595" ht="15.75" customHeight="1">
      <c r="A595" s="28">
        <v>1.0</v>
      </c>
      <c r="B595" s="29" t="s">
        <v>22</v>
      </c>
      <c r="C595" s="30">
        <v>192.17</v>
      </c>
      <c r="D595" s="3"/>
      <c r="E595" s="3"/>
      <c r="F595" s="3"/>
      <c r="G595" s="3"/>
      <c r="H595" s="3"/>
      <c r="I595" s="3"/>
      <c r="J595" s="3" t="str">
        <f t="shared" ref="J595:J651" si="81">D595+E595-F595-G595+H595</f>
        <v>0</v>
      </c>
      <c r="K595" s="27" t="str">
        <f t="shared" ref="K595:K651" si="82">IF(I595&lt;&gt;(D595+E595-F595-G595+H595),"Closing stock Not Correct-Problem"," No Issue")</f>
        <v> No Issue</v>
      </c>
      <c r="L595" s="3" t="str">
        <f t="shared" ref="L595:L651" si="83">IF((D595+E595)&lt;F595,"High Sale and Less Stock-Problem","No Issue")</f>
        <v>No Issue</v>
      </c>
      <c r="M595" s="3" t="str">
        <f t="shared" ref="M595:M651" si="84">IF(AND((D595+E595+I595)=0,F595&gt;0),"No Stock Sale Present Problem","No Issue")</f>
        <v>No Issue</v>
      </c>
      <c r="N595" s="3" t="str">
        <f t="shared" ref="N595:N651" si="85">IF(AND(SUM(D595:H595)=0,I595&gt;0),"Only Closing Entered Other Parameters No Entired Problem","No Issue")</f>
        <v>No Issue</v>
      </c>
      <c r="O595" s="3" t="str">
        <f t="shared" ref="O595:O651" si="86">IF(F595&gt;5000,"Check Once Sales quantity or Value Problem","No Issue")</f>
        <v>No Issue</v>
      </c>
      <c r="P595" s="3" t="str">
        <f t="shared" ref="P595:P651" si="87">IF(I595&gt;5000,"Check Once Closing quantity or Value Problem","NoIssue")</f>
        <v>NoIssue</v>
      </c>
    </row>
    <row r="596" ht="15.75" customHeight="1">
      <c r="A596" s="28">
        <v>2.0</v>
      </c>
      <c r="B596" s="29" t="s">
        <v>23</v>
      </c>
      <c r="C596" s="30">
        <v>9.26</v>
      </c>
      <c r="D596" s="3"/>
      <c r="E596" s="3"/>
      <c r="F596" s="3"/>
      <c r="G596" s="3"/>
      <c r="H596" s="3"/>
      <c r="I596" s="3"/>
      <c r="J596" s="3" t="str">
        <f t="shared" si="81"/>
        <v>0</v>
      </c>
      <c r="K596" s="27" t="str">
        <f t="shared" si="82"/>
        <v> No Issue</v>
      </c>
      <c r="L596" s="3" t="str">
        <f t="shared" si="83"/>
        <v>No Issue</v>
      </c>
      <c r="M596" s="3" t="str">
        <f t="shared" si="84"/>
        <v>No Issue</v>
      </c>
      <c r="N596" s="3" t="str">
        <f t="shared" si="85"/>
        <v>No Issue</v>
      </c>
      <c r="O596" s="3" t="str">
        <f t="shared" si="86"/>
        <v>No Issue</v>
      </c>
      <c r="P596" s="3" t="str">
        <f t="shared" si="87"/>
        <v>NoIssue</v>
      </c>
    </row>
    <row r="597" ht="15.75" customHeight="1">
      <c r="A597" s="28">
        <v>3.0</v>
      </c>
      <c r="B597" s="29" t="s">
        <v>24</v>
      </c>
      <c r="C597" s="30">
        <v>87.79</v>
      </c>
      <c r="D597" s="3"/>
      <c r="E597" s="3"/>
      <c r="F597" s="3"/>
      <c r="G597" s="3"/>
      <c r="H597" s="3"/>
      <c r="I597" s="3"/>
      <c r="J597" s="3" t="str">
        <f t="shared" si="81"/>
        <v>0</v>
      </c>
      <c r="K597" s="27" t="str">
        <f t="shared" si="82"/>
        <v> No Issue</v>
      </c>
      <c r="L597" s="3" t="str">
        <f t="shared" si="83"/>
        <v>No Issue</v>
      </c>
      <c r="M597" s="3" t="str">
        <f t="shared" si="84"/>
        <v>No Issue</v>
      </c>
      <c r="N597" s="3" t="str">
        <f t="shared" si="85"/>
        <v>No Issue</v>
      </c>
      <c r="O597" s="3" t="str">
        <f t="shared" si="86"/>
        <v>No Issue</v>
      </c>
      <c r="P597" s="3" t="str">
        <f t="shared" si="87"/>
        <v>NoIssue</v>
      </c>
    </row>
    <row r="598" ht="15.75" customHeight="1">
      <c r="A598" s="28">
        <v>4.0</v>
      </c>
      <c r="B598" s="29" t="s">
        <v>25</v>
      </c>
      <c r="C598" s="30">
        <v>55.55</v>
      </c>
      <c r="D598" s="3"/>
      <c r="E598" s="3"/>
      <c r="F598" s="3"/>
      <c r="G598" s="3"/>
      <c r="H598" s="3"/>
      <c r="I598" s="3"/>
      <c r="J598" s="3" t="str">
        <f t="shared" si="81"/>
        <v>0</v>
      </c>
      <c r="K598" s="27" t="str">
        <f t="shared" si="82"/>
        <v> No Issue</v>
      </c>
      <c r="L598" s="3" t="str">
        <f t="shared" si="83"/>
        <v>No Issue</v>
      </c>
      <c r="M598" s="3" t="str">
        <f t="shared" si="84"/>
        <v>No Issue</v>
      </c>
      <c r="N598" s="3" t="str">
        <f t="shared" si="85"/>
        <v>No Issue</v>
      </c>
      <c r="O598" s="3" t="str">
        <f t="shared" si="86"/>
        <v>No Issue</v>
      </c>
      <c r="P598" s="3" t="str">
        <f t="shared" si="87"/>
        <v>NoIssue</v>
      </c>
    </row>
    <row r="599" ht="15.75" customHeight="1">
      <c r="A599" s="28">
        <v>5.0</v>
      </c>
      <c r="B599" s="29" t="s">
        <v>26</v>
      </c>
      <c r="C599" s="30">
        <v>70.01</v>
      </c>
      <c r="D599" s="3"/>
      <c r="E599" s="3"/>
      <c r="F599" s="3"/>
      <c r="G599" s="3"/>
      <c r="H599" s="3"/>
      <c r="I599" s="3"/>
      <c r="J599" s="3" t="str">
        <f t="shared" si="81"/>
        <v>0</v>
      </c>
      <c r="K599" s="27" t="str">
        <f t="shared" si="82"/>
        <v> No Issue</v>
      </c>
      <c r="L599" s="3" t="str">
        <f t="shared" si="83"/>
        <v>No Issue</v>
      </c>
      <c r="M599" s="3" t="str">
        <f t="shared" si="84"/>
        <v>No Issue</v>
      </c>
      <c r="N599" s="3" t="str">
        <f t="shared" si="85"/>
        <v>No Issue</v>
      </c>
      <c r="O599" s="3" t="str">
        <f t="shared" si="86"/>
        <v>No Issue</v>
      </c>
      <c r="P599" s="3" t="str">
        <f t="shared" si="87"/>
        <v>NoIssue</v>
      </c>
    </row>
    <row r="600" ht="15.75" customHeight="1">
      <c r="A600" s="28">
        <v>6.0</v>
      </c>
      <c r="B600" s="29" t="s">
        <v>27</v>
      </c>
      <c r="C600" s="30">
        <v>73.92999999999999</v>
      </c>
      <c r="D600" s="3"/>
      <c r="E600" s="3"/>
      <c r="F600" s="3"/>
      <c r="G600" s="3"/>
      <c r="H600" s="3"/>
      <c r="I600" s="3"/>
      <c r="J600" s="3" t="str">
        <f t="shared" si="81"/>
        <v>0</v>
      </c>
      <c r="K600" s="27" t="str">
        <f t="shared" si="82"/>
        <v> No Issue</v>
      </c>
      <c r="L600" s="3" t="str">
        <f t="shared" si="83"/>
        <v>No Issue</v>
      </c>
      <c r="M600" s="3" t="str">
        <f t="shared" si="84"/>
        <v>No Issue</v>
      </c>
      <c r="N600" s="3" t="str">
        <f t="shared" si="85"/>
        <v>No Issue</v>
      </c>
      <c r="O600" s="3" t="str">
        <f t="shared" si="86"/>
        <v>No Issue</v>
      </c>
      <c r="P600" s="3" t="str">
        <f t="shared" si="87"/>
        <v>NoIssue</v>
      </c>
    </row>
    <row r="601" ht="15.75" customHeight="1">
      <c r="A601" s="28">
        <v>7.0</v>
      </c>
      <c r="B601" s="29" t="s">
        <v>28</v>
      </c>
      <c r="C601" s="30">
        <v>13.91</v>
      </c>
      <c r="D601" s="3"/>
      <c r="E601" s="3"/>
      <c r="F601" s="3"/>
      <c r="G601" s="3"/>
      <c r="H601" s="3"/>
      <c r="I601" s="3"/>
      <c r="J601" s="3" t="str">
        <f t="shared" si="81"/>
        <v>0</v>
      </c>
      <c r="K601" s="27" t="str">
        <f t="shared" si="82"/>
        <v> No Issue</v>
      </c>
      <c r="L601" s="3" t="str">
        <f t="shared" si="83"/>
        <v>No Issue</v>
      </c>
      <c r="M601" s="3" t="str">
        <f t="shared" si="84"/>
        <v>No Issue</v>
      </c>
      <c r="N601" s="3" t="str">
        <f t="shared" si="85"/>
        <v>No Issue</v>
      </c>
      <c r="O601" s="3" t="str">
        <f t="shared" si="86"/>
        <v>No Issue</v>
      </c>
      <c r="P601" s="3" t="str">
        <f t="shared" si="87"/>
        <v>NoIssue</v>
      </c>
    </row>
    <row r="602" ht="15.75" customHeight="1">
      <c r="A602" s="28">
        <v>8.0</v>
      </c>
      <c r="B602" s="29" t="s">
        <v>29</v>
      </c>
      <c r="C602" s="30">
        <v>19.5</v>
      </c>
      <c r="D602" s="3"/>
      <c r="E602" s="3"/>
      <c r="F602" s="3"/>
      <c r="G602" s="3"/>
      <c r="H602" s="3"/>
      <c r="I602" s="3"/>
      <c r="J602" s="3" t="str">
        <f t="shared" si="81"/>
        <v>0</v>
      </c>
      <c r="K602" s="27" t="str">
        <f t="shared" si="82"/>
        <v> No Issue</v>
      </c>
      <c r="L602" s="3" t="str">
        <f t="shared" si="83"/>
        <v>No Issue</v>
      </c>
      <c r="M602" s="3" t="str">
        <f t="shared" si="84"/>
        <v>No Issue</v>
      </c>
      <c r="N602" s="3" t="str">
        <f t="shared" si="85"/>
        <v>No Issue</v>
      </c>
      <c r="O602" s="3" t="str">
        <f t="shared" si="86"/>
        <v>No Issue</v>
      </c>
      <c r="P602" s="3" t="str">
        <f t="shared" si="87"/>
        <v>NoIssue</v>
      </c>
    </row>
    <row r="603" ht="15.75" customHeight="1">
      <c r="A603" s="28">
        <v>9.0</v>
      </c>
      <c r="B603" s="29" t="s">
        <v>30</v>
      </c>
      <c r="C603" s="30">
        <v>28.83</v>
      </c>
      <c r="D603" s="3"/>
      <c r="E603" s="3"/>
      <c r="F603" s="3"/>
      <c r="G603" s="3"/>
      <c r="H603" s="3"/>
      <c r="I603" s="3"/>
      <c r="J603" s="3" t="str">
        <f t="shared" si="81"/>
        <v>0</v>
      </c>
      <c r="K603" s="27" t="str">
        <f t="shared" si="82"/>
        <v> No Issue</v>
      </c>
      <c r="L603" s="3" t="str">
        <f t="shared" si="83"/>
        <v>No Issue</v>
      </c>
      <c r="M603" s="3" t="str">
        <f t="shared" si="84"/>
        <v>No Issue</v>
      </c>
      <c r="N603" s="3" t="str">
        <f t="shared" si="85"/>
        <v>No Issue</v>
      </c>
      <c r="O603" s="3" t="str">
        <f t="shared" si="86"/>
        <v>No Issue</v>
      </c>
      <c r="P603" s="3" t="str">
        <f t="shared" si="87"/>
        <v>NoIssue</v>
      </c>
    </row>
    <row r="604" ht="15.75" customHeight="1">
      <c r="A604" s="28">
        <v>10.0</v>
      </c>
      <c r="B604" s="29" t="s">
        <v>31</v>
      </c>
      <c r="C604" s="30">
        <v>8.51</v>
      </c>
      <c r="D604" s="3"/>
      <c r="E604" s="3"/>
      <c r="F604" s="3"/>
      <c r="G604" s="3"/>
      <c r="H604" s="3"/>
      <c r="I604" s="3"/>
      <c r="J604" s="3" t="str">
        <f t="shared" si="81"/>
        <v>0</v>
      </c>
      <c r="K604" s="27" t="str">
        <f t="shared" si="82"/>
        <v> No Issue</v>
      </c>
      <c r="L604" s="3" t="str">
        <f t="shared" si="83"/>
        <v>No Issue</v>
      </c>
      <c r="M604" s="3" t="str">
        <f t="shared" si="84"/>
        <v>No Issue</v>
      </c>
      <c r="N604" s="3" t="str">
        <f t="shared" si="85"/>
        <v>No Issue</v>
      </c>
      <c r="O604" s="3" t="str">
        <f t="shared" si="86"/>
        <v>No Issue</v>
      </c>
      <c r="P604" s="3" t="str">
        <f t="shared" si="87"/>
        <v>NoIssue</v>
      </c>
    </row>
    <row r="605" ht="15.75" customHeight="1">
      <c r="A605" s="28">
        <v>11.0</v>
      </c>
      <c r="B605" s="29" t="s">
        <v>32</v>
      </c>
      <c r="C605" s="30">
        <v>102.17</v>
      </c>
      <c r="D605" s="3"/>
      <c r="E605" s="3"/>
      <c r="F605" s="3"/>
      <c r="G605" s="3"/>
      <c r="H605" s="3"/>
      <c r="I605" s="3"/>
      <c r="J605" s="3" t="str">
        <f t="shared" si="81"/>
        <v>0</v>
      </c>
      <c r="K605" s="27" t="str">
        <f t="shared" si="82"/>
        <v> No Issue</v>
      </c>
      <c r="L605" s="3" t="str">
        <f t="shared" si="83"/>
        <v>No Issue</v>
      </c>
      <c r="M605" s="3" t="str">
        <f t="shared" si="84"/>
        <v>No Issue</v>
      </c>
      <c r="N605" s="3" t="str">
        <f t="shared" si="85"/>
        <v>No Issue</v>
      </c>
      <c r="O605" s="3" t="str">
        <f t="shared" si="86"/>
        <v>No Issue</v>
      </c>
      <c r="P605" s="3" t="str">
        <f t="shared" si="87"/>
        <v>NoIssue</v>
      </c>
    </row>
    <row r="606" ht="15.75" customHeight="1">
      <c r="A606" s="28">
        <v>12.0</v>
      </c>
      <c r="B606" s="29" t="s">
        <v>33</v>
      </c>
      <c r="C606" s="30">
        <v>59.93</v>
      </c>
      <c r="D606" s="3"/>
      <c r="E606" s="3"/>
      <c r="F606" s="3"/>
      <c r="G606" s="3"/>
      <c r="H606" s="3"/>
      <c r="I606" s="3"/>
      <c r="J606" s="3" t="str">
        <f t="shared" si="81"/>
        <v>0</v>
      </c>
      <c r="K606" s="27" t="str">
        <f t="shared" si="82"/>
        <v> No Issue</v>
      </c>
      <c r="L606" s="3" t="str">
        <f t="shared" si="83"/>
        <v>No Issue</v>
      </c>
      <c r="M606" s="3" t="str">
        <f t="shared" si="84"/>
        <v>No Issue</v>
      </c>
      <c r="N606" s="3" t="str">
        <f t="shared" si="85"/>
        <v>No Issue</v>
      </c>
      <c r="O606" s="3" t="str">
        <f t="shared" si="86"/>
        <v>No Issue</v>
      </c>
      <c r="P606" s="3" t="str">
        <f t="shared" si="87"/>
        <v>NoIssue</v>
      </c>
    </row>
    <row r="607" ht="15.75" customHeight="1">
      <c r="A607" s="28">
        <v>13.0</v>
      </c>
      <c r="B607" s="29" t="s">
        <v>34</v>
      </c>
      <c r="C607" s="30">
        <v>118.0</v>
      </c>
      <c r="D607" s="3"/>
      <c r="E607" s="3"/>
      <c r="F607" s="3"/>
      <c r="G607" s="3"/>
      <c r="H607" s="3"/>
      <c r="I607" s="3"/>
      <c r="J607" s="3" t="str">
        <f t="shared" si="81"/>
        <v>0</v>
      </c>
      <c r="K607" s="27" t="str">
        <f t="shared" si="82"/>
        <v> No Issue</v>
      </c>
      <c r="L607" s="3" t="str">
        <f t="shared" si="83"/>
        <v>No Issue</v>
      </c>
      <c r="M607" s="3" t="str">
        <f t="shared" si="84"/>
        <v>No Issue</v>
      </c>
      <c r="N607" s="3" t="str">
        <f t="shared" si="85"/>
        <v>No Issue</v>
      </c>
      <c r="O607" s="3" t="str">
        <f t="shared" si="86"/>
        <v>No Issue</v>
      </c>
      <c r="P607" s="3" t="str">
        <f t="shared" si="87"/>
        <v>NoIssue</v>
      </c>
    </row>
    <row r="608" ht="15.75" customHeight="1">
      <c r="A608" s="28">
        <v>14.0</v>
      </c>
      <c r="B608" s="29" t="s">
        <v>35</v>
      </c>
      <c r="C608" s="30">
        <v>52.83</v>
      </c>
      <c r="D608" s="3"/>
      <c r="E608" s="3"/>
      <c r="F608" s="3"/>
      <c r="G608" s="3"/>
      <c r="H608" s="3"/>
      <c r="I608" s="3"/>
      <c r="J608" s="3" t="str">
        <f t="shared" si="81"/>
        <v>0</v>
      </c>
      <c r="K608" s="27" t="str">
        <f t="shared" si="82"/>
        <v> No Issue</v>
      </c>
      <c r="L608" s="3" t="str">
        <f t="shared" si="83"/>
        <v>No Issue</v>
      </c>
      <c r="M608" s="3" t="str">
        <f t="shared" si="84"/>
        <v>No Issue</v>
      </c>
      <c r="N608" s="3" t="str">
        <f t="shared" si="85"/>
        <v>No Issue</v>
      </c>
      <c r="O608" s="3" t="str">
        <f t="shared" si="86"/>
        <v>No Issue</v>
      </c>
      <c r="P608" s="3" t="str">
        <f t="shared" si="87"/>
        <v>NoIssue</v>
      </c>
    </row>
    <row r="609" ht="15.75" customHeight="1">
      <c r="A609" s="28">
        <v>15.0</v>
      </c>
      <c r="B609" s="29" t="s">
        <v>36</v>
      </c>
      <c r="C609" s="30">
        <v>93.2</v>
      </c>
      <c r="D609" s="3"/>
      <c r="E609" s="3"/>
      <c r="F609" s="3"/>
      <c r="G609" s="3"/>
      <c r="H609" s="3"/>
      <c r="I609" s="3"/>
      <c r="J609" s="3" t="str">
        <f t="shared" si="81"/>
        <v>0</v>
      </c>
      <c r="K609" s="27" t="str">
        <f t="shared" si="82"/>
        <v> No Issue</v>
      </c>
      <c r="L609" s="3" t="str">
        <f t="shared" si="83"/>
        <v>No Issue</v>
      </c>
      <c r="M609" s="3" t="str">
        <f t="shared" si="84"/>
        <v>No Issue</v>
      </c>
      <c r="N609" s="3" t="str">
        <f t="shared" si="85"/>
        <v>No Issue</v>
      </c>
      <c r="O609" s="3" t="str">
        <f t="shared" si="86"/>
        <v>No Issue</v>
      </c>
      <c r="P609" s="3" t="str">
        <f t="shared" si="87"/>
        <v>NoIssue</v>
      </c>
    </row>
    <row r="610" ht="15.75" customHeight="1">
      <c r="A610" s="28">
        <v>16.0</v>
      </c>
      <c r="B610" s="29" t="s">
        <v>37</v>
      </c>
      <c r="C610" s="30">
        <v>61.02</v>
      </c>
      <c r="D610" s="3"/>
      <c r="E610" s="3"/>
      <c r="F610" s="3"/>
      <c r="G610" s="3"/>
      <c r="H610" s="3"/>
      <c r="I610" s="3"/>
      <c r="J610" s="3" t="str">
        <f t="shared" si="81"/>
        <v>0</v>
      </c>
      <c r="K610" s="27" t="str">
        <f t="shared" si="82"/>
        <v> No Issue</v>
      </c>
      <c r="L610" s="3" t="str">
        <f t="shared" si="83"/>
        <v>No Issue</v>
      </c>
      <c r="M610" s="3" t="str">
        <f t="shared" si="84"/>
        <v>No Issue</v>
      </c>
      <c r="N610" s="3" t="str">
        <f t="shared" si="85"/>
        <v>No Issue</v>
      </c>
      <c r="O610" s="3" t="str">
        <f t="shared" si="86"/>
        <v>No Issue</v>
      </c>
      <c r="P610" s="3" t="str">
        <f t="shared" si="87"/>
        <v>NoIssue</v>
      </c>
    </row>
    <row r="611" ht="15.75" customHeight="1">
      <c r="A611" s="28">
        <v>17.0</v>
      </c>
      <c r="B611" s="29" t="s">
        <v>38</v>
      </c>
      <c r="C611" s="30">
        <v>36.62</v>
      </c>
      <c r="D611" s="3"/>
      <c r="E611" s="3"/>
      <c r="F611" s="3"/>
      <c r="G611" s="3"/>
      <c r="H611" s="3"/>
      <c r="I611" s="3"/>
      <c r="J611" s="3" t="str">
        <f t="shared" si="81"/>
        <v>0</v>
      </c>
      <c r="K611" s="27" t="str">
        <f t="shared" si="82"/>
        <v> No Issue</v>
      </c>
      <c r="L611" s="3" t="str">
        <f t="shared" si="83"/>
        <v>No Issue</v>
      </c>
      <c r="M611" s="3" t="str">
        <f t="shared" si="84"/>
        <v>No Issue</v>
      </c>
      <c r="N611" s="3" t="str">
        <f t="shared" si="85"/>
        <v>No Issue</v>
      </c>
      <c r="O611" s="3" t="str">
        <f t="shared" si="86"/>
        <v>No Issue</v>
      </c>
      <c r="P611" s="3" t="str">
        <f t="shared" si="87"/>
        <v>NoIssue</v>
      </c>
    </row>
    <row r="612" ht="15.75" customHeight="1">
      <c r="A612" s="28">
        <v>18.0</v>
      </c>
      <c r="B612" s="29" t="s">
        <v>39</v>
      </c>
      <c r="C612" s="30">
        <v>80.36</v>
      </c>
      <c r="D612" s="3"/>
      <c r="E612" s="3"/>
      <c r="F612" s="3"/>
      <c r="G612" s="3"/>
      <c r="H612" s="3"/>
      <c r="I612" s="3"/>
      <c r="J612" s="3" t="str">
        <f t="shared" si="81"/>
        <v>0</v>
      </c>
      <c r="K612" s="27" t="str">
        <f t="shared" si="82"/>
        <v> No Issue</v>
      </c>
      <c r="L612" s="3" t="str">
        <f t="shared" si="83"/>
        <v>No Issue</v>
      </c>
      <c r="M612" s="3" t="str">
        <f t="shared" si="84"/>
        <v>No Issue</v>
      </c>
      <c r="N612" s="3" t="str">
        <f t="shared" si="85"/>
        <v>No Issue</v>
      </c>
      <c r="O612" s="3" t="str">
        <f t="shared" si="86"/>
        <v>No Issue</v>
      </c>
      <c r="P612" s="3" t="str">
        <f t="shared" si="87"/>
        <v>NoIssue</v>
      </c>
    </row>
    <row r="613" ht="15.75" customHeight="1">
      <c r="A613" s="28">
        <v>19.0</v>
      </c>
      <c r="B613" s="29" t="s">
        <v>40</v>
      </c>
      <c r="C613" s="30">
        <v>160.56</v>
      </c>
      <c r="D613" s="3"/>
      <c r="E613" s="3"/>
      <c r="F613" s="3"/>
      <c r="G613" s="3"/>
      <c r="H613" s="3"/>
      <c r="I613" s="3"/>
      <c r="J613" s="3" t="str">
        <f t="shared" si="81"/>
        <v>0</v>
      </c>
      <c r="K613" s="27" t="str">
        <f t="shared" si="82"/>
        <v> No Issue</v>
      </c>
      <c r="L613" s="3" t="str">
        <f t="shared" si="83"/>
        <v>No Issue</v>
      </c>
      <c r="M613" s="3" t="str">
        <f t="shared" si="84"/>
        <v>No Issue</v>
      </c>
      <c r="N613" s="3" t="str">
        <f t="shared" si="85"/>
        <v>No Issue</v>
      </c>
      <c r="O613" s="3" t="str">
        <f t="shared" si="86"/>
        <v>No Issue</v>
      </c>
      <c r="P613" s="3" t="str">
        <f t="shared" si="87"/>
        <v>NoIssue</v>
      </c>
    </row>
    <row r="614" ht="15.75" customHeight="1">
      <c r="A614" s="28">
        <v>20.0</v>
      </c>
      <c r="B614" s="29" t="s">
        <v>41</v>
      </c>
      <c r="C614" s="30">
        <v>186.44</v>
      </c>
      <c r="D614" s="3"/>
      <c r="E614" s="3"/>
      <c r="F614" s="3"/>
      <c r="G614" s="3"/>
      <c r="H614" s="3"/>
      <c r="I614" s="3"/>
      <c r="J614" s="3" t="str">
        <f t="shared" si="81"/>
        <v>0</v>
      </c>
      <c r="K614" s="27" t="str">
        <f t="shared" si="82"/>
        <v> No Issue</v>
      </c>
      <c r="L614" s="3" t="str">
        <f t="shared" si="83"/>
        <v>No Issue</v>
      </c>
      <c r="M614" s="3" t="str">
        <f t="shared" si="84"/>
        <v>No Issue</v>
      </c>
      <c r="N614" s="3" t="str">
        <f t="shared" si="85"/>
        <v>No Issue</v>
      </c>
      <c r="O614" s="3" t="str">
        <f t="shared" si="86"/>
        <v>No Issue</v>
      </c>
      <c r="P614" s="3" t="str">
        <f t="shared" si="87"/>
        <v>NoIssue</v>
      </c>
    </row>
    <row r="615" ht="15.75" customHeight="1">
      <c r="A615" s="28">
        <v>21.0</v>
      </c>
      <c r="B615" s="29" t="s">
        <v>42</v>
      </c>
      <c r="C615" s="30">
        <v>92.59</v>
      </c>
      <c r="D615" s="3"/>
      <c r="E615" s="3"/>
      <c r="F615" s="3"/>
      <c r="G615" s="3"/>
      <c r="H615" s="3"/>
      <c r="I615" s="3"/>
      <c r="J615" s="3" t="str">
        <f t="shared" si="81"/>
        <v>0</v>
      </c>
      <c r="K615" s="27" t="str">
        <f t="shared" si="82"/>
        <v> No Issue</v>
      </c>
      <c r="L615" s="3" t="str">
        <f t="shared" si="83"/>
        <v>No Issue</v>
      </c>
      <c r="M615" s="3" t="str">
        <f t="shared" si="84"/>
        <v>No Issue</v>
      </c>
      <c r="N615" s="3" t="str">
        <f t="shared" si="85"/>
        <v>No Issue</v>
      </c>
      <c r="O615" s="3" t="str">
        <f t="shared" si="86"/>
        <v>No Issue</v>
      </c>
      <c r="P615" s="3" t="str">
        <f t="shared" si="87"/>
        <v>NoIssue</v>
      </c>
    </row>
    <row r="616" ht="15.75" customHeight="1">
      <c r="A616" s="28">
        <v>22.0</v>
      </c>
      <c r="B616" s="29" t="s">
        <v>43</v>
      </c>
      <c r="C616" s="30">
        <v>95.17</v>
      </c>
      <c r="D616" s="3"/>
      <c r="E616" s="3"/>
      <c r="F616" s="3"/>
      <c r="G616" s="3"/>
      <c r="H616" s="3"/>
      <c r="I616" s="3"/>
      <c r="J616" s="3" t="str">
        <f t="shared" si="81"/>
        <v>0</v>
      </c>
      <c r="K616" s="27" t="str">
        <f t="shared" si="82"/>
        <v> No Issue</v>
      </c>
      <c r="L616" s="3" t="str">
        <f t="shared" si="83"/>
        <v>No Issue</v>
      </c>
      <c r="M616" s="3" t="str">
        <f t="shared" si="84"/>
        <v>No Issue</v>
      </c>
      <c r="N616" s="3" t="str">
        <f t="shared" si="85"/>
        <v>No Issue</v>
      </c>
      <c r="O616" s="3" t="str">
        <f t="shared" si="86"/>
        <v>No Issue</v>
      </c>
      <c r="P616" s="3" t="str">
        <f t="shared" si="87"/>
        <v>NoIssue</v>
      </c>
    </row>
    <row r="617" ht="15.75" customHeight="1">
      <c r="A617" s="28">
        <v>23.0</v>
      </c>
      <c r="B617" s="29" t="s">
        <v>44</v>
      </c>
      <c r="C617" s="30">
        <v>92.94</v>
      </c>
      <c r="D617" s="3"/>
      <c r="E617" s="3"/>
      <c r="F617" s="3"/>
      <c r="G617" s="3"/>
      <c r="H617" s="3"/>
      <c r="I617" s="3"/>
      <c r="J617" s="3" t="str">
        <f t="shared" si="81"/>
        <v>0</v>
      </c>
      <c r="K617" s="27" t="str">
        <f t="shared" si="82"/>
        <v> No Issue</v>
      </c>
      <c r="L617" s="3" t="str">
        <f t="shared" si="83"/>
        <v>No Issue</v>
      </c>
      <c r="M617" s="3" t="str">
        <f t="shared" si="84"/>
        <v>No Issue</v>
      </c>
      <c r="N617" s="3" t="str">
        <f t="shared" si="85"/>
        <v>No Issue</v>
      </c>
      <c r="O617" s="3" t="str">
        <f t="shared" si="86"/>
        <v>No Issue</v>
      </c>
      <c r="P617" s="3" t="str">
        <f t="shared" si="87"/>
        <v>NoIssue</v>
      </c>
    </row>
    <row r="618" ht="15.75" customHeight="1">
      <c r="A618" s="28">
        <v>24.0</v>
      </c>
      <c r="B618" s="29" t="s">
        <v>45</v>
      </c>
      <c r="C618" s="30">
        <v>101.82</v>
      </c>
      <c r="D618" s="3"/>
      <c r="E618" s="3"/>
      <c r="F618" s="3"/>
      <c r="G618" s="3"/>
      <c r="H618" s="3"/>
      <c r="I618" s="3"/>
      <c r="J618" s="3" t="str">
        <f t="shared" si="81"/>
        <v>0</v>
      </c>
      <c r="K618" s="27" t="str">
        <f t="shared" si="82"/>
        <v> No Issue</v>
      </c>
      <c r="L618" s="3" t="str">
        <f t="shared" si="83"/>
        <v>No Issue</v>
      </c>
      <c r="M618" s="3" t="str">
        <f t="shared" si="84"/>
        <v>No Issue</v>
      </c>
      <c r="N618" s="3" t="str">
        <f t="shared" si="85"/>
        <v>No Issue</v>
      </c>
      <c r="O618" s="3" t="str">
        <f t="shared" si="86"/>
        <v>No Issue</v>
      </c>
      <c r="P618" s="3" t="str">
        <f t="shared" si="87"/>
        <v>NoIssue</v>
      </c>
    </row>
    <row r="619" ht="15.75" customHeight="1">
      <c r="A619" s="28">
        <v>25.0</v>
      </c>
      <c r="B619" s="29" t="s">
        <v>46</v>
      </c>
      <c r="C619" s="30">
        <v>53.49</v>
      </c>
      <c r="D619" s="3"/>
      <c r="E619" s="3"/>
      <c r="F619" s="3"/>
      <c r="G619" s="3"/>
      <c r="H619" s="3"/>
      <c r="I619" s="3"/>
      <c r="J619" s="3" t="str">
        <f t="shared" si="81"/>
        <v>0</v>
      </c>
      <c r="K619" s="27" t="str">
        <f t="shared" si="82"/>
        <v> No Issue</v>
      </c>
      <c r="L619" s="3" t="str">
        <f t="shared" si="83"/>
        <v>No Issue</v>
      </c>
      <c r="M619" s="3" t="str">
        <f t="shared" si="84"/>
        <v>No Issue</v>
      </c>
      <c r="N619" s="3" t="str">
        <f t="shared" si="85"/>
        <v>No Issue</v>
      </c>
      <c r="O619" s="3" t="str">
        <f t="shared" si="86"/>
        <v>No Issue</v>
      </c>
      <c r="P619" s="3" t="str">
        <f t="shared" si="87"/>
        <v>NoIssue</v>
      </c>
    </row>
    <row r="620" ht="15.75" customHeight="1">
      <c r="A620" s="28">
        <v>26.0</v>
      </c>
      <c r="B620" s="29" t="s">
        <v>47</v>
      </c>
      <c r="C620" s="30">
        <v>32.92</v>
      </c>
      <c r="D620" s="3"/>
      <c r="E620" s="3"/>
      <c r="F620" s="3"/>
      <c r="G620" s="3"/>
      <c r="H620" s="3"/>
      <c r="I620" s="3"/>
      <c r="J620" s="3" t="str">
        <f t="shared" si="81"/>
        <v>0</v>
      </c>
      <c r="K620" s="27" t="str">
        <f t="shared" si="82"/>
        <v> No Issue</v>
      </c>
      <c r="L620" s="3" t="str">
        <f t="shared" si="83"/>
        <v>No Issue</v>
      </c>
      <c r="M620" s="3" t="str">
        <f t="shared" si="84"/>
        <v>No Issue</v>
      </c>
      <c r="N620" s="3" t="str">
        <f t="shared" si="85"/>
        <v>No Issue</v>
      </c>
      <c r="O620" s="3" t="str">
        <f t="shared" si="86"/>
        <v>No Issue</v>
      </c>
      <c r="P620" s="3" t="str">
        <f t="shared" si="87"/>
        <v>NoIssue</v>
      </c>
    </row>
    <row r="621" ht="15.75" customHeight="1">
      <c r="A621" s="28">
        <v>27.0</v>
      </c>
      <c r="B621" s="29" t="s">
        <v>48</v>
      </c>
      <c r="C621" s="30">
        <v>116.68</v>
      </c>
      <c r="D621" s="3"/>
      <c r="E621" s="3"/>
      <c r="F621" s="3"/>
      <c r="G621" s="3"/>
      <c r="H621" s="3"/>
      <c r="I621" s="3"/>
      <c r="J621" s="3" t="str">
        <f t="shared" si="81"/>
        <v>0</v>
      </c>
      <c r="K621" s="27" t="str">
        <f t="shared" si="82"/>
        <v> No Issue</v>
      </c>
      <c r="L621" s="3" t="str">
        <f t="shared" si="83"/>
        <v>No Issue</v>
      </c>
      <c r="M621" s="3" t="str">
        <f t="shared" si="84"/>
        <v>No Issue</v>
      </c>
      <c r="N621" s="3" t="str">
        <f t="shared" si="85"/>
        <v>No Issue</v>
      </c>
      <c r="O621" s="3" t="str">
        <f t="shared" si="86"/>
        <v>No Issue</v>
      </c>
      <c r="P621" s="3" t="str">
        <f t="shared" si="87"/>
        <v>NoIssue</v>
      </c>
    </row>
    <row r="622" ht="15.75" customHeight="1">
      <c r="A622" s="28">
        <v>28.0</v>
      </c>
      <c r="B622" s="29" t="s">
        <v>49</v>
      </c>
      <c r="C622" s="30">
        <v>107.96</v>
      </c>
      <c r="D622" s="3"/>
      <c r="E622" s="3"/>
      <c r="F622" s="3"/>
      <c r="G622" s="3"/>
      <c r="H622" s="3"/>
      <c r="I622" s="3"/>
      <c r="J622" s="3" t="str">
        <f t="shared" si="81"/>
        <v>0</v>
      </c>
      <c r="K622" s="27" t="str">
        <f t="shared" si="82"/>
        <v> No Issue</v>
      </c>
      <c r="L622" s="3" t="str">
        <f t="shared" si="83"/>
        <v>No Issue</v>
      </c>
      <c r="M622" s="3" t="str">
        <f t="shared" si="84"/>
        <v>No Issue</v>
      </c>
      <c r="N622" s="3" t="str">
        <f t="shared" si="85"/>
        <v>No Issue</v>
      </c>
      <c r="O622" s="3" t="str">
        <f t="shared" si="86"/>
        <v>No Issue</v>
      </c>
      <c r="P622" s="3" t="str">
        <f t="shared" si="87"/>
        <v>NoIssue</v>
      </c>
    </row>
    <row r="623" ht="15.75" customHeight="1">
      <c r="A623" s="28">
        <v>29.0</v>
      </c>
      <c r="B623" s="29" t="s">
        <v>50</v>
      </c>
      <c r="C623" s="30">
        <v>248.89</v>
      </c>
      <c r="D623" s="3"/>
      <c r="E623" s="3"/>
      <c r="F623" s="3"/>
      <c r="G623" s="3"/>
      <c r="H623" s="3"/>
      <c r="I623" s="3"/>
      <c r="J623" s="3" t="str">
        <f t="shared" si="81"/>
        <v>0</v>
      </c>
      <c r="K623" s="27" t="str">
        <f t="shared" si="82"/>
        <v> No Issue</v>
      </c>
      <c r="L623" s="3" t="str">
        <f t="shared" si="83"/>
        <v>No Issue</v>
      </c>
      <c r="M623" s="3" t="str">
        <f t="shared" si="84"/>
        <v>No Issue</v>
      </c>
      <c r="N623" s="3" t="str">
        <f t="shared" si="85"/>
        <v>No Issue</v>
      </c>
      <c r="O623" s="3" t="str">
        <f t="shared" si="86"/>
        <v>No Issue</v>
      </c>
      <c r="P623" s="3" t="str">
        <f t="shared" si="87"/>
        <v>NoIssue</v>
      </c>
    </row>
    <row r="624" ht="15.75" customHeight="1">
      <c r="A624" s="28">
        <v>30.0</v>
      </c>
      <c r="B624" s="29" t="s">
        <v>51</v>
      </c>
      <c r="C624" s="30">
        <v>80.36</v>
      </c>
      <c r="D624" s="3"/>
      <c r="E624" s="3"/>
      <c r="F624" s="27"/>
      <c r="G624" s="27"/>
      <c r="H624" s="27"/>
      <c r="I624" s="3"/>
      <c r="J624" s="3" t="str">
        <f t="shared" si="81"/>
        <v>0</v>
      </c>
      <c r="K624" s="27" t="str">
        <f t="shared" si="82"/>
        <v> No Issue</v>
      </c>
      <c r="L624" s="3" t="str">
        <f t="shared" si="83"/>
        <v>No Issue</v>
      </c>
      <c r="M624" s="3" t="str">
        <f t="shared" si="84"/>
        <v>No Issue</v>
      </c>
      <c r="N624" s="3" t="str">
        <f t="shared" si="85"/>
        <v>No Issue</v>
      </c>
      <c r="O624" s="3" t="str">
        <f t="shared" si="86"/>
        <v>No Issue</v>
      </c>
      <c r="P624" s="3" t="str">
        <f t="shared" si="87"/>
        <v>NoIssue</v>
      </c>
    </row>
    <row r="625" ht="15.75" customHeight="1">
      <c r="A625" s="28">
        <v>31.0</v>
      </c>
      <c r="B625" s="29" t="s">
        <v>52</v>
      </c>
      <c r="C625" s="30">
        <v>52.46</v>
      </c>
      <c r="D625" s="3"/>
      <c r="E625" s="3"/>
      <c r="F625" s="27"/>
      <c r="G625" s="27"/>
      <c r="H625" s="27"/>
      <c r="I625" s="3"/>
      <c r="J625" s="3" t="str">
        <f t="shared" si="81"/>
        <v>0</v>
      </c>
      <c r="K625" s="27" t="str">
        <f t="shared" si="82"/>
        <v> No Issue</v>
      </c>
      <c r="L625" s="3" t="str">
        <f t="shared" si="83"/>
        <v>No Issue</v>
      </c>
      <c r="M625" s="3" t="str">
        <f t="shared" si="84"/>
        <v>No Issue</v>
      </c>
      <c r="N625" s="3" t="str">
        <f t="shared" si="85"/>
        <v>No Issue</v>
      </c>
      <c r="O625" s="3" t="str">
        <f t="shared" si="86"/>
        <v>No Issue</v>
      </c>
      <c r="P625" s="3" t="str">
        <f t="shared" si="87"/>
        <v>NoIssue</v>
      </c>
    </row>
    <row r="626" ht="15.75" customHeight="1">
      <c r="A626" s="28">
        <v>32.0</v>
      </c>
      <c r="B626" s="29" t="s">
        <v>53</v>
      </c>
      <c r="C626" s="30">
        <v>71.21</v>
      </c>
      <c r="D626" s="3"/>
      <c r="E626" s="3"/>
      <c r="F626" s="27"/>
      <c r="G626" s="27"/>
      <c r="H626" s="27"/>
      <c r="I626" s="3"/>
      <c r="J626" s="3" t="str">
        <f t="shared" si="81"/>
        <v>0</v>
      </c>
      <c r="K626" s="27" t="str">
        <f t="shared" si="82"/>
        <v> No Issue</v>
      </c>
      <c r="L626" s="3" t="str">
        <f t="shared" si="83"/>
        <v>No Issue</v>
      </c>
      <c r="M626" s="3" t="str">
        <f t="shared" si="84"/>
        <v>No Issue</v>
      </c>
      <c r="N626" s="3" t="str">
        <f t="shared" si="85"/>
        <v>No Issue</v>
      </c>
      <c r="O626" s="3" t="str">
        <f t="shared" si="86"/>
        <v>No Issue</v>
      </c>
      <c r="P626" s="3" t="str">
        <f t="shared" si="87"/>
        <v>NoIssue</v>
      </c>
    </row>
    <row r="627" ht="15.75" customHeight="1">
      <c r="A627" s="28">
        <v>33.0</v>
      </c>
      <c r="B627" s="29" t="s">
        <v>54</v>
      </c>
      <c r="C627" s="30">
        <v>80.35</v>
      </c>
      <c r="D627" s="3"/>
      <c r="E627" s="3"/>
      <c r="F627" s="27"/>
      <c r="G627" s="27"/>
      <c r="H627" s="27"/>
      <c r="I627" s="3"/>
      <c r="J627" s="3" t="str">
        <f t="shared" si="81"/>
        <v>0</v>
      </c>
      <c r="K627" s="27" t="str">
        <f t="shared" si="82"/>
        <v> No Issue</v>
      </c>
      <c r="L627" s="3" t="str">
        <f t="shared" si="83"/>
        <v>No Issue</v>
      </c>
      <c r="M627" s="3" t="str">
        <f t="shared" si="84"/>
        <v>No Issue</v>
      </c>
      <c r="N627" s="3" t="str">
        <f t="shared" si="85"/>
        <v>No Issue</v>
      </c>
      <c r="O627" s="3" t="str">
        <f t="shared" si="86"/>
        <v>No Issue</v>
      </c>
      <c r="P627" s="3" t="str">
        <f t="shared" si="87"/>
        <v>NoIssue</v>
      </c>
    </row>
    <row r="628" ht="15.75" customHeight="1">
      <c r="A628" s="28">
        <v>34.0</v>
      </c>
      <c r="B628" s="29" t="s">
        <v>55</v>
      </c>
      <c r="C628" s="30">
        <v>64.18</v>
      </c>
      <c r="D628" s="3"/>
      <c r="E628" s="3"/>
      <c r="F628" s="27"/>
      <c r="G628" s="27"/>
      <c r="H628" s="27"/>
      <c r="I628" s="3"/>
      <c r="J628" s="3" t="str">
        <f t="shared" si="81"/>
        <v>0</v>
      </c>
      <c r="K628" s="27" t="str">
        <f t="shared" si="82"/>
        <v> No Issue</v>
      </c>
      <c r="L628" s="3" t="str">
        <f t="shared" si="83"/>
        <v>No Issue</v>
      </c>
      <c r="M628" s="3" t="str">
        <f t="shared" si="84"/>
        <v>No Issue</v>
      </c>
      <c r="N628" s="3" t="str">
        <f t="shared" si="85"/>
        <v>No Issue</v>
      </c>
      <c r="O628" s="3" t="str">
        <f t="shared" si="86"/>
        <v>No Issue</v>
      </c>
      <c r="P628" s="3" t="str">
        <f t="shared" si="87"/>
        <v>NoIssue</v>
      </c>
    </row>
    <row r="629" ht="15.75" customHeight="1">
      <c r="A629" s="28">
        <v>35.0</v>
      </c>
      <c r="B629" s="29" t="s">
        <v>56</v>
      </c>
      <c r="C629" s="30">
        <v>36.9</v>
      </c>
      <c r="D629" s="3"/>
      <c r="E629" s="3"/>
      <c r="F629" s="27"/>
      <c r="G629" s="27"/>
      <c r="H629" s="27"/>
      <c r="I629" s="3"/>
      <c r="J629" s="3" t="str">
        <f t="shared" si="81"/>
        <v>0</v>
      </c>
      <c r="K629" s="27" t="str">
        <f t="shared" si="82"/>
        <v> No Issue</v>
      </c>
      <c r="L629" s="3" t="str">
        <f t="shared" si="83"/>
        <v>No Issue</v>
      </c>
      <c r="M629" s="3" t="str">
        <f t="shared" si="84"/>
        <v>No Issue</v>
      </c>
      <c r="N629" s="3" t="str">
        <f t="shared" si="85"/>
        <v>No Issue</v>
      </c>
      <c r="O629" s="3" t="str">
        <f t="shared" si="86"/>
        <v>No Issue</v>
      </c>
      <c r="P629" s="3" t="str">
        <f t="shared" si="87"/>
        <v>NoIssue</v>
      </c>
    </row>
    <row r="630" ht="15.75" customHeight="1">
      <c r="A630" s="28">
        <v>36.0</v>
      </c>
      <c r="B630" s="29" t="s">
        <v>57</v>
      </c>
      <c r="C630" s="30">
        <v>101.54</v>
      </c>
      <c r="D630" s="3"/>
      <c r="E630" s="3"/>
      <c r="F630" s="27"/>
      <c r="G630" s="27"/>
      <c r="H630" s="27"/>
      <c r="I630" s="3"/>
      <c r="J630" s="3" t="str">
        <f t="shared" si="81"/>
        <v>0</v>
      </c>
      <c r="K630" s="27" t="str">
        <f t="shared" si="82"/>
        <v> No Issue</v>
      </c>
      <c r="L630" s="3" t="str">
        <f t="shared" si="83"/>
        <v>No Issue</v>
      </c>
      <c r="M630" s="3" t="str">
        <f t="shared" si="84"/>
        <v>No Issue</v>
      </c>
      <c r="N630" s="3" t="str">
        <f t="shared" si="85"/>
        <v>No Issue</v>
      </c>
      <c r="O630" s="3" t="str">
        <f t="shared" si="86"/>
        <v>No Issue</v>
      </c>
      <c r="P630" s="3" t="str">
        <f t="shared" si="87"/>
        <v>NoIssue</v>
      </c>
    </row>
    <row r="631" ht="15.75" customHeight="1">
      <c r="A631" s="28">
        <v>37.0</v>
      </c>
      <c r="B631" s="29" t="s">
        <v>58</v>
      </c>
      <c r="C631" s="30">
        <v>40.5</v>
      </c>
      <c r="D631" s="3"/>
      <c r="E631" s="3"/>
      <c r="F631" s="27"/>
      <c r="G631" s="27"/>
      <c r="H631" s="27"/>
      <c r="I631" s="3"/>
      <c r="J631" s="3" t="str">
        <f t="shared" si="81"/>
        <v>0</v>
      </c>
      <c r="K631" s="27" t="str">
        <f t="shared" si="82"/>
        <v> No Issue</v>
      </c>
      <c r="L631" s="3" t="str">
        <f t="shared" si="83"/>
        <v>No Issue</v>
      </c>
      <c r="M631" s="3" t="str">
        <f t="shared" si="84"/>
        <v>No Issue</v>
      </c>
      <c r="N631" s="3" t="str">
        <f t="shared" si="85"/>
        <v>No Issue</v>
      </c>
      <c r="O631" s="3" t="str">
        <f t="shared" si="86"/>
        <v>No Issue</v>
      </c>
      <c r="P631" s="3" t="str">
        <f t="shared" si="87"/>
        <v>NoIssue</v>
      </c>
    </row>
    <row r="632" ht="15.75" customHeight="1">
      <c r="A632" s="28">
        <v>38.0</v>
      </c>
      <c r="B632" s="29" t="s">
        <v>59</v>
      </c>
      <c r="C632" s="30">
        <v>66.69</v>
      </c>
      <c r="D632" s="3"/>
      <c r="E632" s="3"/>
      <c r="F632" s="27"/>
      <c r="G632" s="27"/>
      <c r="H632" s="27"/>
      <c r="I632" s="3"/>
      <c r="J632" s="3" t="str">
        <f t="shared" si="81"/>
        <v>0</v>
      </c>
      <c r="K632" s="27" t="str">
        <f t="shared" si="82"/>
        <v> No Issue</v>
      </c>
      <c r="L632" s="3" t="str">
        <f t="shared" si="83"/>
        <v>No Issue</v>
      </c>
      <c r="M632" s="3" t="str">
        <f t="shared" si="84"/>
        <v>No Issue</v>
      </c>
      <c r="N632" s="3" t="str">
        <f t="shared" si="85"/>
        <v>No Issue</v>
      </c>
      <c r="O632" s="3" t="str">
        <f t="shared" si="86"/>
        <v>No Issue</v>
      </c>
      <c r="P632" s="3" t="str">
        <f t="shared" si="87"/>
        <v>NoIssue</v>
      </c>
    </row>
    <row r="633" ht="15.75" customHeight="1">
      <c r="A633" s="28">
        <v>39.0</v>
      </c>
      <c r="B633" s="29" t="s">
        <v>60</v>
      </c>
      <c r="C633" s="29">
        <v>150.85999999999999</v>
      </c>
      <c r="D633" s="3"/>
      <c r="E633" s="3"/>
      <c r="F633" s="27"/>
      <c r="G633" s="27"/>
      <c r="H633" s="27"/>
      <c r="I633" s="3"/>
      <c r="J633" s="3" t="str">
        <f t="shared" si="81"/>
        <v>0</v>
      </c>
      <c r="K633" s="27" t="str">
        <f t="shared" si="82"/>
        <v> No Issue</v>
      </c>
      <c r="L633" s="3" t="str">
        <f t="shared" si="83"/>
        <v>No Issue</v>
      </c>
      <c r="M633" s="3" t="str">
        <f t="shared" si="84"/>
        <v>No Issue</v>
      </c>
      <c r="N633" s="3" t="str">
        <f t="shared" si="85"/>
        <v>No Issue</v>
      </c>
      <c r="O633" s="3" t="str">
        <f t="shared" si="86"/>
        <v>No Issue</v>
      </c>
      <c r="P633" s="3" t="str">
        <f t="shared" si="87"/>
        <v>NoIssue</v>
      </c>
    </row>
    <row r="634" ht="15.75" customHeight="1">
      <c r="A634" s="28">
        <v>40.0</v>
      </c>
      <c r="B634" s="33" t="s">
        <v>61</v>
      </c>
      <c r="C634" s="30">
        <v>180.0</v>
      </c>
      <c r="D634" s="3"/>
      <c r="E634" s="3"/>
      <c r="F634" s="27"/>
      <c r="G634" s="27"/>
      <c r="H634" s="27"/>
      <c r="I634" s="3"/>
      <c r="J634" s="3" t="str">
        <f t="shared" si="81"/>
        <v>0</v>
      </c>
      <c r="K634" s="27" t="str">
        <f t="shared" si="82"/>
        <v> No Issue</v>
      </c>
      <c r="L634" s="3" t="str">
        <f t="shared" si="83"/>
        <v>No Issue</v>
      </c>
      <c r="M634" s="3" t="str">
        <f t="shared" si="84"/>
        <v>No Issue</v>
      </c>
      <c r="N634" s="3" t="str">
        <f t="shared" si="85"/>
        <v>No Issue</v>
      </c>
      <c r="O634" s="3" t="str">
        <f t="shared" si="86"/>
        <v>No Issue</v>
      </c>
      <c r="P634" s="3" t="str">
        <f t="shared" si="87"/>
        <v>NoIssue</v>
      </c>
    </row>
    <row r="635" ht="15.75" customHeight="1">
      <c r="A635" s="28">
        <v>41.0</v>
      </c>
      <c r="B635" s="33" t="s">
        <v>62</v>
      </c>
      <c r="C635" s="29">
        <v>128.57</v>
      </c>
      <c r="D635" s="3"/>
      <c r="E635" s="3"/>
      <c r="F635" s="27"/>
      <c r="G635" s="27"/>
      <c r="H635" s="27"/>
      <c r="I635" s="3"/>
      <c r="J635" s="3" t="str">
        <f t="shared" si="81"/>
        <v>0</v>
      </c>
      <c r="K635" s="27" t="str">
        <f t="shared" si="82"/>
        <v> No Issue</v>
      </c>
      <c r="L635" s="3" t="str">
        <f t="shared" si="83"/>
        <v>No Issue</v>
      </c>
      <c r="M635" s="3" t="str">
        <f t="shared" si="84"/>
        <v>No Issue</v>
      </c>
      <c r="N635" s="3" t="str">
        <f t="shared" si="85"/>
        <v>No Issue</v>
      </c>
      <c r="O635" s="3" t="str">
        <f t="shared" si="86"/>
        <v>No Issue</v>
      </c>
      <c r="P635" s="3" t="str">
        <f t="shared" si="87"/>
        <v>NoIssue</v>
      </c>
    </row>
    <row r="636" ht="15.75" customHeight="1">
      <c r="A636" s="28">
        <v>42.0</v>
      </c>
      <c r="B636" s="29"/>
      <c r="C636" s="29"/>
      <c r="D636" s="3"/>
      <c r="E636" s="3"/>
      <c r="F636" s="27"/>
      <c r="G636" s="27"/>
      <c r="H636" s="27"/>
      <c r="I636" s="3"/>
      <c r="J636" s="3" t="str">
        <f t="shared" si="81"/>
        <v>0</v>
      </c>
      <c r="K636" s="27" t="str">
        <f t="shared" si="82"/>
        <v> No Issue</v>
      </c>
      <c r="L636" s="3" t="str">
        <f t="shared" si="83"/>
        <v>No Issue</v>
      </c>
      <c r="M636" s="3" t="str">
        <f t="shared" si="84"/>
        <v>No Issue</v>
      </c>
      <c r="N636" s="3" t="str">
        <f t="shared" si="85"/>
        <v>No Issue</v>
      </c>
      <c r="O636" s="3" t="str">
        <f t="shared" si="86"/>
        <v>No Issue</v>
      </c>
      <c r="P636" s="3" t="str">
        <f t="shared" si="87"/>
        <v>NoIssue</v>
      </c>
    </row>
    <row r="637" ht="15.75" customHeight="1">
      <c r="A637" s="28">
        <v>43.0</v>
      </c>
      <c r="B637" s="34"/>
      <c r="C637" s="34"/>
      <c r="D637" s="3"/>
      <c r="E637" s="3"/>
      <c r="F637" s="27"/>
      <c r="G637" s="27"/>
      <c r="H637" s="27"/>
      <c r="I637" s="3"/>
      <c r="J637" s="3" t="str">
        <f t="shared" si="81"/>
        <v>0</v>
      </c>
      <c r="K637" s="27" t="str">
        <f t="shared" si="82"/>
        <v> No Issue</v>
      </c>
      <c r="L637" s="3" t="str">
        <f t="shared" si="83"/>
        <v>No Issue</v>
      </c>
      <c r="M637" s="3" t="str">
        <f t="shared" si="84"/>
        <v>No Issue</v>
      </c>
      <c r="N637" s="3" t="str">
        <f t="shared" si="85"/>
        <v>No Issue</v>
      </c>
      <c r="O637" s="3" t="str">
        <f t="shared" si="86"/>
        <v>No Issue</v>
      </c>
      <c r="P637" s="3" t="str">
        <f t="shared" si="87"/>
        <v>NoIssue</v>
      </c>
    </row>
    <row r="638" ht="15.75" customHeight="1">
      <c r="A638" s="28">
        <v>44.0</v>
      </c>
      <c r="B638" s="34"/>
      <c r="C638" s="34"/>
      <c r="D638" s="3"/>
      <c r="E638" s="3"/>
      <c r="F638" s="27"/>
      <c r="G638" s="27"/>
      <c r="H638" s="27"/>
      <c r="I638" s="3"/>
      <c r="J638" s="3" t="str">
        <f t="shared" si="81"/>
        <v>0</v>
      </c>
      <c r="K638" s="27" t="str">
        <f t="shared" si="82"/>
        <v> No Issue</v>
      </c>
      <c r="L638" s="3" t="str">
        <f t="shared" si="83"/>
        <v>No Issue</v>
      </c>
      <c r="M638" s="3" t="str">
        <f t="shared" si="84"/>
        <v>No Issue</v>
      </c>
      <c r="N638" s="3" t="str">
        <f t="shared" si="85"/>
        <v>No Issue</v>
      </c>
      <c r="O638" s="3" t="str">
        <f t="shared" si="86"/>
        <v>No Issue</v>
      </c>
      <c r="P638" s="3" t="str">
        <f t="shared" si="87"/>
        <v>NoIssue</v>
      </c>
    </row>
    <row r="639" ht="15.75" customHeight="1">
      <c r="A639" s="28">
        <v>45.0</v>
      </c>
      <c r="B639" s="34"/>
      <c r="C639" s="34"/>
      <c r="D639" s="3"/>
      <c r="E639" s="3"/>
      <c r="F639" s="27"/>
      <c r="G639" s="27"/>
      <c r="H639" s="27"/>
      <c r="I639" s="3"/>
      <c r="J639" s="3" t="str">
        <f t="shared" si="81"/>
        <v>0</v>
      </c>
      <c r="K639" s="27" t="str">
        <f t="shared" si="82"/>
        <v> No Issue</v>
      </c>
      <c r="L639" s="3" t="str">
        <f t="shared" si="83"/>
        <v>No Issue</v>
      </c>
      <c r="M639" s="3" t="str">
        <f t="shared" si="84"/>
        <v>No Issue</v>
      </c>
      <c r="N639" s="3" t="str">
        <f t="shared" si="85"/>
        <v>No Issue</v>
      </c>
      <c r="O639" s="3" t="str">
        <f t="shared" si="86"/>
        <v>No Issue</v>
      </c>
      <c r="P639" s="3" t="str">
        <f t="shared" si="87"/>
        <v>NoIssue</v>
      </c>
    </row>
    <row r="640" ht="15.75" customHeight="1">
      <c r="A640" s="28">
        <v>46.0</v>
      </c>
      <c r="B640" s="34"/>
      <c r="C640" s="34"/>
      <c r="D640" s="3"/>
      <c r="E640" s="3"/>
      <c r="F640" s="27"/>
      <c r="G640" s="27"/>
      <c r="H640" s="27"/>
      <c r="I640" s="3"/>
      <c r="J640" s="3" t="str">
        <f t="shared" si="81"/>
        <v>0</v>
      </c>
      <c r="K640" s="27" t="str">
        <f t="shared" si="82"/>
        <v> No Issue</v>
      </c>
      <c r="L640" s="3" t="str">
        <f t="shared" si="83"/>
        <v>No Issue</v>
      </c>
      <c r="M640" s="3" t="str">
        <f t="shared" si="84"/>
        <v>No Issue</v>
      </c>
      <c r="N640" s="3" t="str">
        <f t="shared" si="85"/>
        <v>No Issue</v>
      </c>
      <c r="O640" s="3" t="str">
        <f t="shared" si="86"/>
        <v>No Issue</v>
      </c>
      <c r="P640" s="3" t="str">
        <f t="shared" si="87"/>
        <v>NoIssue</v>
      </c>
    </row>
    <row r="641" ht="15.75" customHeight="1">
      <c r="A641" s="28">
        <v>47.0</v>
      </c>
      <c r="B641" s="35"/>
      <c r="C641" s="36"/>
      <c r="D641" s="3"/>
      <c r="E641" s="3"/>
      <c r="F641" s="27"/>
      <c r="G641" s="27"/>
      <c r="H641" s="27"/>
      <c r="I641" s="3"/>
      <c r="J641" s="3" t="str">
        <f t="shared" si="81"/>
        <v>0</v>
      </c>
      <c r="K641" s="27" t="str">
        <f t="shared" si="82"/>
        <v> No Issue</v>
      </c>
      <c r="L641" s="3" t="str">
        <f t="shared" si="83"/>
        <v>No Issue</v>
      </c>
      <c r="M641" s="3" t="str">
        <f t="shared" si="84"/>
        <v>No Issue</v>
      </c>
      <c r="N641" s="3" t="str">
        <f t="shared" si="85"/>
        <v>No Issue</v>
      </c>
      <c r="O641" s="3" t="str">
        <f t="shared" si="86"/>
        <v>No Issue</v>
      </c>
      <c r="P641" s="3" t="str">
        <f t="shared" si="87"/>
        <v>NoIssue</v>
      </c>
    </row>
    <row r="642" ht="15.75" customHeight="1">
      <c r="A642" s="28">
        <v>48.0</v>
      </c>
      <c r="B642" s="35"/>
      <c r="C642" s="36"/>
      <c r="D642" s="3"/>
      <c r="E642" s="3"/>
      <c r="F642" s="27"/>
      <c r="G642" s="27"/>
      <c r="H642" s="27"/>
      <c r="I642" s="3"/>
      <c r="J642" s="3" t="str">
        <f t="shared" si="81"/>
        <v>0</v>
      </c>
      <c r="K642" s="27" t="str">
        <f t="shared" si="82"/>
        <v> No Issue</v>
      </c>
      <c r="L642" s="3" t="str">
        <f t="shared" si="83"/>
        <v>No Issue</v>
      </c>
      <c r="M642" s="3" t="str">
        <f t="shared" si="84"/>
        <v>No Issue</v>
      </c>
      <c r="N642" s="3" t="str">
        <f t="shared" si="85"/>
        <v>No Issue</v>
      </c>
      <c r="O642" s="3" t="str">
        <f t="shared" si="86"/>
        <v>No Issue</v>
      </c>
      <c r="P642" s="3" t="str">
        <f t="shared" si="87"/>
        <v>NoIssue</v>
      </c>
    </row>
    <row r="643" ht="15.75" customHeight="1">
      <c r="A643" s="28">
        <v>49.0</v>
      </c>
      <c r="B643" s="35"/>
      <c r="C643" s="36"/>
      <c r="D643" s="3"/>
      <c r="E643" s="3"/>
      <c r="F643" s="27"/>
      <c r="G643" s="27"/>
      <c r="H643" s="27"/>
      <c r="I643" s="3"/>
      <c r="J643" s="3" t="str">
        <f t="shared" si="81"/>
        <v>0</v>
      </c>
      <c r="K643" s="27" t="str">
        <f t="shared" si="82"/>
        <v> No Issue</v>
      </c>
      <c r="L643" s="3" t="str">
        <f t="shared" si="83"/>
        <v>No Issue</v>
      </c>
      <c r="M643" s="3" t="str">
        <f t="shared" si="84"/>
        <v>No Issue</v>
      </c>
      <c r="N643" s="3" t="str">
        <f t="shared" si="85"/>
        <v>No Issue</v>
      </c>
      <c r="O643" s="3" t="str">
        <f t="shared" si="86"/>
        <v>No Issue</v>
      </c>
      <c r="P643" s="3" t="str">
        <f t="shared" si="87"/>
        <v>NoIssue</v>
      </c>
    </row>
    <row r="644" ht="15.75" customHeight="1">
      <c r="A644" s="28">
        <v>50.0</v>
      </c>
      <c r="B644" s="35"/>
      <c r="C644" s="36"/>
      <c r="D644" s="3"/>
      <c r="E644" s="3"/>
      <c r="F644" s="27"/>
      <c r="G644" s="27"/>
      <c r="H644" s="27"/>
      <c r="I644" s="3"/>
      <c r="J644" s="3" t="str">
        <f t="shared" si="81"/>
        <v>0</v>
      </c>
      <c r="K644" s="27" t="str">
        <f t="shared" si="82"/>
        <v> No Issue</v>
      </c>
      <c r="L644" s="3" t="str">
        <f t="shared" si="83"/>
        <v>No Issue</v>
      </c>
      <c r="M644" s="3" t="str">
        <f t="shared" si="84"/>
        <v>No Issue</v>
      </c>
      <c r="N644" s="3" t="str">
        <f t="shared" si="85"/>
        <v>No Issue</v>
      </c>
      <c r="O644" s="3" t="str">
        <f t="shared" si="86"/>
        <v>No Issue</v>
      </c>
      <c r="P644" s="3" t="str">
        <f t="shared" si="87"/>
        <v>NoIssue</v>
      </c>
    </row>
    <row r="645" ht="15.75" customHeight="1">
      <c r="A645" s="28">
        <v>51.0</v>
      </c>
      <c r="B645" s="35"/>
      <c r="C645" s="36"/>
      <c r="D645" s="3"/>
      <c r="E645" s="3"/>
      <c r="F645" s="27"/>
      <c r="G645" s="27"/>
      <c r="H645" s="27"/>
      <c r="I645" s="3"/>
      <c r="J645" s="3" t="str">
        <f t="shared" si="81"/>
        <v>0</v>
      </c>
      <c r="K645" s="27" t="str">
        <f t="shared" si="82"/>
        <v> No Issue</v>
      </c>
      <c r="L645" s="3" t="str">
        <f t="shared" si="83"/>
        <v>No Issue</v>
      </c>
      <c r="M645" s="3" t="str">
        <f t="shared" si="84"/>
        <v>No Issue</v>
      </c>
      <c r="N645" s="3" t="str">
        <f t="shared" si="85"/>
        <v>No Issue</v>
      </c>
      <c r="O645" s="3" t="str">
        <f t="shared" si="86"/>
        <v>No Issue</v>
      </c>
      <c r="P645" s="3" t="str">
        <f t="shared" si="87"/>
        <v>NoIssue</v>
      </c>
    </row>
    <row r="646" ht="15.75" customHeight="1">
      <c r="A646" s="28">
        <v>52.0</v>
      </c>
      <c r="B646" s="35"/>
      <c r="C646" s="36"/>
      <c r="D646" s="3"/>
      <c r="E646" s="3"/>
      <c r="F646" s="27"/>
      <c r="G646" s="27"/>
      <c r="H646" s="27"/>
      <c r="I646" s="3"/>
      <c r="J646" s="3" t="str">
        <f t="shared" si="81"/>
        <v>0</v>
      </c>
      <c r="K646" s="27" t="str">
        <f t="shared" si="82"/>
        <v> No Issue</v>
      </c>
      <c r="L646" s="3" t="str">
        <f t="shared" si="83"/>
        <v>No Issue</v>
      </c>
      <c r="M646" s="3" t="str">
        <f t="shared" si="84"/>
        <v>No Issue</v>
      </c>
      <c r="N646" s="3" t="str">
        <f t="shared" si="85"/>
        <v>No Issue</v>
      </c>
      <c r="O646" s="3" t="str">
        <f t="shared" si="86"/>
        <v>No Issue</v>
      </c>
      <c r="P646" s="3" t="str">
        <f t="shared" si="87"/>
        <v>NoIssue</v>
      </c>
    </row>
    <row r="647" ht="15.75" customHeight="1">
      <c r="A647" s="28">
        <v>53.0</v>
      </c>
      <c r="B647" s="35"/>
      <c r="C647" s="36"/>
      <c r="D647" s="3"/>
      <c r="E647" s="3"/>
      <c r="F647" s="27"/>
      <c r="G647" s="27"/>
      <c r="H647" s="27"/>
      <c r="I647" s="3"/>
      <c r="J647" s="3" t="str">
        <f t="shared" si="81"/>
        <v>0</v>
      </c>
      <c r="K647" s="27" t="str">
        <f t="shared" si="82"/>
        <v> No Issue</v>
      </c>
      <c r="L647" s="3" t="str">
        <f t="shared" si="83"/>
        <v>No Issue</v>
      </c>
      <c r="M647" s="3" t="str">
        <f t="shared" si="84"/>
        <v>No Issue</v>
      </c>
      <c r="N647" s="3" t="str">
        <f t="shared" si="85"/>
        <v>No Issue</v>
      </c>
      <c r="O647" s="3" t="str">
        <f t="shared" si="86"/>
        <v>No Issue</v>
      </c>
      <c r="P647" s="3" t="str">
        <f t="shared" si="87"/>
        <v>NoIssue</v>
      </c>
    </row>
    <row r="648" ht="15.75" customHeight="1">
      <c r="A648" s="28">
        <v>54.0</v>
      </c>
      <c r="B648" s="34"/>
      <c r="C648" s="34"/>
      <c r="D648" s="3"/>
      <c r="E648" s="3"/>
      <c r="F648" s="27"/>
      <c r="G648" s="27"/>
      <c r="H648" s="27"/>
      <c r="I648" s="3"/>
      <c r="J648" s="3" t="str">
        <f t="shared" si="81"/>
        <v>0</v>
      </c>
      <c r="K648" s="27" t="str">
        <f t="shared" si="82"/>
        <v> No Issue</v>
      </c>
      <c r="L648" s="3" t="str">
        <f t="shared" si="83"/>
        <v>No Issue</v>
      </c>
      <c r="M648" s="3" t="str">
        <f t="shared" si="84"/>
        <v>No Issue</v>
      </c>
      <c r="N648" s="3" t="str">
        <f t="shared" si="85"/>
        <v>No Issue</v>
      </c>
      <c r="O648" s="3" t="str">
        <f t="shared" si="86"/>
        <v>No Issue</v>
      </c>
      <c r="P648" s="3" t="str">
        <f t="shared" si="87"/>
        <v>NoIssue</v>
      </c>
    </row>
    <row r="649" ht="15.75" customHeight="1">
      <c r="A649" s="28">
        <v>55.0</v>
      </c>
      <c r="B649" s="35"/>
      <c r="C649" s="36"/>
      <c r="D649" s="3"/>
      <c r="E649" s="3"/>
      <c r="F649" s="27"/>
      <c r="G649" s="27"/>
      <c r="H649" s="27"/>
      <c r="I649" s="3"/>
      <c r="J649" s="3" t="str">
        <f t="shared" si="81"/>
        <v>0</v>
      </c>
      <c r="K649" s="27" t="str">
        <f t="shared" si="82"/>
        <v> No Issue</v>
      </c>
      <c r="L649" s="3" t="str">
        <f t="shared" si="83"/>
        <v>No Issue</v>
      </c>
      <c r="M649" s="3" t="str">
        <f t="shared" si="84"/>
        <v>No Issue</v>
      </c>
      <c r="N649" s="3" t="str">
        <f t="shared" si="85"/>
        <v>No Issue</v>
      </c>
      <c r="O649" s="3" t="str">
        <f t="shared" si="86"/>
        <v>No Issue</v>
      </c>
      <c r="P649" s="3" t="str">
        <f t="shared" si="87"/>
        <v>NoIssue</v>
      </c>
    </row>
    <row r="650" ht="15.75" customHeight="1">
      <c r="A650" s="28">
        <v>56.0</v>
      </c>
      <c r="B650" s="35"/>
      <c r="C650" s="36"/>
      <c r="D650" s="3"/>
      <c r="E650" s="3"/>
      <c r="F650" s="27"/>
      <c r="G650" s="27"/>
      <c r="H650" s="27"/>
      <c r="I650" s="3"/>
      <c r="J650" s="3" t="str">
        <f t="shared" si="81"/>
        <v>0</v>
      </c>
      <c r="K650" s="27" t="str">
        <f t="shared" si="82"/>
        <v> No Issue</v>
      </c>
      <c r="L650" s="3" t="str">
        <f t="shared" si="83"/>
        <v>No Issue</v>
      </c>
      <c r="M650" s="3" t="str">
        <f t="shared" si="84"/>
        <v>No Issue</v>
      </c>
      <c r="N650" s="3" t="str">
        <f t="shared" si="85"/>
        <v>No Issue</v>
      </c>
      <c r="O650" s="3" t="str">
        <f t="shared" si="86"/>
        <v>No Issue</v>
      </c>
      <c r="P650" s="3" t="str">
        <f t="shared" si="87"/>
        <v>NoIssue</v>
      </c>
    </row>
    <row r="651" ht="15.75" customHeight="1">
      <c r="A651" s="28"/>
      <c r="B651" s="3" t="s">
        <v>64</v>
      </c>
      <c r="C651" s="35"/>
      <c r="D651" s="3" t="str">
        <f t="shared" ref="D651:I651" si="88">SUMPRODUCT(D595:D650,$C595:$C650)</f>
        <v>0</v>
      </c>
      <c r="E651" s="3" t="str">
        <f t="shared" si="88"/>
        <v>0</v>
      </c>
      <c r="F651" s="3" t="str">
        <f t="shared" si="88"/>
        <v>0</v>
      </c>
      <c r="G651" s="3" t="str">
        <f t="shared" si="88"/>
        <v>0</v>
      </c>
      <c r="H651" s="3" t="str">
        <f t="shared" si="88"/>
        <v>0</v>
      </c>
      <c r="I651" s="3" t="str">
        <f t="shared" si="88"/>
        <v>0</v>
      </c>
      <c r="J651" s="3" t="str">
        <f t="shared" si="81"/>
        <v>0</v>
      </c>
      <c r="K651" s="27" t="str">
        <f t="shared" si="82"/>
        <v> No Issue</v>
      </c>
      <c r="L651" s="3" t="str">
        <f t="shared" si="83"/>
        <v>No Issue</v>
      </c>
      <c r="M651" s="3" t="str">
        <f t="shared" si="84"/>
        <v>No Issue</v>
      </c>
      <c r="N651" s="3" t="str">
        <f t="shared" si="85"/>
        <v>No Issue</v>
      </c>
      <c r="O651" s="3" t="str">
        <f t="shared" si="86"/>
        <v>No Issue</v>
      </c>
      <c r="P651" s="3" t="str">
        <f t="shared" si="87"/>
        <v>NoIssue</v>
      </c>
    </row>
    <row r="652" ht="15.75" customHeight="1">
      <c r="A652" s="10"/>
      <c r="B652" s="11" t="s">
        <v>3</v>
      </c>
      <c r="C652" s="39"/>
      <c r="D652" s="13"/>
      <c r="E652" s="11"/>
      <c r="F652" s="15"/>
      <c r="G652" s="16"/>
      <c r="H652" s="17"/>
      <c r="I652" s="15"/>
      <c r="J652" s="18"/>
      <c r="K652" s="19" t="s">
        <v>5</v>
      </c>
      <c r="L652" s="20"/>
      <c r="M652" s="20"/>
      <c r="N652" s="20"/>
      <c r="O652" s="20"/>
      <c r="P652" s="21"/>
    </row>
    <row r="653" ht="15.75" customHeight="1">
      <c r="A653" s="40" t="s">
        <v>6</v>
      </c>
      <c r="B653" s="27" t="s">
        <v>7</v>
      </c>
      <c r="C653" s="27" t="s">
        <v>8</v>
      </c>
      <c r="D653" s="26" t="s">
        <v>9</v>
      </c>
      <c r="E653" s="26" t="s">
        <v>10</v>
      </c>
      <c r="F653" s="26" t="s">
        <v>11</v>
      </c>
      <c r="G653" s="26" t="s">
        <v>12</v>
      </c>
      <c r="H653" s="26" t="s">
        <v>13</v>
      </c>
      <c r="I653" s="26" t="s">
        <v>14</v>
      </c>
      <c r="J653" s="26" t="s">
        <v>15</v>
      </c>
      <c r="K653" s="27" t="s">
        <v>16</v>
      </c>
      <c r="L653" s="27" t="s">
        <v>17</v>
      </c>
      <c r="M653" s="27" t="s">
        <v>18</v>
      </c>
      <c r="N653" s="27" t="s">
        <v>19</v>
      </c>
      <c r="O653" s="27" t="s">
        <v>20</v>
      </c>
      <c r="P653" s="27" t="s">
        <v>21</v>
      </c>
    </row>
    <row r="654" ht="15.75" customHeight="1">
      <c r="A654" s="28">
        <v>1.0</v>
      </c>
      <c r="B654" s="29" t="s">
        <v>22</v>
      </c>
      <c r="C654" s="30">
        <v>192.17</v>
      </c>
      <c r="D654" s="3"/>
      <c r="E654" s="3"/>
      <c r="F654" s="3"/>
      <c r="G654" s="3"/>
      <c r="H654" s="3"/>
      <c r="I654" s="3"/>
      <c r="J654" s="3" t="str">
        <f t="shared" ref="J654:J710" si="89">D654+E654-F654-G654+H654</f>
        <v>0</v>
      </c>
      <c r="K654" s="27" t="str">
        <f t="shared" ref="K654:K710" si="90">IF(I654&lt;&gt;(D654+E654-F654-G654+H654),"Closing stock Not Correct-Problem"," No Issue")</f>
        <v> No Issue</v>
      </c>
      <c r="L654" s="3" t="str">
        <f t="shared" ref="L654:L710" si="91">IF((D654+E654)&lt;F654,"High Sale and Less Stock-Problem","No Issue")</f>
        <v>No Issue</v>
      </c>
      <c r="M654" s="3" t="str">
        <f t="shared" ref="M654:M710" si="92">IF(AND((D654+E654+I654)=0,F654&gt;0),"No Stock Sale Present Problem","No Issue")</f>
        <v>No Issue</v>
      </c>
      <c r="N654" s="3" t="str">
        <f t="shared" ref="N654:N710" si="93">IF(AND(SUM(D654:H654)=0,I654&gt;0),"Only Closing Entered Other Parameters No Entired Problem","No Issue")</f>
        <v>No Issue</v>
      </c>
      <c r="O654" s="3" t="str">
        <f t="shared" ref="O654:O710" si="94">IF(F654&gt;5000,"Check Once Sales quantity or Value Problem","No Issue")</f>
        <v>No Issue</v>
      </c>
      <c r="P654" s="3" t="str">
        <f t="shared" ref="P654:P710" si="95">IF(I654&gt;5000,"Check Once Closing quantity or Value Problem","NoIssue")</f>
        <v>NoIssue</v>
      </c>
    </row>
    <row r="655" ht="15.75" customHeight="1">
      <c r="A655" s="28">
        <v>2.0</v>
      </c>
      <c r="B655" s="29" t="s">
        <v>23</v>
      </c>
      <c r="C655" s="30">
        <v>9.26</v>
      </c>
      <c r="D655" s="3"/>
      <c r="E655" s="3"/>
      <c r="F655" s="3"/>
      <c r="G655" s="3"/>
      <c r="H655" s="3"/>
      <c r="I655" s="3"/>
      <c r="J655" s="3" t="str">
        <f t="shared" si="89"/>
        <v>0</v>
      </c>
      <c r="K655" s="27" t="str">
        <f t="shared" si="90"/>
        <v> No Issue</v>
      </c>
      <c r="L655" s="3" t="str">
        <f t="shared" si="91"/>
        <v>No Issue</v>
      </c>
      <c r="M655" s="3" t="str">
        <f t="shared" si="92"/>
        <v>No Issue</v>
      </c>
      <c r="N655" s="3" t="str">
        <f t="shared" si="93"/>
        <v>No Issue</v>
      </c>
      <c r="O655" s="3" t="str">
        <f t="shared" si="94"/>
        <v>No Issue</v>
      </c>
      <c r="P655" s="3" t="str">
        <f t="shared" si="95"/>
        <v>NoIssue</v>
      </c>
    </row>
    <row r="656" ht="15.75" customHeight="1">
      <c r="A656" s="28">
        <v>3.0</v>
      </c>
      <c r="B656" s="29" t="s">
        <v>24</v>
      </c>
      <c r="C656" s="30">
        <v>87.79</v>
      </c>
      <c r="D656" s="3"/>
      <c r="E656" s="3"/>
      <c r="F656" s="3"/>
      <c r="G656" s="3"/>
      <c r="H656" s="3"/>
      <c r="I656" s="3"/>
      <c r="J656" s="3" t="str">
        <f t="shared" si="89"/>
        <v>0</v>
      </c>
      <c r="K656" s="27" t="str">
        <f t="shared" si="90"/>
        <v> No Issue</v>
      </c>
      <c r="L656" s="3" t="str">
        <f t="shared" si="91"/>
        <v>No Issue</v>
      </c>
      <c r="M656" s="3" t="str">
        <f t="shared" si="92"/>
        <v>No Issue</v>
      </c>
      <c r="N656" s="3" t="str">
        <f t="shared" si="93"/>
        <v>No Issue</v>
      </c>
      <c r="O656" s="3" t="str">
        <f t="shared" si="94"/>
        <v>No Issue</v>
      </c>
      <c r="P656" s="3" t="str">
        <f t="shared" si="95"/>
        <v>NoIssue</v>
      </c>
    </row>
    <row r="657" ht="15.75" customHeight="1">
      <c r="A657" s="28">
        <v>4.0</v>
      </c>
      <c r="B657" s="29" t="s">
        <v>25</v>
      </c>
      <c r="C657" s="30">
        <v>55.55</v>
      </c>
      <c r="D657" s="3"/>
      <c r="E657" s="3"/>
      <c r="F657" s="3"/>
      <c r="G657" s="3"/>
      <c r="H657" s="3"/>
      <c r="I657" s="3"/>
      <c r="J657" s="3" t="str">
        <f t="shared" si="89"/>
        <v>0</v>
      </c>
      <c r="K657" s="27" t="str">
        <f t="shared" si="90"/>
        <v> No Issue</v>
      </c>
      <c r="L657" s="3" t="str">
        <f t="shared" si="91"/>
        <v>No Issue</v>
      </c>
      <c r="M657" s="3" t="str">
        <f t="shared" si="92"/>
        <v>No Issue</v>
      </c>
      <c r="N657" s="3" t="str">
        <f t="shared" si="93"/>
        <v>No Issue</v>
      </c>
      <c r="O657" s="3" t="str">
        <f t="shared" si="94"/>
        <v>No Issue</v>
      </c>
      <c r="P657" s="3" t="str">
        <f t="shared" si="95"/>
        <v>NoIssue</v>
      </c>
    </row>
    <row r="658" ht="15.75" customHeight="1">
      <c r="A658" s="28">
        <v>5.0</v>
      </c>
      <c r="B658" s="29" t="s">
        <v>26</v>
      </c>
      <c r="C658" s="30">
        <v>70.01</v>
      </c>
      <c r="D658" s="3"/>
      <c r="E658" s="3"/>
      <c r="F658" s="3"/>
      <c r="G658" s="3"/>
      <c r="H658" s="3"/>
      <c r="I658" s="3"/>
      <c r="J658" s="3" t="str">
        <f t="shared" si="89"/>
        <v>0</v>
      </c>
      <c r="K658" s="27" t="str">
        <f t="shared" si="90"/>
        <v> No Issue</v>
      </c>
      <c r="L658" s="3" t="str">
        <f t="shared" si="91"/>
        <v>No Issue</v>
      </c>
      <c r="M658" s="3" t="str">
        <f t="shared" si="92"/>
        <v>No Issue</v>
      </c>
      <c r="N658" s="3" t="str">
        <f t="shared" si="93"/>
        <v>No Issue</v>
      </c>
      <c r="O658" s="3" t="str">
        <f t="shared" si="94"/>
        <v>No Issue</v>
      </c>
      <c r="P658" s="3" t="str">
        <f t="shared" si="95"/>
        <v>NoIssue</v>
      </c>
    </row>
    <row r="659" ht="15.75" customHeight="1">
      <c r="A659" s="28">
        <v>6.0</v>
      </c>
      <c r="B659" s="29" t="s">
        <v>27</v>
      </c>
      <c r="C659" s="30">
        <v>73.92999999999999</v>
      </c>
      <c r="D659" s="3"/>
      <c r="E659" s="3"/>
      <c r="F659" s="3"/>
      <c r="G659" s="3"/>
      <c r="H659" s="3"/>
      <c r="I659" s="3"/>
      <c r="J659" s="3" t="str">
        <f t="shared" si="89"/>
        <v>0</v>
      </c>
      <c r="K659" s="27" t="str">
        <f t="shared" si="90"/>
        <v> No Issue</v>
      </c>
      <c r="L659" s="3" t="str">
        <f t="shared" si="91"/>
        <v>No Issue</v>
      </c>
      <c r="M659" s="3" t="str">
        <f t="shared" si="92"/>
        <v>No Issue</v>
      </c>
      <c r="N659" s="3" t="str">
        <f t="shared" si="93"/>
        <v>No Issue</v>
      </c>
      <c r="O659" s="3" t="str">
        <f t="shared" si="94"/>
        <v>No Issue</v>
      </c>
      <c r="P659" s="3" t="str">
        <f t="shared" si="95"/>
        <v>NoIssue</v>
      </c>
    </row>
    <row r="660" ht="15.75" customHeight="1">
      <c r="A660" s="28">
        <v>7.0</v>
      </c>
      <c r="B660" s="29" t="s">
        <v>28</v>
      </c>
      <c r="C660" s="30">
        <v>13.91</v>
      </c>
      <c r="D660" s="3"/>
      <c r="E660" s="3"/>
      <c r="F660" s="3"/>
      <c r="G660" s="3"/>
      <c r="H660" s="3"/>
      <c r="I660" s="3"/>
      <c r="J660" s="3" t="str">
        <f t="shared" si="89"/>
        <v>0</v>
      </c>
      <c r="K660" s="27" t="str">
        <f t="shared" si="90"/>
        <v> No Issue</v>
      </c>
      <c r="L660" s="3" t="str">
        <f t="shared" si="91"/>
        <v>No Issue</v>
      </c>
      <c r="M660" s="3" t="str">
        <f t="shared" si="92"/>
        <v>No Issue</v>
      </c>
      <c r="N660" s="3" t="str">
        <f t="shared" si="93"/>
        <v>No Issue</v>
      </c>
      <c r="O660" s="3" t="str">
        <f t="shared" si="94"/>
        <v>No Issue</v>
      </c>
      <c r="P660" s="3" t="str">
        <f t="shared" si="95"/>
        <v>NoIssue</v>
      </c>
    </row>
    <row r="661" ht="15.75" customHeight="1">
      <c r="A661" s="28">
        <v>8.0</v>
      </c>
      <c r="B661" s="29" t="s">
        <v>29</v>
      </c>
      <c r="C661" s="30">
        <v>19.5</v>
      </c>
      <c r="D661" s="3"/>
      <c r="E661" s="3"/>
      <c r="F661" s="3"/>
      <c r="G661" s="3"/>
      <c r="H661" s="3"/>
      <c r="I661" s="3"/>
      <c r="J661" s="3" t="str">
        <f t="shared" si="89"/>
        <v>0</v>
      </c>
      <c r="K661" s="27" t="str">
        <f t="shared" si="90"/>
        <v> No Issue</v>
      </c>
      <c r="L661" s="3" t="str">
        <f t="shared" si="91"/>
        <v>No Issue</v>
      </c>
      <c r="M661" s="3" t="str">
        <f t="shared" si="92"/>
        <v>No Issue</v>
      </c>
      <c r="N661" s="3" t="str">
        <f t="shared" si="93"/>
        <v>No Issue</v>
      </c>
      <c r="O661" s="3" t="str">
        <f t="shared" si="94"/>
        <v>No Issue</v>
      </c>
      <c r="P661" s="3" t="str">
        <f t="shared" si="95"/>
        <v>NoIssue</v>
      </c>
    </row>
    <row r="662" ht="15.75" customHeight="1">
      <c r="A662" s="28">
        <v>9.0</v>
      </c>
      <c r="B662" s="29" t="s">
        <v>30</v>
      </c>
      <c r="C662" s="30">
        <v>28.83</v>
      </c>
      <c r="D662" s="3"/>
      <c r="E662" s="3"/>
      <c r="F662" s="3"/>
      <c r="G662" s="3"/>
      <c r="H662" s="3"/>
      <c r="I662" s="3"/>
      <c r="J662" s="3" t="str">
        <f t="shared" si="89"/>
        <v>0</v>
      </c>
      <c r="K662" s="27" t="str">
        <f t="shared" si="90"/>
        <v> No Issue</v>
      </c>
      <c r="L662" s="3" t="str">
        <f t="shared" si="91"/>
        <v>No Issue</v>
      </c>
      <c r="M662" s="3" t="str">
        <f t="shared" si="92"/>
        <v>No Issue</v>
      </c>
      <c r="N662" s="3" t="str">
        <f t="shared" si="93"/>
        <v>No Issue</v>
      </c>
      <c r="O662" s="3" t="str">
        <f t="shared" si="94"/>
        <v>No Issue</v>
      </c>
      <c r="P662" s="3" t="str">
        <f t="shared" si="95"/>
        <v>NoIssue</v>
      </c>
    </row>
    <row r="663" ht="15.75" customHeight="1">
      <c r="A663" s="28">
        <v>10.0</v>
      </c>
      <c r="B663" s="29" t="s">
        <v>31</v>
      </c>
      <c r="C663" s="30">
        <v>8.51</v>
      </c>
      <c r="D663" s="3"/>
      <c r="E663" s="3"/>
      <c r="F663" s="3"/>
      <c r="G663" s="3"/>
      <c r="H663" s="3"/>
      <c r="I663" s="3"/>
      <c r="J663" s="3" t="str">
        <f t="shared" si="89"/>
        <v>0</v>
      </c>
      <c r="K663" s="27" t="str">
        <f t="shared" si="90"/>
        <v> No Issue</v>
      </c>
      <c r="L663" s="3" t="str">
        <f t="shared" si="91"/>
        <v>No Issue</v>
      </c>
      <c r="M663" s="3" t="str">
        <f t="shared" si="92"/>
        <v>No Issue</v>
      </c>
      <c r="N663" s="3" t="str">
        <f t="shared" si="93"/>
        <v>No Issue</v>
      </c>
      <c r="O663" s="3" t="str">
        <f t="shared" si="94"/>
        <v>No Issue</v>
      </c>
      <c r="P663" s="3" t="str">
        <f t="shared" si="95"/>
        <v>NoIssue</v>
      </c>
    </row>
    <row r="664" ht="15.75" customHeight="1">
      <c r="A664" s="28">
        <v>11.0</v>
      </c>
      <c r="B664" s="29" t="s">
        <v>32</v>
      </c>
      <c r="C664" s="30">
        <v>102.17</v>
      </c>
      <c r="D664" s="3"/>
      <c r="E664" s="3"/>
      <c r="F664" s="3"/>
      <c r="G664" s="3"/>
      <c r="H664" s="3"/>
      <c r="I664" s="3"/>
      <c r="J664" s="3" t="str">
        <f t="shared" si="89"/>
        <v>0</v>
      </c>
      <c r="K664" s="27" t="str">
        <f t="shared" si="90"/>
        <v> No Issue</v>
      </c>
      <c r="L664" s="3" t="str">
        <f t="shared" si="91"/>
        <v>No Issue</v>
      </c>
      <c r="M664" s="3" t="str">
        <f t="shared" si="92"/>
        <v>No Issue</v>
      </c>
      <c r="N664" s="3" t="str">
        <f t="shared" si="93"/>
        <v>No Issue</v>
      </c>
      <c r="O664" s="3" t="str">
        <f t="shared" si="94"/>
        <v>No Issue</v>
      </c>
      <c r="P664" s="3" t="str">
        <f t="shared" si="95"/>
        <v>NoIssue</v>
      </c>
    </row>
    <row r="665" ht="15.75" customHeight="1">
      <c r="A665" s="28">
        <v>12.0</v>
      </c>
      <c r="B665" s="29" t="s">
        <v>33</v>
      </c>
      <c r="C665" s="30">
        <v>59.93</v>
      </c>
      <c r="D665" s="3"/>
      <c r="E665" s="3"/>
      <c r="F665" s="3"/>
      <c r="G665" s="3"/>
      <c r="H665" s="3"/>
      <c r="I665" s="3"/>
      <c r="J665" s="3" t="str">
        <f t="shared" si="89"/>
        <v>0</v>
      </c>
      <c r="K665" s="27" t="str">
        <f t="shared" si="90"/>
        <v> No Issue</v>
      </c>
      <c r="L665" s="3" t="str">
        <f t="shared" si="91"/>
        <v>No Issue</v>
      </c>
      <c r="M665" s="3" t="str">
        <f t="shared" si="92"/>
        <v>No Issue</v>
      </c>
      <c r="N665" s="3" t="str">
        <f t="shared" si="93"/>
        <v>No Issue</v>
      </c>
      <c r="O665" s="3" t="str">
        <f t="shared" si="94"/>
        <v>No Issue</v>
      </c>
      <c r="P665" s="3" t="str">
        <f t="shared" si="95"/>
        <v>NoIssue</v>
      </c>
    </row>
    <row r="666" ht="15.75" customHeight="1">
      <c r="A666" s="28">
        <v>13.0</v>
      </c>
      <c r="B666" s="29" t="s">
        <v>34</v>
      </c>
      <c r="C666" s="30">
        <v>118.0</v>
      </c>
      <c r="D666" s="3"/>
      <c r="E666" s="3"/>
      <c r="F666" s="3"/>
      <c r="G666" s="3"/>
      <c r="H666" s="3"/>
      <c r="I666" s="3"/>
      <c r="J666" s="3" t="str">
        <f t="shared" si="89"/>
        <v>0</v>
      </c>
      <c r="K666" s="27" t="str">
        <f t="shared" si="90"/>
        <v> No Issue</v>
      </c>
      <c r="L666" s="3" t="str">
        <f t="shared" si="91"/>
        <v>No Issue</v>
      </c>
      <c r="M666" s="3" t="str">
        <f t="shared" si="92"/>
        <v>No Issue</v>
      </c>
      <c r="N666" s="3" t="str">
        <f t="shared" si="93"/>
        <v>No Issue</v>
      </c>
      <c r="O666" s="3" t="str">
        <f t="shared" si="94"/>
        <v>No Issue</v>
      </c>
      <c r="P666" s="3" t="str">
        <f t="shared" si="95"/>
        <v>NoIssue</v>
      </c>
    </row>
    <row r="667" ht="15.75" customHeight="1">
      <c r="A667" s="28">
        <v>14.0</v>
      </c>
      <c r="B667" s="29" t="s">
        <v>35</v>
      </c>
      <c r="C667" s="30">
        <v>52.83</v>
      </c>
      <c r="D667" s="3"/>
      <c r="E667" s="3"/>
      <c r="F667" s="3"/>
      <c r="G667" s="3"/>
      <c r="H667" s="3"/>
      <c r="I667" s="3"/>
      <c r="J667" s="3" t="str">
        <f t="shared" si="89"/>
        <v>0</v>
      </c>
      <c r="K667" s="27" t="str">
        <f t="shared" si="90"/>
        <v> No Issue</v>
      </c>
      <c r="L667" s="3" t="str">
        <f t="shared" si="91"/>
        <v>No Issue</v>
      </c>
      <c r="M667" s="3" t="str">
        <f t="shared" si="92"/>
        <v>No Issue</v>
      </c>
      <c r="N667" s="3" t="str">
        <f t="shared" si="93"/>
        <v>No Issue</v>
      </c>
      <c r="O667" s="3" t="str">
        <f t="shared" si="94"/>
        <v>No Issue</v>
      </c>
      <c r="P667" s="3" t="str">
        <f t="shared" si="95"/>
        <v>NoIssue</v>
      </c>
    </row>
    <row r="668" ht="15.75" customHeight="1">
      <c r="A668" s="28">
        <v>15.0</v>
      </c>
      <c r="B668" s="29" t="s">
        <v>36</v>
      </c>
      <c r="C668" s="30">
        <v>93.2</v>
      </c>
      <c r="D668" s="3"/>
      <c r="E668" s="3"/>
      <c r="F668" s="3"/>
      <c r="G668" s="3"/>
      <c r="H668" s="3"/>
      <c r="I668" s="3"/>
      <c r="J668" s="3" t="str">
        <f t="shared" si="89"/>
        <v>0</v>
      </c>
      <c r="K668" s="27" t="str">
        <f t="shared" si="90"/>
        <v> No Issue</v>
      </c>
      <c r="L668" s="3" t="str">
        <f t="shared" si="91"/>
        <v>No Issue</v>
      </c>
      <c r="M668" s="3" t="str">
        <f t="shared" si="92"/>
        <v>No Issue</v>
      </c>
      <c r="N668" s="3" t="str">
        <f t="shared" si="93"/>
        <v>No Issue</v>
      </c>
      <c r="O668" s="3" t="str">
        <f t="shared" si="94"/>
        <v>No Issue</v>
      </c>
      <c r="P668" s="3" t="str">
        <f t="shared" si="95"/>
        <v>NoIssue</v>
      </c>
    </row>
    <row r="669" ht="15.75" customHeight="1">
      <c r="A669" s="28">
        <v>16.0</v>
      </c>
      <c r="B669" s="29" t="s">
        <v>37</v>
      </c>
      <c r="C669" s="30">
        <v>61.02</v>
      </c>
      <c r="D669" s="3"/>
      <c r="E669" s="3"/>
      <c r="F669" s="3"/>
      <c r="G669" s="3"/>
      <c r="H669" s="3"/>
      <c r="I669" s="3"/>
      <c r="J669" s="3" t="str">
        <f t="shared" si="89"/>
        <v>0</v>
      </c>
      <c r="K669" s="27" t="str">
        <f t="shared" si="90"/>
        <v> No Issue</v>
      </c>
      <c r="L669" s="3" t="str">
        <f t="shared" si="91"/>
        <v>No Issue</v>
      </c>
      <c r="M669" s="3" t="str">
        <f t="shared" si="92"/>
        <v>No Issue</v>
      </c>
      <c r="N669" s="3" t="str">
        <f t="shared" si="93"/>
        <v>No Issue</v>
      </c>
      <c r="O669" s="3" t="str">
        <f t="shared" si="94"/>
        <v>No Issue</v>
      </c>
      <c r="P669" s="3" t="str">
        <f t="shared" si="95"/>
        <v>NoIssue</v>
      </c>
    </row>
    <row r="670" ht="15.75" customHeight="1">
      <c r="A670" s="28">
        <v>17.0</v>
      </c>
      <c r="B670" s="29" t="s">
        <v>38</v>
      </c>
      <c r="C670" s="30">
        <v>36.62</v>
      </c>
      <c r="D670" s="3"/>
      <c r="E670" s="3"/>
      <c r="F670" s="3"/>
      <c r="G670" s="3"/>
      <c r="H670" s="3"/>
      <c r="I670" s="3"/>
      <c r="J670" s="3" t="str">
        <f t="shared" si="89"/>
        <v>0</v>
      </c>
      <c r="K670" s="27" t="str">
        <f t="shared" si="90"/>
        <v> No Issue</v>
      </c>
      <c r="L670" s="3" t="str">
        <f t="shared" si="91"/>
        <v>No Issue</v>
      </c>
      <c r="M670" s="3" t="str">
        <f t="shared" si="92"/>
        <v>No Issue</v>
      </c>
      <c r="N670" s="3" t="str">
        <f t="shared" si="93"/>
        <v>No Issue</v>
      </c>
      <c r="O670" s="3" t="str">
        <f t="shared" si="94"/>
        <v>No Issue</v>
      </c>
      <c r="P670" s="3" t="str">
        <f t="shared" si="95"/>
        <v>NoIssue</v>
      </c>
    </row>
    <row r="671" ht="15.75" customHeight="1">
      <c r="A671" s="28">
        <v>18.0</v>
      </c>
      <c r="B671" s="29" t="s">
        <v>39</v>
      </c>
      <c r="C671" s="30">
        <v>80.36</v>
      </c>
      <c r="D671" s="3"/>
      <c r="E671" s="3"/>
      <c r="F671" s="3"/>
      <c r="G671" s="3"/>
      <c r="H671" s="3"/>
      <c r="I671" s="3"/>
      <c r="J671" s="3" t="str">
        <f t="shared" si="89"/>
        <v>0</v>
      </c>
      <c r="K671" s="27" t="str">
        <f t="shared" si="90"/>
        <v> No Issue</v>
      </c>
      <c r="L671" s="3" t="str">
        <f t="shared" si="91"/>
        <v>No Issue</v>
      </c>
      <c r="M671" s="3" t="str">
        <f t="shared" si="92"/>
        <v>No Issue</v>
      </c>
      <c r="N671" s="3" t="str">
        <f t="shared" si="93"/>
        <v>No Issue</v>
      </c>
      <c r="O671" s="3" t="str">
        <f t="shared" si="94"/>
        <v>No Issue</v>
      </c>
      <c r="P671" s="3" t="str">
        <f t="shared" si="95"/>
        <v>NoIssue</v>
      </c>
    </row>
    <row r="672" ht="15.75" customHeight="1">
      <c r="A672" s="28">
        <v>19.0</v>
      </c>
      <c r="B672" s="29" t="s">
        <v>40</v>
      </c>
      <c r="C672" s="30">
        <v>160.56</v>
      </c>
      <c r="D672" s="3"/>
      <c r="E672" s="3"/>
      <c r="F672" s="3"/>
      <c r="G672" s="3"/>
      <c r="H672" s="3"/>
      <c r="I672" s="3"/>
      <c r="J672" s="3" t="str">
        <f t="shared" si="89"/>
        <v>0</v>
      </c>
      <c r="K672" s="27" t="str">
        <f t="shared" si="90"/>
        <v> No Issue</v>
      </c>
      <c r="L672" s="3" t="str">
        <f t="shared" si="91"/>
        <v>No Issue</v>
      </c>
      <c r="M672" s="3" t="str">
        <f t="shared" si="92"/>
        <v>No Issue</v>
      </c>
      <c r="N672" s="3" t="str">
        <f t="shared" si="93"/>
        <v>No Issue</v>
      </c>
      <c r="O672" s="3" t="str">
        <f t="shared" si="94"/>
        <v>No Issue</v>
      </c>
      <c r="P672" s="3" t="str">
        <f t="shared" si="95"/>
        <v>NoIssue</v>
      </c>
    </row>
    <row r="673" ht="15.75" customHeight="1">
      <c r="A673" s="28">
        <v>20.0</v>
      </c>
      <c r="B673" s="29" t="s">
        <v>41</v>
      </c>
      <c r="C673" s="30">
        <v>186.44</v>
      </c>
      <c r="D673" s="3"/>
      <c r="E673" s="3"/>
      <c r="F673" s="3"/>
      <c r="G673" s="3"/>
      <c r="H673" s="3"/>
      <c r="I673" s="3"/>
      <c r="J673" s="3" t="str">
        <f t="shared" si="89"/>
        <v>0</v>
      </c>
      <c r="K673" s="27" t="str">
        <f t="shared" si="90"/>
        <v> No Issue</v>
      </c>
      <c r="L673" s="3" t="str">
        <f t="shared" si="91"/>
        <v>No Issue</v>
      </c>
      <c r="M673" s="3" t="str">
        <f t="shared" si="92"/>
        <v>No Issue</v>
      </c>
      <c r="N673" s="3" t="str">
        <f t="shared" si="93"/>
        <v>No Issue</v>
      </c>
      <c r="O673" s="3" t="str">
        <f t="shared" si="94"/>
        <v>No Issue</v>
      </c>
      <c r="P673" s="3" t="str">
        <f t="shared" si="95"/>
        <v>NoIssue</v>
      </c>
    </row>
    <row r="674" ht="15.75" customHeight="1">
      <c r="A674" s="28">
        <v>21.0</v>
      </c>
      <c r="B674" s="29" t="s">
        <v>42</v>
      </c>
      <c r="C674" s="30">
        <v>92.59</v>
      </c>
      <c r="D674" s="3"/>
      <c r="E674" s="3"/>
      <c r="F674" s="3"/>
      <c r="G674" s="3"/>
      <c r="H674" s="3"/>
      <c r="I674" s="3"/>
      <c r="J674" s="3" t="str">
        <f t="shared" si="89"/>
        <v>0</v>
      </c>
      <c r="K674" s="27" t="str">
        <f t="shared" si="90"/>
        <v> No Issue</v>
      </c>
      <c r="L674" s="3" t="str">
        <f t="shared" si="91"/>
        <v>No Issue</v>
      </c>
      <c r="M674" s="3" t="str">
        <f t="shared" si="92"/>
        <v>No Issue</v>
      </c>
      <c r="N674" s="3" t="str">
        <f t="shared" si="93"/>
        <v>No Issue</v>
      </c>
      <c r="O674" s="3" t="str">
        <f t="shared" si="94"/>
        <v>No Issue</v>
      </c>
      <c r="P674" s="3" t="str">
        <f t="shared" si="95"/>
        <v>NoIssue</v>
      </c>
    </row>
    <row r="675" ht="15.75" customHeight="1">
      <c r="A675" s="28">
        <v>22.0</v>
      </c>
      <c r="B675" s="29" t="s">
        <v>43</v>
      </c>
      <c r="C675" s="30">
        <v>95.17</v>
      </c>
      <c r="D675" s="3"/>
      <c r="E675" s="3"/>
      <c r="F675" s="3"/>
      <c r="G675" s="3"/>
      <c r="H675" s="3"/>
      <c r="I675" s="3"/>
      <c r="J675" s="3" t="str">
        <f t="shared" si="89"/>
        <v>0</v>
      </c>
      <c r="K675" s="27" t="str">
        <f t="shared" si="90"/>
        <v> No Issue</v>
      </c>
      <c r="L675" s="3" t="str">
        <f t="shared" si="91"/>
        <v>No Issue</v>
      </c>
      <c r="M675" s="3" t="str">
        <f t="shared" si="92"/>
        <v>No Issue</v>
      </c>
      <c r="N675" s="3" t="str">
        <f t="shared" si="93"/>
        <v>No Issue</v>
      </c>
      <c r="O675" s="3" t="str">
        <f t="shared" si="94"/>
        <v>No Issue</v>
      </c>
      <c r="P675" s="3" t="str">
        <f t="shared" si="95"/>
        <v>NoIssue</v>
      </c>
    </row>
    <row r="676" ht="15.75" customHeight="1">
      <c r="A676" s="28">
        <v>23.0</v>
      </c>
      <c r="B676" s="29" t="s">
        <v>44</v>
      </c>
      <c r="C676" s="30">
        <v>92.94</v>
      </c>
      <c r="D676" s="3"/>
      <c r="E676" s="3"/>
      <c r="F676" s="3"/>
      <c r="G676" s="3"/>
      <c r="H676" s="3"/>
      <c r="I676" s="3"/>
      <c r="J676" s="3" t="str">
        <f t="shared" si="89"/>
        <v>0</v>
      </c>
      <c r="K676" s="27" t="str">
        <f t="shared" si="90"/>
        <v> No Issue</v>
      </c>
      <c r="L676" s="3" t="str">
        <f t="shared" si="91"/>
        <v>No Issue</v>
      </c>
      <c r="M676" s="3" t="str">
        <f t="shared" si="92"/>
        <v>No Issue</v>
      </c>
      <c r="N676" s="3" t="str">
        <f t="shared" si="93"/>
        <v>No Issue</v>
      </c>
      <c r="O676" s="3" t="str">
        <f t="shared" si="94"/>
        <v>No Issue</v>
      </c>
      <c r="P676" s="3" t="str">
        <f t="shared" si="95"/>
        <v>NoIssue</v>
      </c>
    </row>
    <row r="677" ht="15.75" customHeight="1">
      <c r="A677" s="28">
        <v>24.0</v>
      </c>
      <c r="B677" s="29" t="s">
        <v>45</v>
      </c>
      <c r="C677" s="30">
        <v>101.82</v>
      </c>
      <c r="D677" s="3"/>
      <c r="E677" s="3"/>
      <c r="F677" s="3"/>
      <c r="G677" s="3"/>
      <c r="H677" s="3"/>
      <c r="I677" s="3"/>
      <c r="J677" s="3" t="str">
        <f t="shared" si="89"/>
        <v>0</v>
      </c>
      <c r="K677" s="27" t="str">
        <f t="shared" si="90"/>
        <v> No Issue</v>
      </c>
      <c r="L677" s="3" t="str">
        <f t="shared" si="91"/>
        <v>No Issue</v>
      </c>
      <c r="M677" s="3" t="str">
        <f t="shared" si="92"/>
        <v>No Issue</v>
      </c>
      <c r="N677" s="3" t="str">
        <f t="shared" si="93"/>
        <v>No Issue</v>
      </c>
      <c r="O677" s="3" t="str">
        <f t="shared" si="94"/>
        <v>No Issue</v>
      </c>
      <c r="P677" s="3" t="str">
        <f t="shared" si="95"/>
        <v>NoIssue</v>
      </c>
    </row>
    <row r="678" ht="15.75" customHeight="1">
      <c r="A678" s="28">
        <v>25.0</v>
      </c>
      <c r="B678" s="29" t="s">
        <v>46</v>
      </c>
      <c r="C678" s="30">
        <v>53.49</v>
      </c>
      <c r="D678" s="3"/>
      <c r="E678" s="3"/>
      <c r="F678" s="3"/>
      <c r="G678" s="3"/>
      <c r="H678" s="3"/>
      <c r="I678" s="3"/>
      <c r="J678" s="3" t="str">
        <f t="shared" si="89"/>
        <v>0</v>
      </c>
      <c r="K678" s="27" t="str">
        <f t="shared" si="90"/>
        <v> No Issue</v>
      </c>
      <c r="L678" s="3" t="str">
        <f t="shared" si="91"/>
        <v>No Issue</v>
      </c>
      <c r="M678" s="3" t="str">
        <f t="shared" si="92"/>
        <v>No Issue</v>
      </c>
      <c r="N678" s="3" t="str">
        <f t="shared" si="93"/>
        <v>No Issue</v>
      </c>
      <c r="O678" s="3" t="str">
        <f t="shared" si="94"/>
        <v>No Issue</v>
      </c>
      <c r="P678" s="3" t="str">
        <f t="shared" si="95"/>
        <v>NoIssue</v>
      </c>
    </row>
    <row r="679" ht="15.75" customHeight="1">
      <c r="A679" s="28">
        <v>26.0</v>
      </c>
      <c r="B679" s="29" t="s">
        <v>47</v>
      </c>
      <c r="C679" s="30">
        <v>32.92</v>
      </c>
      <c r="D679" s="3"/>
      <c r="E679" s="3"/>
      <c r="F679" s="3"/>
      <c r="G679" s="3"/>
      <c r="H679" s="3"/>
      <c r="I679" s="3"/>
      <c r="J679" s="3" t="str">
        <f t="shared" si="89"/>
        <v>0</v>
      </c>
      <c r="K679" s="27" t="str">
        <f t="shared" si="90"/>
        <v> No Issue</v>
      </c>
      <c r="L679" s="3" t="str">
        <f t="shared" si="91"/>
        <v>No Issue</v>
      </c>
      <c r="M679" s="3" t="str">
        <f t="shared" si="92"/>
        <v>No Issue</v>
      </c>
      <c r="N679" s="3" t="str">
        <f t="shared" si="93"/>
        <v>No Issue</v>
      </c>
      <c r="O679" s="3" t="str">
        <f t="shared" si="94"/>
        <v>No Issue</v>
      </c>
      <c r="P679" s="3" t="str">
        <f t="shared" si="95"/>
        <v>NoIssue</v>
      </c>
    </row>
    <row r="680" ht="15.75" customHeight="1">
      <c r="A680" s="28">
        <v>27.0</v>
      </c>
      <c r="B680" s="29" t="s">
        <v>48</v>
      </c>
      <c r="C680" s="30">
        <v>116.68</v>
      </c>
      <c r="D680" s="3"/>
      <c r="E680" s="3"/>
      <c r="F680" s="3"/>
      <c r="G680" s="3"/>
      <c r="H680" s="3"/>
      <c r="I680" s="3"/>
      <c r="J680" s="3" t="str">
        <f t="shared" si="89"/>
        <v>0</v>
      </c>
      <c r="K680" s="27" t="str">
        <f t="shared" si="90"/>
        <v> No Issue</v>
      </c>
      <c r="L680" s="3" t="str">
        <f t="shared" si="91"/>
        <v>No Issue</v>
      </c>
      <c r="M680" s="3" t="str">
        <f t="shared" si="92"/>
        <v>No Issue</v>
      </c>
      <c r="N680" s="3" t="str">
        <f t="shared" si="93"/>
        <v>No Issue</v>
      </c>
      <c r="O680" s="3" t="str">
        <f t="shared" si="94"/>
        <v>No Issue</v>
      </c>
      <c r="P680" s="3" t="str">
        <f t="shared" si="95"/>
        <v>NoIssue</v>
      </c>
    </row>
    <row r="681" ht="15.75" customHeight="1">
      <c r="A681" s="28">
        <v>28.0</v>
      </c>
      <c r="B681" s="29" t="s">
        <v>49</v>
      </c>
      <c r="C681" s="30">
        <v>107.96</v>
      </c>
      <c r="D681" s="3"/>
      <c r="E681" s="3"/>
      <c r="F681" s="3"/>
      <c r="G681" s="3"/>
      <c r="H681" s="3"/>
      <c r="I681" s="3"/>
      <c r="J681" s="3" t="str">
        <f t="shared" si="89"/>
        <v>0</v>
      </c>
      <c r="K681" s="27" t="str">
        <f t="shared" si="90"/>
        <v> No Issue</v>
      </c>
      <c r="L681" s="3" t="str">
        <f t="shared" si="91"/>
        <v>No Issue</v>
      </c>
      <c r="M681" s="3" t="str">
        <f t="shared" si="92"/>
        <v>No Issue</v>
      </c>
      <c r="N681" s="3" t="str">
        <f t="shared" si="93"/>
        <v>No Issue</v>
      </c>
      <c r="O681" s="3" t="str">
        <f t="shared" si="94"/>
        <v>No Issue</v>
      </c>
      <c r="P681" s="3" t="str">
        <f t="shared" si="95"/>
        <v>NoIssue</v>
      </c>
    </row>
    <row r="682" ht="15.75" customHeight="1">
      <c r="A682" s="28">
        <v>29.0</v>
      </c>
      <c r="B682" s="29" t="s">
        <v>50</v>
      </c>
      <c r="C682" s="30">
        <v>248.89</v>
      </c>
      <c r="D682" s="3"/>
      <c r="E682" s="3"/>
      <c r="F682" s="3"/>
      <c r="G682" s="3"/>
      <c r="H682" s="3"/>
      <c r="I682" s="3"/>
      <c r="J682" s="3" t="str">
        <f t="shared" si="89"/>
        <v>0</v>
      </c>
      <c r="K682" s="27" t="str">
        <f t="shared" si="90"/>
        <v> No Issue</v>
      </c>
      <c r="L682" s="3" t="str">
        <f t="shared" si="91"/>
        <v>No Issue</v>
      </c>
      <c r="M682" s="3" t="str">
        <f t="shared" si="92"/>
        <v>No Issue</v>
      </c>
      <c r="N682" s="3" t="str">
        <f t="shared" si="93"/>
        <v>No Issue</v>
      </c>
      <c r="O682" s="3" t="str">
        <f t="shared" si="94"/>
        <v>No Issue</v>
      </c>
      <c r="P682" s="3" t="str">
        <f t="shared" si="95"/>
        <v>NoIssue</v>
      </c>
    </row>
    <row r="683" ht="15.75" customHeight="1">
      <c r="A683" s="28">
        <v>30.0</v>
      </c>
      <c r="B683" s="29" t="s">
        <v>51</v>
      </c>
      <c r="C683" s="30">
        <v>80.36</v>
      </c>
      <c r="D683" s="3"/>
      <c r="E683" s="3"/>
      <c r="F683" s="27"/>
      <c r="G683" s="27"/>
      <c r="H683" s="27"/>
      <c r="I683" s="3"/>
      <c r="J683" s="3" t="str">
        <f t="shared" si="89"/>
        <v>0</v>
      </c>
      <c r="K683" s="27" t="str">
        <f t="shared" si="90"/>
        <v> No Issue</v>
      </c>
      <c r="L683" s="3" t="str">
        <f t="shared" si="91"/>
        <v>No Issue</v>
      </c>
      <c r="M683" s="3" t="str">
        <f t="shared" si="92"/>
        <v>No Issue</v>
      </c>
      <c r="N683" s="3" t="str">
        <f t="shared" si="93"/>
        <v>No Issue</v>
      </c>
      <c r="O683" s="3" t="str">
        <f t="shared" si="94"/>
        <v>No Issue</v>
      </c>
      <c r="P683" s="3" t="str">
        <f t="shared" si="95"/>
        <v>NoIssue</v>
      </c>
    </row>
    <row r="684" ht="15.75" customHeight="1">
      <c r="A684" s="28">
        <v>31.0</v>
      </c>
      <c r="B684" s="29" t="s">
        <v>52</v>
      </c>
      <c r="C684" s="30">
        <v>52.46</v>
      </c>
      <c r="D684" s="3"/>
      <c r="E684" s="3"/>
      <c r="F684" s="27"/>
      <c r="G684" s="27"/>
      <c r="H684" s="27"/>
      <c r="I684" s="3"/>
      <c r="J684" s="3" t="str">
        <f t="shared" si="89"/>
        <v>0</v>
      </c>
      <c r="K684" s="27" t="str">
        <f t="shared" si="90"/>
        <v> No Issue</v>
      </c>
      <c r="L684" s="3" t="str">
        <f t="shared" si="91"/>
        <v>No Issue</v>
      </c>
      <c r="M684" s="3" t="str">
        <f t="shared" si="92"/>
        <v>No Issue</v>
      </c>
      <c r="N684" s="3" t="str">
        <f t="shared" si="93"/>
        <v>No Issue</v>
      </c>
      <c r="O684" s="3" t="str">
        <f t="shared" si="94"/>
        <v>No Issue</v>
      </c>
      <c r="P684" s="3" t="str">
        <f t="shared" si="95"/>
        <v>NoIssue</v>
      </c>
    </row>
    <row r="685" ht="15.75" customHeight="1">
      <c r="A685" s="28">
        <v>32.0</v>
      </c>
      <c r="B685" s="29" t="s">
        <v>53</v>
      </c>
      <c r="C685" s="30">
        <v>71.21</v>
      </c>
      <c r="D685" s="3"/>
      <c r="E685" s="3"/>
      <c r="F685" s="27"/>
      <c r="G685" s="27"/>
      <c r="H685" s="27"/>
      <c r="I685" s="3"/>
      <c r="J685" s="3" t="str">
        <f t="shared" si="89"/>
        <v>0</v>
      </c>
      <c r="K685" s="27" t="str">
        <f t="shared" si="90"/>
        <v> No Issue</v>
      </c>
      <c r="L685" s="3" t="str">
        <f t="shared" si="91"/>
        <v>No Issue</v>
      </c>
      <c r="M685" s="3" t="str">
        <f t="shared" si="92"/>
        <v>No Issue</v>
      </c>
      <c r="N685" s="3" t="str">
        <f t="shared" si="93"/>
        <v>No Issue</v>
      </c>
      <c r="O685" s="3" t="str">
        <f t="shared" si="94"/>
        <v>No Issue</v>
      </c>
      <c r="P685" s="3" t="str">
        <f t="shared" si="95"/>
        <v>NoIssue</v>
      </c>
    </row>
    <row r="686" ht="15.75" customHeight="1">
      <c r="A686" s="28">
        <v>33.0</v>
      </c>
      <c r="B686" s="29" t="s">
        <v>54</v>
      </c>
      <c r="C686" s="30">
        <v>80.35</v>
      </c>
      <c r="D686" s="3"/>
      <c r="E686" s="3"/>
      <c r="F686" s="27"/>
      <c r="G686" s="27"/>
      <c r="H686" s="27"/>
      <c r="I686" s="3"/>
      <c r="J686" s="3" t="str">
        <f t="shared" si="89"/>
        <v>0</v>
      </c>
      <c r="K686" s="27" t="str">
        <f t="shared" si="90"/>
        <v> No Issue</v>
      </c>
      <c r="L686" s="3" t="str">
        <f t="shared" si="91"/>
        <v>No Issue</v>
      </c>
      <c r="M686" s="3" t="str">
        <f t="shared" si="92"/>
        <v>No Issue</v>
      </c>
      <c r="N686" s="3" t="str">
        <f t="shared" si="93"/>
        <v>No Issue</v>
      </c>
      <c r="O686" s="3" t="str">
        <f t="shared" si="94"/>
        <v>No Issue</v>
      </c>
      <c r="P686" s="3" t="str">
        <f t="shared" si="95"/>
        <v>NoIssue</v>
      </c>
    </row>
    <row r="687" ht="15.75" customHeight="1">
      <c r="A687" s="28">
        <v>34.0</v>
      </c>
      <c r="B687" s="29" t="s">
        <v>55</v>
      </c>
      <c r="C687" s="30">
        <v>64.18</v>
      </c>
      <c r="D687" s="3"/>
      <c r="E687" s="3"/>
      <c r="F687" s="27"/>
      <c r="G687" s="27"/>
      <c r="H687" s="27"/>
      <c r="I687" s="3"/>
      <c r="J687" s="3" t="str">
        <f t="shared" si="89"/>
        <v>0</v>
      </c>
      <c r="K687" s="27" t="str">
        <f t="shared" si="90"/>
        <v> No Issue</v>
      </c>
      <c r="L687" s="3" t="str">
        <f t="shared" si="91"/>
        <v>No Issue</v>
      </c>
      <c r="M687" s="3" t="str">
        <f t="shared" si="92"/>
        <v>No Issue</v>
      </c>
      <c r="N687" s="3" t="str">
        <f t="shared" si="93"/>
        <v>No Issue</v>
      </c>
      <c r="O687" s="3" t="str">
        <f t="shared" si="94"/>
        <v>No Issue</v>
      </c>
      <c r="P687" s="3" t="str">
        <f t="shared" si="95"/>
        <v>NoIssue</v>
      </c>
    </row>
    <row r="688" ht="15.75" customHeight="1">
      <c r="A688" s="28">
        <v>35.0</v>
      </c>
      <c r="B688" s="29" t="s">
        <v>56</v>
      </c>
      <c r="C688" s="30">
        <v>36.9</v>
      </c>
      <c r="D688" s="3"/>
      <c r="E688" s="3"/>
      <c r="F688" s="27"/>
      <c r="G688" s="27"/>
      <c r="H688" s="27"/>
      <c r="I688" s="3"/>
      <c r="J688" s="3" t="str">
        <f t="shared" si="89"/>
        <v>0</v>
      </c>
      <c r="K688" s="27" t="str">
        <f t="shared" si="90"/>
        <v> No Issue</v>
      </c>
      <c r="L688" s="3" t="str">
        <f t="shared" si="91"/>
        <v>No Issue</v>
      </c>
      <c r="M688" s="3" t="str">
        <f t="shared" si="92"/>
        <v>No Issue</v>
      </c>
      <c r="N688" s="3" t="str">
        <f t="shared" si="93"/>
        <v>No Issue</v>
      </c>
      <c r="O688" s="3" t="str">
        <f t="shared" si="94"/>
        <v>No Issue</v>
      </c>
      <c r="P688" s="3" t="str">
        <f t="shared" si="95"/>
        <v>NoIssue</v>
      </c>
    </row>
    <row r="689" ht="15.75" customHeight="1">
      <c r="A689" s="28">
        <v>36.0</v>
      </c>
      <c r="B689" s="29" t="s">
        <v>57</v>
      </c>
      <c r="C689" s="30">
        <v>101.54</v>
      </c>
      <c r="D689" s="3"/>
      <c r="E689" s="3"/>
      <c r="F689" s="27"/>
      <c r="G689" s="27"/>
      <c r="H689" s="27"/>
      <c r="I689" s="3"/>
      <c r="J689" s="3" t="str">
        <f t="shared" si="89"/>
        <v>0</v>
      </c>
      <c r="K689" s="27" t="str">
        <f t="shared" si="90"/>
        <v> No Issue</v>
      </c>
      <c r="L689" s="3" t="str">
        <f t="shared" si="91"/>
        <v>No Issue</v>
      </c>
      <c r="M689" s="3" t="str">
        <f t="shared" si="92"/>
        <v>No Issue</v>
      </c>
      <c r="N689" s="3" t="str">
        <f t="shared" si="93"/>
        <v>No Issue</v>
      </c>
      <c r="O689" s="3" t="str">
        <f t="shared" si="94"/>
        <v>No Issue</v>
      </c>
      <c r="P689" s="3" t="str">
        <f t="shared" si="95"/>
        <v>NoIssue</v>
      </c>
    </row>
    <row r="690" ht="15.75" customHeight="1">
      <c r="A690" s="28">
        <v>37.0</v>
      </c>
      <c r="B690" s="29" t="s">
        <v>58</v>
      </c>
      <c r="C690" s="30">
        <v>40.5</v>
      </c>
      <c r="D690" s="3"/>
      <c r="E690" s="3"/>
      <c r="F690" s="27"/>
      <c r="G690" s="27"/>
      <c r="H690" s="27"/>
      <c r="I690" s="3"/>
      <c r="J690" s="3" t="str">
        <f t="shared" si="89"/>
        <v>0</v>
      </c>
      <c r="K690" s="27" t="str">
        <f t="shared" si="90"/>
        <v> No Issue</v>
      </c>
      <c r="L690" s="3" t="str">
        <f t="shared" si="91"/>
        <v>No Issue</v>
      </c>
      <c r="M690" s="3" t="str">
        <f t="shared" si="92"/>
        <v>No Issue</v>
      </c>
      <c r="N690" s="3" t="str">
        <f t="shared" si="93"/>
        <v>No Issue</v>
      </c>
      <c r="O690" s="3" t="str">
        <f t="shared" si="94"/>
        <v>No Issue</v>
      </c>
      <c r="P690" s="3" t="str">
        <f t="shared" si="95"/>
        <v>NoIssue</v>
      </c>
    </row>
    <row r="691" ht="15.75" customHeight="1">
      <c r="A691" s="28">
        <v>38.0</v>
      </c>
      <c r="B691" s="29" t="s">
        <v>59</v>
      </c>
      <c r="C691" s="30">
        <v>66.69</v>
      </c>
      <c r="D691" s="3"/>
      <c r="E691" s="3"/>
      <c r="F691" s="27"/>
      <c r="G691" s="27"/>
      <c r="H691" s="27"/>
      <c r="I691" s="3"/>
      <c r="J691" s="3" t="str">
        <f t="shared" si="89"/>
        <v>0</v>
      </c>
      <c r="K691" s="27" t="str">
        <f t="shared" si="90"/>
        <v> No Issue</v>
      </c>
      <c r="L691" s="3" t="str">
        <f t="shared" si="91"/>
        <v>No Issue</v>
      </c>
      <c r="M691" s="3" t="str">
        <f t="shared" si="92"/>
        <v>No Issue</v>
      </c>
      <c r="N691" s="3" t="str">
        <f t="shared" si="93"/>
        <v>No Issue</v>
      </c>
      <c r="O691" s="3" t="str">
        <f t="shared" si="94"/>
        <v>No Issue</v>
      </c>
      <c r="P691" s="3" t="str">
        <f t="shared" si="95"/>
        <v>NoIssue</v>
      </c>
    </row>
    <row r="692" ht="15.75" customHeight="1">
      <c r="A692" s="28">
        <v>39.0</v>
      </c>
      <c r="B692" s="29" t="s">
        <v>60</v>
      </c>
      <c r="C692" s="29">
        <v>150.85999999999999</v>
      </c>
      <c r="D692" s="3"/>
      <c r="E692" s="3"/>
      <c r="F692" s="27"/>
      <c r="G692" s="27"/>
      <c r="H692" s="27"/>
      <c r="I692" s="3"/>
      <c r="J692" s="3" t="str">
        <f t="shared" si="89"/>
        <v>0</v>
      </c>
      <c r="K692" s="27" t="str">
        <f t="shared" si="90"/>
        <v> No Issue</v>
      </c>
      <c r="L692" s="3" t="str">
        <f t="shared" si="91"/>
        <v>No Issue</v>
      </c>
      <c r="M692" s="3" t="str">
        <f t="shared" si="92"/>
        <v>No Issue</v>
      </c>
      <c r="N692" s="3" t="str">
        <f t="shared" si="93"/>
        <v>No Issue</v>
      </c>
      <c r="O692" s="3" t="str">
        <f t="shared" si="94"/>
        <v>No Issue</v>
      </c>
      <c r="P692" s="3" t="str">
        <f t="shared" si="95"/>
        <v>NoIssue</v>
      </c>
    </row>
    <row r="693" ht="15.75" customHeight="1">
      <c r="A693" s="28">
        <v>40.0</v>
      </c>
      <c r="B693" s="33" t="s">
        <v>61</v>
      </c>
      <c r="C693" s="30">
        <v>180.0</v>
      </c>
      <c r="D693" s="3"/>
      <c r="E693" s="3"/>
      <c r="F693" s="27"/>
      <c r="G693" s="27"/>
      <c r="H693" s="27"/>
      <c r="I693" s="3"/>
      <c r="J693" s="3" t="str">
        <f t="shared" si="89"/>
        <v>0</v>
      </c>
      <c r="K693" s="27" t="str">
        <f t="shared" si="90"/>
        <v> No Issue</v>
      </c>
      <c r="L693" s="3" t="str">
        <f t="shared" si="91"/>
        <v>No Issue</v>
      </c>
      <c r="M693" s="3" t="str">
        <f t="shared" si="92"/>
        <v>No Issue</v>
      </c>
      <c r="N693" s="3" t="str">
        <f t="shared" si="93"/>
        <v>No Issue</v>
      </c>
      <c r="O693" s="3" t="str">
        <f t="shared" si="94"/>
        <v>No Issue</v>
      </c>
      <c r="P693" s="3" t="str">
        <f t="shared" si="95"/>
        <v>NoIssue</v>
      </c>
    </row>
    <row r="694" ht="15.75" customHeight="1">
      <c r="A694" s="28">
        <v>41.0</v>
      </c>
      <c r="B694" s="33" t="s">
        <v>62</v>
      </c>
      <c r="C694" s="29">
        <v>128.57</v>
      </c>
      <c r="D694" s="3"/>
      <c r="E694" s="3"/>
      <c r="F694" s="27"/>
      <c r="G694" s="27"/>
      <c r="H694" s="27"/>
      <c r="I694" s="3"/>
      <c r="J694" s="3" t="str">
        <f t="shared" si="89"/>
        <v>0</v>
      </c>
      <c r="K694" s="27" t="str">
        <f t="shared" si="90"/>
        <v> No Issue</v>
      </c>
      <c r="L694" s="3" t="str">
        <f t="shared" si="91"/>
        <v>No Issue</v>
      </c>
      <c r="M694" s="3" t="str">
        <f t="shared" si="92"/>
        <v>No Issue</v>
      </c>
      <c r="N694" s="3" t="str">
        <f t="shared" si="93"/>
        <v>No Issue</v>
      </c>
      <c r="O694" s="3" t="str">
        <f t="shared" si="94"/>
        <v>No Issue</v>
      </c>
      <c r="P694" s="3" t="str">
        <f t="shared" si="95"/>
        <v>NoIssue</v>
      </c>
    </row>
    <row r="695" ht="15.75" customHeight="1">
      <c r="A695" s="28">
        <v>42.0</v>
      </c>
      <c r="B695" s="29"/>
      <c r="C695" s="29"/>
      <c r="D695" s="3"/>
      <c r="E695" s="3"/>
      <c r="F695" s="27"/>
      <c r="G695" s="27"/>
      <c r="H695" s="27"/>
      <c r="I695" s="3"/>
      <c r="J695" s="3" t="str">
        <f t="shared" si="89"/>
        <v>0</v>
      </c>
      <c r="K695" s="27" t="str">
        <f t="shared" si="90"/>
        <v> No Issue</v>
      </c>
      <c r="L695" s="3" t="str">
        <f t="shared" si="91"/>
        <v>No Issue</v>
      </c>
      <c r="M695" s="3" t="str">
        <f t="shared" si="92"/>
        <v>No Issue</v>
      </c>
      <c r="N695" s="3" t="str">
        <f t="shared" si="93"/>
        <v>No Issue</v>
      </c>
      <c r="O695" s="3" t="str">
        <f t="shared" si="94"/>
        <v>No Issue</v>
      </c>
      <c r="P695" s="3" t="str">
        <f t="shared" si="95"/>
        <v>NoIssue</v>
      </c>
    </row>
    <row r="696" ht="15.75" customHeight="1">
      <c r="A696" s="28">
        <v>43.0</v>
      </c>
      <c r="B696" s="34"/>
      <c r="C696" s="34"/>
      <c r="D696" s="3"/>
      <c r="E696" s="3"/>
      <c r="F696" s="27"/>
      <c r="G696" s="27"/>
      <c r="H696" s="27"/>
      <c r="I696" s="3"/>
      <c r="J696" s="3" t="str">
        <f t="shared" si="89"/>
        <v>0</v>
      </c>
      <c r="K696" s="27" t="str">
        <f t="shared" si="90"/>
        <v> No Issue</v>
      </c>
      <c r="L696" s="3" t="str">
        <f t="shared" si="91"/>
        <v>No Issue</v>
      </c>
      <c r="M696" s="3" t="str">
        <f t="shared" si="92"/>
        <v>No Issue</v>
      </c>
      <c r="N696" s="3" t="str">
        <f t="shared" si="93"/>
        <v>No Issue</v>
      </c>
      <c r="O696" s="3" t="str">
        <f t="shared" si="94"/>
        <v>No Issue</v>
      </c>
      <c r="P696" s="3" t="str">
        <f t="shared" si="95"/>
        <v>NoIssue</v>
      </c>
    </row>
    <row r="697" ht="15.75" customHeight="1">
      <c r="A697" s="28">
        <v>44.0</v>
      </c>
      <c r="B697" s="34"/>
      <c r="C697" s="34"/>
      <c r="D697" s="3"/>
      <c r="E697" s="3"/>
      <c r="F697" s="27"/>
      <c r="G697" s="27"/>
      <c r="H697" s="27"/>
      <c r="I697" s="3"/>
      <c r="J697" s="3" t="str">
        <f t="shared" si="89"/>
        <v>0</v>
      </c>
      <c r="K697" s="27" t="str">
        <f t="shared" si="90"/>
        <v> No Issue</v>
      </c>
      <c r="L697" s="3" t="str">
        <f t="shared" si="91"/>
        <v>No Issue</v>
      </c>
      <c r="M697" s="3" t="str">
        <f t="shared" si="92"/>
        <v>No Issue</v>
      </c>
      <c r="N697" s="3" t="str">
        <f t="shared" si="93"/>
        <v>No Issue</v>
      </c>
      <c r="O697" s="3" t="str">
        <f t="shared" si="94"/>
        <v>No Issue</v>
      </c>
      <c r="P697" s="3" t="str">
        <f t="shared" si="95"/>
        <v>NoIssue</v>
      </c>
    </row>
    <row r="698" ht="15.75" customHeight="1">
      <c r="A698" s="28">
        <v>45.0</v>
      </c>
      <c r="B698" s="34"/>
      <c r="C698" s="34"/>
      <c r="D698" s="3"/>
      <c r="E698" s="3"/>
      <c r="F698" s="27"/>
      <c r="G698" s="27"/>
      <c r="H698" s="27"/>
      <c r="I698" s="3"/>
      <c r="J698" s="3" t="str">
        <f t="shared" si="89"/>
        <v>0</v>
      </c>
      <c r="K698" s="27" t="str">
        <f t="shared" si="90"/>
        <v> No Issue</v>
      </c>
      <c r="L698" s="3" t="str">
        <f t="shared" si="91"/>
        <v>No Issue</v>
      </c>
      <c r="M698" s="3" t="str">
        <f t="shared" si="92"/>
        <v>No Issue</v>
      </c>
      <c r="N698" s="3" t="str">
        <f t="shared" si="93"/>
        <v>No Issue</v>
      </c>
      <c r="O698" s="3" t="str">
        <f t="shared" si="94"/>
        <v>No Issue</v>
      </c>
      <c r="P698" s="3" t="str">
        <f t="shared" si="95"/>
        <v>NoIssue</v>
      </c>
    </row>
    <row r="699" ht="15.75" customHeight="1">
      <c r="A699" s="28">
        <v>46.0</v>
      </c>
      <c r="B699" s="34"/>
      <c r="C699" s="34"/>
      <c r="D699" s="3"/>
      <c r="E699" s="3"/>
      <c r="F699" s="27"/>
      <c r="G699" s="27"/>
      <c r="H699" s="27"/>
      <c r="I699" s="3"/>
      <c r="J699" s="3" t="str">
        <f t="shared" si="89"/>
        <v>0</v>
      </c>
      <c r="K699" s="27" t="str">
        <f t="shared" si="90"/>
        <v> No Issue</v>
      </c>
      <c r="L699" s="3" t="str">
        <f t="shared" si="91"/>
        <v>No Issue</v>
      </c>
      <c r="M699" s="3" t="str">
        <f t="shared" si="92"/>
        <v>No Issue</v>
      </c>
      <c r="N699" s="3" t="str">
        <f t="shared" si="93"/>
        <v>No Issue</v>
      </c>
      <c r="O699" s="3" t="str">
        <f t="shared" si="94"/>
        <v>No Issue</v>
      </c>
      <c r="P699" s="3" t="str">
        <f t="shared" si="95"/>
        <v>NoIssue</v>
      </c>
    </row>
    <row r="700" ht="15.75" customHeight="1">
      <c r="A700" s="28">
        <v>47.0</v>
      </c>
      <c r="B700" s="35"/>
      <c r="C700" s="36"/>
      <c r="D700" s="3"/>
      <c r="E700" s="3"/>
      <c r="F700" s="27"/>
      <c r="G700" s="27"/>
      <c r="H700" s="27"/>
      <c r="I700" s="3"/>
      <c r="J700" s="3" t="str">
        <f t="shared" si="89"/>
        <v>0</v>
      </c>
      <c r="K700" s="27" t="str">
        <f t="shared" si="90"/>
        <v> No Issue</v>
      </c>
      <c r="L700" s="3" t="str">
        <f t="shared" si="91"/>
        <v>No Issue</v>
      </c>
      <c r="M700" s="3" t="str">
        <f t="shared" si="92"/>
        <v>No Issue</v>
      </c>
      <c r="N700" s="3" t="str">
        <f t="shared" si="93"/>
        <v>No Issue</v>
      </c>
      <c r="O700" s="3" t="str">
        <f t="shared" si="94"/>
        <v>No Issue</v>
      </c>
      <c r="P700" s="3" t="str">
        <f t="shared" si="95"/>
        <v>NoIssue</v>
      </c>
    </row>
    <row r="701" ht="15.75" customHeight="1">
      <c r="A701" s="28">
        <v>48.0</v>
      </c>
      <c r="B701" s="35"/>
      <c r="C701" s="36"/>
      <c r="D701" s="3"/>
      <c r="E701" s="3"/>
      <c r="F701" s="27"/>
      <c r="G701" s="27"/>
      <c r="H701" s="27"/>
      <c r="I701" s="3"/>
      <c r="J701" s="3" t="str">
        <f t="shared" si="89"/>
        <v>0</v>
      </c>
      <c r="K701" s="27" t="str">
        <f t="shared" si="90"/>
        <v> No Issue</v>
      </c>
      <c r="L701" s="3" t="str">
        <f t="shared" si="91"/>
        <v>No Issue</v>
      </c>
      <c r="M701" s="3" t="str">
        <f t="shared" si="92"/>
        <v>No Issue</v>
      </c>
      <c r="N701" s="3" t="str">
        <f t="shared" si="93"/>
        <v>No Issue</v>
      </c>
      <c r="O701" s="3" t="str">
        <f t="shared" si="94"/>
        <v>No Issue</v>
      </c>
      <c r="P701" s="3" t="str">
        <f t="shared" si="95"/>
        <v>NoIssue</v>
      </c>
    </row>
    <row r="702" ht="15.75" customHeight="1">
      <c r="A702" s="28">
        <v>49.0</v>
      </c>
      <c r="B702" s="35"/>
      <c r="C702" s="36"/>
      <c r="D702" s="3"/>
      <c r="E702" s="3"/>
      <c r="F702" s="27"/>
      <c r="G702" s="27"/>
      <c r="H702" s="27"/>
      <c r="I702" s="3"/>
      <c r="J702" s="3" t="str">
        <f t="shared" si="89"/>
        <v>0</v>
      </c>
      <c r="K702" s="27" t="str">
        <f t="shared" si="90"/>
        <v> No Issue</v>
      </c>
      <c r="L702" s="3" t="str">
        <f t="shared" si="91"/>
        <v>No Issue</v>
      </c>
      <c r="M702" s="3" t="str">
        <f t="shared" si="92"/>
        <v>No Issue</v>
      </c>
      <c r="N702" s="3" t="str">
        <f t="shared" si="93"/>
        <v>No Issue</v>
      </c>
      <c r="O702" s="3" t="str">
        <f t="shared" si="94"/>
        <v>No Issue</v>
      </c>
      <c r="P702" s="3" t="str">
        <f t="shared" si="95"/>
        <v>NoIssue</v>
      </c>
    </row>
    <row r="703" ht="15.75" customHeight="1">
      <c r="A703" s="28">
        <v>50.0</v>
      </c>
      <c r="B703" s="35"/>
      <c r="C703" s="36"/>
      <c r="D703" s="3"/>
      <c r="E703" s="3"/>
      <c r="F703" s="27"/>
      <c r="G703" s="27"/>
      <c r="H703" s="27"/>
      <c r="I703" s="3"/>
      <c r="J703" s="3" t="str">
        <f t="shared" si="89"/>
        <v>0</v>
      </c>
      <c r="K703" s="27" t="str">
        <f t="shared" si="90"/>
        <v> No Issue</v>
      </c>
      <c r="L703" s="3" t="str">
        <f t="shared" si="91"/>
        <v>No Issue</v>
      </c>
      <c r="M703" s="3" t="str">
        <f t="shared" si="92"/>
        <v>No Issue</v>
      </c>
      <c r="N703" s="3" t="str">
        <f t="shared" si="93"/>
        <v>No Issue</v>
      </c>
      <c r="O703" s="3" t="str">
        <f t="shared" si="94"/>
        <v>No Issue</v>
      </c>
      <c r="P703" s="3" t="str">
        <f t="shared" si="95"/>
        <v>NoIssue</v>
      </c>
    </row>
    <row r="704" ht="15.75" customHeight="1">
      <c r="A704" s="28">
        <v>51.0</v>
      </c>
      <c r="B704" s="35"/>
      <c r="C704" s="36"/>
      <c r="D704" s="3"/>
      <c r="E704" s="3"/>
      <c r="F704" s="27"/>
      <c r="G704" s="27"/>
      <c r="H704" s="27"/>
      <c r="I704" s="3"/>
      <c r="J704" s="3" t="str">
        <f t="shared" si="89"/>
        <v>0</v>
      </c>
      <c r="K704" s="27" t="str">
        <f t="shared" si="90"/>
        <v> No Issue</v>
      </c>
      <c r="L704" s="3" t="str">
        <f t="shared" si="91"/>
        <v>No Issue</v>
      </c>
      <c r="M704" s="3" t="str">
        <f t="shared" si="92"/>
        <v>No Issue</v>
      </c>
      <c r="N704" s="3" t="str">
        <f t="shared" si="93"/>
        <v>No Issue</v>
      </c>
      <c r="O704" s="3" t="str">
        <f t="shared" si="94"/>
        <v>No Issue</v>
      </c>
      <c r="P704" s="3" t="str">
        <f t="shared" si="95"/>
        <v>NoIssue</v>
      </c>
    </row>
    <row r="705" ht="15.75" customHeight="1">
      <c r="A705" s="28">
        <v>52.0</v>
      </c>
      <c r="B705" s="35"/>
      <c r="C705" s="36"/>
      <c r="D705" s="3"/>
      <c r="E705" s="3"/>
      <c r="F705" s="27"/>
      <c r="G705" s="27"/>
      <c r="H705" s="27"/>
      <c r="I705" s="3"/>
      <c r="J705" s="3" t="str">
        <f t="shared" si="89"/>
        <v>0</v>
      </c>
      <c r="K705" s="27" t="str">
        <f t="shared" si="90"/>
        <v> No Issue</v>
      </c>
      <c r="L705" s="3" t="str">
        <f t="shared" si="91"/>
        <v>No Issue</v>
      </c>
      <c r="M705" s="3" t="str">
        <f t="shared" si="92"/>
        <v>No Issue</v>
      </c>
      <c r="N705" s="3" t="str">
        <f t="shared" si="93"/>
        <v>No Issue</v>
      </c>
      <c r="O705" s="3" t="str">
        <f t="shared" si="94"/>
        <v>No Issue</v>
      </c>
      <c r="P705" s="3" t="str">
        <f t="shared" si="95"/>
        <v>NoIssue</v>
      </c>
    </row>
    <row r="706" ht="15.75" customHeight="1">
      <c r="A706" s="28">
        <v>53.0</v>
      </c>
      <c r="B706" s="35"/>
      <c r="C706" s="36"/>
      <c r="D706" s="3"/>
      <c r="E706" s="3"/>
      <c r="F706" s="27"/>
      <c r="G706" s="27"/>
      <c r="H706" s="27"/>
      <c r="I706" s="3"/>
      <c r="J706" s="3" t="str">
        <f t="shared" si="89"/>
        <v>0</v>
      </c>
      <c r="K706" s="27" t="str">
        <f t="shared" si="90"/>
        <v> No Issue</v>
      </c>
      <c r="L706" s="3" t="str">
        <f t="shared" si="91"/>
        <v>No Issue</v>
      </c>
      <c r="M706" s="3" t="str">
        <f t="shared" si="92"/>
        <v>No Issue</v>
      </c>
      <c r="N706" s="3" t="str">
        <f t="shared" si="93"/>
        <v>No Issue</v>
      </c>
      <c r="O706" s="3" t="str">
        <f t="shared" si="94"/>
        <v>No Issue</v>
      </c>
      <c r="P706" s="3" t="str">
        <f t="shared" si="95"/>
        <v>NoIssue</v>
      </c>
    </row>
    <row r="707" ht="15.75" customHeight="1">
      <c r="A707" s="28">
        <v>54.0</v>
      </c>
      <c r="B707" s="34"/>
      <c r="C707" s="34"/>
      <c r="D707" s="3"/>
      <c r="E707" s="3"/>
      <c r="F707" s="27"/>
      <c r="G707" s="27"/>
      <c r="H707" s="27"/>
      <c r="I707" s="3"/>
      <c r="J707" s="3" t="str">
        <f t="shared" si="89"/>
        <v>0</v>
      </c>
      <c r="K707" s="27" t="str">
        <f t="shared" si="90"/>
        <v> No Issue</v>
      </c>
      <c r="L707" s="3" t="str">
        <f t="shared" si="91"/>
        <v>No Issue</v>
      </c>
      <c r="M707" s="3" t="str">
        <f t="shared" si="92"/>
        <v>No Issue</v>
      </c>
      <c r="N707" s="3" t="str">
        <f t="shared" si="93"/>
        <v>No Issue</v>
      </c>
      <c r="O707" s="3" t="str">
        <f t="shared" si="94"/>
        <v>No Issue</v>
      </c>
      <c r="P707" s="3" t="str">
        <f t="shared" si="95"/>
        <v>NoIssue</v>
      </c>
    </row>
    <row r="708" ht="15.75" customHeight="1">
      <c r="A708" s="28">
        <v>55.0</v>
      </c>
      <c r="B708" s="35"/>
      <c r="C708" s="36"/>
      <c r="D708" s="3"/>
      <c r="E708" s="3"/>
      <c r="F708" s="27"/>
      <c r="G708" s="27"/>
      <c r="H708" s="27"/>
      <c r="I708" s="3"/>
      <c r="J708" s="3" t="str">
        <f t="shared" si="89"/>
        <v>0</v>
      </c>
      <c r="K708" s="27" t="str">
        <f t="shared" si="90"/>
        <v> No Issue</v>
      </c>
      <c r="L708" s="3" t="str">
        <f t="shared" si="91"/>
        <v>No Issue</v>
      </c>
      <c r="M708" s="3" t="str">
        <f t="shared" si="92"/>
        <v>No Issue</v>
      </c>
      <c r="N708" s="3" t="str">
        <f t="shared" si="93"/>
        <v>No Issue</v>
      </c>
      <c r="O708" s="3" t="str">
        <f t="shared" si="94"/>
        <v>No Issue</v>
      </c>
      <c r="P708" s="3" t="str">
        <f t="shared" si="95"/>
        <v>NoIssue</v>
      </c>
    </row>
    <row r="709" ht="15.75" customHeight="1">
      <c r="A709" s="28">
        <v>56.0</v>
      </c>
      <c r="B709" s="35"/>
      <c r="C709" s="36"/>
      <c r="D709" s="3"/>
      <c r="E709" s="3"/>
      <c r="F709" s="27"/>
      <c r="G709" s="27"/>
      <c r="H709" s="27"/>
      <c r="I709" s="3"/>
      <c r="J709" s="3" t="str">
        <f t="shared" si="89"/>
        <v>0</v>
      </c>
      <c r="K709" s="27" t="str">
        <f t="shared" si="90"/>
        <v> No Issue</v>
      </c>
      <c r="L709" s="3" t="str">
        <f t="shared" si="91"/>
        <v>No Issue</v>
      </c>
      <c r="M709" s="3" t="str">
        <f t="shared" si="92"/>
        <v>No Issue</v>
      </c>
      <c r="N709" s="3" t="str">
        <f t="shared" si="93"/>
        <v>No Issue</v>
      </c>
      <c r="O709" s="3" t="str">
        <f t="shared" si="94"/>
        <v>No Issue</v>
      </c>
      <c r="P709" s="3" t="str">
        <f t="shared" si="95"/>
        <v>NoIssue</v>
      </c>
    </row>
    <row r="710" ht="15.75" customHeight="1">
      <c r="A710" s="28"/>
      <c r="B710" s="3" t="s">
        <v>64</v>
      </c>
      <c r="C710" s="35"/>
      <c r="D710" s="3" t="str">
        <f t="shared" ref="D710:I710" si="96">SUMPRODUCT(D654:D709,$C654:$C709)</f>
        <v>0</v>
      </c>
      <c r="E710" s="3" t="str">
        <f t="shared" si="96"/>
        <v>0</v>
      </c>
      <c r="F710" s="3" t="str">
        <f t="shared" si="96"/>
        <v>0</v>
      </c>
      <c r="G710" s="3" t="str">
        <f t="shared" si="96"/>
        <v>0</v>
      </c>
      <c r="H710" s="3" t="str">
        <f t="shared" si="96"/>
        <v>0</v>
      </c>
      <c r="I710" s="3" t="str">
        <f t="shared" si="96"/>
        <v>0</v>
      </c>
      <c r="J710" s="3" t="str">
        <f t="shared" si="89"/>
        <v>0</v>
      </c>
      <c r="K710" s="27" t="str">
        <f t="shared" si="90"/>
        <v> No Issue</v>
      </c>
      <c r="L710" s="3" t="str">
        <f t="shared" si="91"/>
        <v>No Issue</v>
      </c>
      <c r="M710" s="3" t="str">
        <f t="shared" si="92"/>
        <v>No Issue</v>
      </c>
      <c r="N710" s="3" t="str">
        <f t="shared" si="93"/>
        <v>No Issue</v>
      </c>
      <c r="O710" s="3" t="str">
        <f t="shared" si="94"/>
        <v>No Issue</v>
      </c>
      <c r="P710" s="3" t="str">
        <f t="shared" si="95"/>
        <v>NoIssue</v>
      </c>
    </row>
    <row r="711" ht="15.75" customHeight="1">
      <c r="A711" s="10"/>
      <c r="B711" s="11" t="s">
        <v>3</v>
      </c>
      <c r="C711" s="39"/>
      <c r="D711" s="13"/>
      <c r="E711" s="11"/>
      <c r="F711" s="15"/>
      <c r="G711" s="16"/>
      <c r="H711" s="17"/>
      <c r="I711" s="15"/>
      <c r="J711" s="18"/>
      <c r="K711" s="19" t="s">
        <v>5</v>
      </c>
      <c r="L711" s="20"/>
      <c r="M711" s="20"/>
      <c r="N711" s="20"/>
      <c r="O711" s="20"/>
      <c r="P711" s="21"/>
    </row>
    <row r="712" ht="15.75" customHeight="1">
      <c r="A712" s="40" t="s">
        <v>6</v>
      </c>
      <c r="B712" s="27" t="s">
        <v>7</v>
      </c>
      <c r="C712" s="27" t="s">
        <v>8</v>
      </c>
      <c r="D712" s="26" t="s">
        <v>9</v>
      </c>
      <c r="E712" s="26" t="s">
        <v>10</v>
      </c>
      <c r="F712" s="26" t="s">
        <v>11</v>
      </c>
      <c r="G712" s="26" t="s">
        <v>12</v>
      </c>
      <c r="H712" s="26" t="s">
        <v>13</v>
      </c>
      <c r="I712" s="26" t="s">
        <v>14</v>
      </c>
      <c r="J712" s="26" t="s">
        <v>15</v>
      </c>
      <c r="K712" s="27" t="s">
        <v>16</v>
      </c>
      <c r="L712" s="27" t="s">
        <v>17</v>
      </c>
      <c r="M712" s="27" t="s">
        <v>18</v>
      </c>
      <c r="N712" s="27" t="s">
        <v>19</v>
      </c>
      <c r="O712" s="27" t="s">
        <v>20</v>
      </c>
      <c r="P712" s="27" t="s">
        <v>21</v>
      </c>
    </row>
    <row r="713" ht="15.75" customHeight="1">
      <c r="A713" s="28">
        <v>1.0</v>
      </c>
      <c r="B713" s="29" t="s">
        <v>22</v>
      </c>
      <c r="C713" s="30">
        <v>192.17</v>
      </c>
      <c r="D713" s="3"/>
      <c r="E713" s="3"/>
      <c r="F713" s="3"/>
      <c r="G713" s="3"/>
      <c r="H713" s="3"/>
      <c r="I713" s="3"/>
      <c r="J713" s="3" t="str">
        <f t="shared" ref="J713:J769" si="97">D713+E713-F713-G713+H713</f>
        <v>0</v>
      </c>
      <c r="K713" s="27" t="str">
        <f t="shared" ref="K713:K769" si="98">IF(I713&lt;&gt;(D713+E713-F713-G713+H713),"Closing stock Not Correct-Problem"," No Issue")</f>
        <v> No Issue</v>
      </c>
      <c r="L713" s="3" t="str">
        <f t="shared" ref="L713:L769" si="99">IF((D713+E713)&lt;F713,"High Sale and Less Stock-Problem","No Issue")</f>
        <v>No Issue</v>
      </c>
      <c r="M713" s="3" t="str">
        <f t="shared" ref="M713:M769" si="100">IF(AND((D713+E713+I713)=0,F713&gt;0),"No Stock Sale Present Problem","No Issue")</f>
        <v>No Issue</v>
      </c>
      <c r="N713" s="3" t="str">
        <f t="shared" ref="N713:N769" si="101">IF(AND(SUM(D713:H713)=0,I713&gt;0),"Only Closing Entered Other Parameters No Entired Problem","No Issue")</f>
        <v>No Issue</v>
      </c>
      <c r="O713" s="3" t="str">
        <f t="shared" ref="O713:O769" si="102">IF(F713&gt;5000,"Check Once Sales quantity or Value Problem","No Issue")</f>
        <v>No Issue</v>
      </c>
      <c r="P713" s="3" t="str">
        <f t="shared" ref="P713:P769" si="103">IF(I713&gt;5000,"Check Once Closing quantity or Value Problem","NoIssue")</f>
        <v>NoIssue</v>
      </c>
    </row>
    <row r="714" ht="15.75" customHeight="1">
      <c r="A714" s="28">
        <v>2.0</v>
      </c>
      <c r="B714" s="29" t="s">
        <v>23</v>
      </c>
      <c r="C714" s="30">
        <v>9.26</v>
      </c>
      <c r="D714" s="3"/>
      <c r="E714" s="3"/>
      <c r="F714" s="3"/>
      <c r="G714" s="3"/>
      <c r="H714" s="3"/>
      <c r="I714" s="3"/>
      <c r="J714" s="3" t="str">
        <f t="shared" si="97"/>
        <v>0</v>
      </c>
      <c r="K714" s="27" t="str">
        <f t="shared" si="98"/>
        <v> No Issue</v>
      </c>
      <c r="L714" s="3" t="str">
        <f t="shared" si="99"/>
        <v>No Issue</v>
      </c>
      <c r="M714" s="3" t="str">
        <f t="shared" si="100"/>
        <v>No Issue</v>
      </c>
      <c r="N714" s="3" t="str">
        <f t="shared" si="101"/>
        <v>No Issue</v>
      </c>
      <c r="O714" s="3" t="str">
        <f t="shared" si="102"/>
        <v>No Issue</v>
      </c>
      <c r="P714" s="3" t="str">
        <f t="shared" si="103"/>
        <v>NoIssue</v>
      </c>
    </row>
    <row r="715" ht="15.75" customHeight="1">
      <c r="A715" s="28">
        <v>3.0</v>
      </c>
      <c r="B715" s="29" t="s">
        <v>24</v>
      </c>
      <c r="C715" s="30">
        <v>87.79</v>
      </c>
      <c r="D715" s="3"/>
      <c r="E715" s="3"/>
      <c r="F715" s="3"/>
      <c r="G715" s="3"/>
      <c r="H715" s="3"/>
      <c r="I715" s="3"/>
      <c r="J715" s="3" t="str">
        <f t="shared" si="97"/>
        <v>0</v>
      </c>
      <c r="K715" s="27" t="str">
        <f t="shared" si="98"/>
        <v> No Issue</v>
      </c>
      <c r="L715" s="3" t="str">
        <f t="shared" si="99"/>
        <v>No Issue</v>
      </c>
      <c r="M715" s="3" t="str">
        <f t="shared" si="100"/>
        <v>No Issue</v>
      </c>
      <c r="N715" s="3" t="str">
        <f t="shared" si="101"/>
        <v>No Issue</v>
      </c>
      <c r="O715" s="3" t="str">
        <f t="shared" si="102"/>
        <v>No Issue</v>
      </c>
      <c r="P715" s="3" t="str">
        <f t="shared" si="103"/>
        <v>NoIssue</v>
      </c>
    </row>
    <row r="716" ht="15.75" customHeight="1">
      <c r="A716" s="28">
        <v>4.0</v>
      </c>
      <c r="B716" s="29" t="s">
        <v>25</v>
      </c>
      <c r="C716" s="30">
        <v>55.55</v>
      </c>
      <c r="D716" s="3"/>
      <c r="E716" s="3"/>
      <c r="F716" s="3"/>
      <c r="G716" s="3"/>
      <c r="H716" s="3"/>
      <c r="I716" s="3"/>
      <c r="J716" s="3" t="str">
        <f t="shared" si="97"/>
        <v>0</v>
      </c>
      <c r="K716" s="27" t="str">
        <f t="shared" si="98"/>
        <v> No Issue</v>
      </c>
      <c r="L716" s="3" t="str">
        <f t="shared" si="99"/>
        <v>No Issue</v>
      </c>
      <c r="M716" s="3" t="str">
        <f t="shared" si="100"/>
        <v>No Issue</v>
      </c>
      <c r="N716" s="3" t="str">
        <f t="shared" si="101"/>
        <v>No Issue</v>
      </c>
      <c r="O716" s="3" t="str">
        <f t="shared" si="102"/>
        <v>No Issue</v>
      </c>
      <c r="P716" s="3" t="str">
        <f t="shared" si="103"/>
        <v>NoIssue</v>
      </c>
    </row>
    <row r="717" ht="15.75" customHeight="1">
      <c r="A717" s="28">
        <v>5.0</v>
      </c>
      <c r="B717" s="29" t="s">
        <v>26</v>
      </c>
      <c r="C717" s="30">
        <v>70.01</v>
      </c>
      <c r="D717" s="3"/>
      <c r="E717" s="3"/>
      <c r="F717" s="3"/>
      <c r="G717" s="3"/>
      <c r="H717" s="3"/>
      <c r="I717" s="3"/>
      <c r="J717" s="3" t="str">
        <f t="shared" si="97"/>
        <v>0</v>
      </c>
      <c r="K717" s="27" t="str">
        <f t="shared" si="98"/>
        <v> No Issue</v>
      </c>
      <c r="L717" s="3" t="str">
        <f t="shared" si="99"/>
        <v>No Issue</v>
      </c>
      <c r="M717" s="3" t="str">
        <f t="shared" si="100"/>
        <v>No Issue</v>
      </c>
      <c r="N717" s="3" t="str">
        <f t="shared" si="101"/>
        <v>No Issue</v>
      </c>
      <c r="O717" s="3" t="str">
        <f t="shared" si="102"/>
        <v>No Issue</v>
      </c>
      <c r="P717" s="3" t="str">
        <f t="shared" si="103"/>
        <v>NoIssue</v>
      </c>
    </row>
    <row r="718" ht="15.75" customHeight="1">
      <c r="A718" s="28">
        <v>6.0</v>
      </c>
      <c r="B718" s="29" t="s">
        <v>27</v>
      </c>
      <c r="C718" s="30">
        <v>73.92999999999999</v>
      </c>
      <c r="D718" s="3"/>
      <c r="E718" s="3"/>
      <c r="F718" s="3"/>
      <c r="G718" s="3"/>
      <c r="H718" s="3"/>
      <c r="I718" s="3"/>
      <c r="J718" s="3" t="str">
        <f t="shared" si="97"/>
        <v>0</v>
      </c>
      <c r="K718" s="27" t="str">
        <f t="shared" si="98"/>
        <v> No Issue</v>
      </c>
      <c r="L718" s="3" t="str">
        <f t="shared" si="99"/>
        <v>No Issue</v>
      </c>
      <c r="M718" s="3" t="str">
        <f t="shared" si="100"/>
        <v>No Issue</v>
      </c>
      <c r="N718" s="3" t="str">
        <f t="shared" si="101"/>
        <v>No Issue</v>
      </c>
      <c r="O718" s="3" t="str">
        <f t="shared" si="102"/>
        <v>No Issue</v>
      </c>
      <c r="P718" s="3" t="str">
        <f t="shared" si="103"/>
        <v>NoIssue</v>
      </c>
    </row>
    <row r="719" ht="15.75" customHeight="1">
      <c r="A719" s="28">
        <v>7.0</v>
      </c>
      <c r="B719" s="29" t="s">
        <v>28</v>
      </c>
      <c r="C719" s="30">
        <v>13.91</v>
      </c>
      <c r="D719" s="3"/>
      <c r="E719" s="3"/>
      <c r="F719" s="3"/>
      <c r="G719" s="3"/>
      <c r="H719" s="3"/>
      <c r="I719" s="3"/>
      <c r="J719" s="3" t="str">
        <f t="shared" si="97"/>
        <v>0</v>
      </c>
      <c r="K719" s="27" t="str">
        <f t="shared" si="98"/>
        <v> No Issue</v>
      </c>
      <c r="L719" s="3" t="str">
        <f t="shared" si="99"/>
        <v>No Issue</v>
      </c>
      <c r="M719" s="3" t="str">
        <f t="shared" si="100"/>
        <v>No Issue</v>
      </c>
      <c r="N719" s="3" t="str">
        <f t="shared" si="101"/>
        <v>No Issue</v>
      </c>
      <c r="O719" s="3" t="str">
        <f t="shared" si="102"/>
        <v>No Issue</v>
      </c>
      <c r="P719" s="3" t="str">
        <f t="shared" si="103"/>
        <v>NoIssue</v>
      </c>
    </row>
    <row r="720" ht="15.75" customHeight="1">
      <c r="A720" s="28">
        <v>8.0</v>
      </c>
      <c r="B720" s="29" t="s">
        <v>29</v>
      </c>
      <c r="C720" s="30">
        <v>19.5</v>
      </c>
      <c r="D720" s="3"/>
      <c r="E720" s="3"/>
      <c r="F720" s="3"/>
      <c r="G720" s="3"/>
      <c r="H720" s="3"/>
      <c r="I720" s="3"/>
      <c r="J720" s="3" t="str">
        <f t="shared" si="97"/>
        <v>0</v>
      </c>
      <c r="K720" s="27" t="str">
        <f t="shared" si="98"/>
        <v> No Issue</v>
      </c>
      <c r="L720" s="3" t="str">
        <f t="shared" si="99"/>
        <v>No Issue</v>
      </c>
      <c r="M720" s="3" t="str">
        <f t="shared" si="100"/>
        <v>No Issue</v>
      </c>
      <c r="N720" s="3" t="str">
        <f t="shared" si="101"/>
        <v>No Issue</v>
      </c>
      <c r="O720" s="3" t="str">
        <f t="shared" si="102"/>
        <v>No Issue</v>
      </c>
      <c r="P720" s="3" t="str">
        <f t="shared" si="103"/>
        <v>NoIssue</v>
      </c>
    </row>
    <row r="721" ht="15.75" customHeight="1">
      <c r="A721" s="28">
        <v>9.0</v>
      </c>
      <c r="B721" s="29" t="s">
        <v>30</v>
      </c>
      <c r="C721" s="30">
        <v>28.83</v>
      </c>
      <c r="D721" s="3"/>
      <c r="E721" s="3"/>
      <c r="F721" s="3"/>
      <c r="G721" s="3"/>
      <c r="H721" s="3"/>
      <c r="I721" s="3"/>
      <c r="J721" s="3" t="str">
        <f t="shared" si="97"/>
        <v>0</v>
      </c>
      <c r="K721" s="27" t="str">
        <f t="shared" si="98"/>
        <v> No Issue</v>
      </c>
      <c r="L721" s="3" t="str">
        <f t="shared" si="99"/>
        <v>No Issue</v>
      </c>
      <c r="M721" s="3" t="str">
        <f t="shared" si="100"/>
        <v>No Issue</v>
      </c>
      <c r="N721" s="3" t="str">
        <f t="shared" si="101"/>
        <v>No Issue</v>
      </c>
      <c r="O721" s="3" t="str">
        <f t="shared" si="102"/>
        <v>No Issue</v>
      </c>
      <c r="P721" s="3" t="str">
        <f t="shared" si="103"/>
        <v>NoIssue</v>
      </c>
    </row>
    <row r="722" ht="15.75" customHeight="1">
      <c r="A722" s="28">
        <v>10.0</v>
      </c>
      <c r="B722" s="29" t="s">
        <v>31</v>
      </c>
      <c r="C722" s="30">
        <v>8.51</v>
      </c>
      <c r="D722" s="3"/>
      <c r="E722" s="3"/>
      <c r="F722" s="3"/>
      <c r="G722" s="3"/>
      <c r="H722" s="3"/>
      <c r="I722" s="3"/>
      <c r="J722" s="3" t="str">
        <f t="shared" si="97"/>
        <v>0</v>
      </c>
      <c r="K722" s="27" t="str">
        <f t="shared" si="98"/>
        <v> No Issue</v>
      </c>
      <c r="L722" s="3" t="str">
        <f t="shared" si="99"/>
        <v>No Issue</v>
      </c>
      <c r="M722" s="3" t="str">
        <f t="shared" si="100"/>
        <v>No Issue</v>
      </c>
      <c r="N722" s="3" t="str">
        <f t="shared" si="101"/>
        <v>No Issue</v>
      </c>
      <c r="O722" s="3" t="str">
        <f t="shared" si="102"/>
        <v>No Issue</v>
      </c>
      <c r="P722" s="3" t="str">
        <f t="shared" si="103"/>
        <v>NoIssue</v>
      </c>
    </row>
    <row r="723" ht="15.75" customHeight="1">
      <c r="A723" s="28">
        <v>11.0</v>
      </c>
      <c r="B723" s="29" t="s">
        <v>32</v>
      </c>
      <c r="C723" s="30">
        <v>102.17</v>
      </c>
      <c r="D723" s="3"/>
      <c r="E723" s="3"/>
      <c r="F723" s="3"/>
      <c r="G723" s="3"/>
      <c r="H723" s="3"/>
      <c r="I723" s="3"/>
      <c r="J723" s="3" t="str">
        <f t="shared" si="97"/>
        <v>0</v>
      </c>
      <c r="K723" s="27" t="str">
        <f t="shared" si="98"/>
        <v> No Issue</v>
      </c>
      <c r="L723" s="3" t="str">
        <f t="shared" si="99"/>
        <v>No Issue</v>
      </c>
      <c r="M723" s="3" t="str">
        <f t="shared" si="100"/>
        <v>No Issue</v>
      </c>
      <c r="N723" s="3" t="str">
        <f t="shared" si="101"/>
        <v>No Issue</v>
      </c>
      <c r="O723" s="3" t="str">
        <f t="shared" si="102"/>
        <v>No Issue</v>
      </c>
      <c r="P723" s="3" t="str">
        <f t="shared" si="103"/>
        <v>NoIssue</v>
      </c>
    </row>
    <row r="724" ht="15.75" customHeight="1">
      <c r="A724" s="28">
        <v>12.0</v>
      </c>
      <c r="B724" s="29" t="s">
        <v>33</v>
      </c>
      <c r="C724" s="30">
        <v>59.93</v>
      </c>
      <c r="D724" s="3"/>
      <c r="E724" s="3"/>
      <c r="F724" s="3"/>
      <c r="G724" s="3"/>
      <c r="H724" s="3"/>
      <c r="I724" s="3"/>
      <c r="J724" s="3" t="str">
        <f t="shared" si="97"/>
        <v>0</v>
      </c>
      <c r="K724" s="27" t="str">
        <f t="shared" si="98"/>
        <v> No Issue</v>
      </c>
      <c r="L724" s="3" t="str">
        <f t="shared" si="99"/>
        <v>No Issue</v>
      </c>
      <c r="M724" s="3" t="str">
        <f t="shared" si="100"/>
        <v>No Issue</v>
      </c>
      <c r="N724" s="3" t="str">
        <f t="shared" si="101"/>
        <v>No Issue</v>
      </c>
      <c r="O724" s="3" t="str">
        <f t="shared" si="102"/>
        <v>No Issue</v>
      </c>
      <c r="P724" s="3" t="str">
        <f t="shared" si="103"/>
        <v>NoIssue</v>
      </c>
    </row>
    <row r="725" ht="15.75" customHeight="1">
      <c r="A725" s="28">
        <v>13.0</v>
      </c>
      <c r="B725" s="29" t="s">
        <v>34</v>
      </c>
      <c r="C725" s="30">
        <v>118.0</v>
      </c>
      <c r="D725" s="3"/>
      <c r="E725" s="3"/>
      <c r="F725" s="3"/>
      <c r="G725" s="3"/>
      <c r="H725" s="3"/>
      <c r="I725" s="3"/>
      <c r="J725" s="3" t="str">
        <f t="shared" si="97"/>
        <v>0</v>
      </c>
      <c r="K725" s="27" t="str">
        <f t="shared" si="98"/>
        <v> No Issue</v>
      </c>
      <c r="L725" s="3" t="str">
        <f t="shared" si="99"/>
        <v>No Issue</v>
      </c>
      <c r="M725" s="3" t="str">
        <f t="shared" si="100"/>
        <v>No Issue</v>
      </c>
      <c r="N725" s="3" t="str">
        <f t="shared" si="101"/>
        <v>No Issue</v>
      </c>
      <c r="O725" s="3" t="str">
        <f t="shared" si="102"/>
        <v>No Issue</v>
      </c>
      <c r="P725" s="3" t="str">
        <f t="shared" si="103"/>
        <v>NoIssue</v>
      </c>
    </row>
    <row r="726" ht="15.75" customHeight="1">
      <c r="A726" s="28">
        <v>14.0</v>
      </c>
      <c r="B726" s="29" t="s">
        <v>35</v>
      </c>
      <c r="C726" s="30">
        <v>52.83</v>
      </c>
      <c r="D726" s="3"/>
      <c r="E726" s="3"/>
      <c r="F726" s="3"/>
      <c r="G726" s="3"/>
      <c r="H726" s="3"/>
      <c r="I726" s="3"/>
      <c r="J726" s="3" t="str">
        <f t="shared" si="97"/>
        <v>0</v>
      </c>
      <c r="K726" s="27" t="str">
        <f t="shared" si="98"/>
        <v> No Issue</v>
      </c>
      <c r="L726" s="3" t="str">
        <f t="shared" si="99"/>
        <v>No Issue</v>
      </c>
      <c r="M726" s="3" t="str">
        <f t="shared" si="100"/>
        <v>No Issue</v>
      </c>
      <c r="N726" s="3" t="str">
        <f t="shared" si="101"/>
        <v>No Issue</v>
      </c>
      <c r="O726" s="3" t="str">
        <f t="shared" si="102"/>
        <v>No Issue</v>
      </c>
      <c r="P726" s="3" t="str">
        <f t="shared" si="103"/>
        <v>NoIssue</v>
      </c>
    </row>
    <row r="727" ht="15.75" customHeight="1">
      <c r="A727" s="28">
        <v>15.0</v>
      </c>
      <c r="B727" s="29" t="s">
        <v>36</v>
      </c>
      <c r="C727" s="30">
        <v>93.2</v>
      </c>
      <c r="D727" s="3"/>
      <c r="E727" s="3"/>
      <c r="F727" s="3"/>
      <c r="G727" s="3"/>
      <c r="H727" s="3"/>
      <c r="I727" s="3"/>
      <c r="J727" s="3" t="str">
        <f t="shared" si="97"/>
        <v>0</v>
      </c>
      <c r="K727" s="27" t="str">
        <f t="shared" si="98"/>
        <v> No Issue</v>
      </c>
      <c r="L727" s="3" t="str">
        <f t="shared" si="99"/>
        <v>No Issue</v>
      </c>
      <c r="M727" s="3" t="str">
        <f t="shared" si="100"/>
        <v>No Issue</v>
      </c>
      <c r="N727" s="3" t="str">
        <f t="shared" si="101"/>
        <v>No Issue</v>
      </c>
      <c r="O727" s="3" t="str">
        <f t="shared" si="102"/>
        <v>No Issue</v>
      </c>
      <c r="P727" s="3" t="str">
        <f t="shared" si="103"/>
        <v>NoIssue</v>
      </c>
    </row>
    <row r="728" ht="15.75" customHeight="1">
      <c r="A728" s="28">
        <v>16.0</v>
      </c>
      <c r="B728" s="29" t="s">
        <v>37</v>
      </c>
      <c r="C728" s="30">
        <v>61.02</v>
      </c>
      <c r="D728" s="3"/>
      <c r="E728" s="3"/>
      <c r="F728" s="3"/>
      <c r="G728" s="3"/>
      <c r="H728" s="3"/>
      <c r="I728" s="3"/>
      <c r="J728" s="3" t="str">
        <f t="shared" si="97"/>
        <v>0</v>
      </c>
      <c r="K728" s="27" t="str">
        <f t="shared" si="98"/>
        <v> No Issue</v>
      </c>
      <c r="L728" s="3" t="str">
        <f t="shared" si="99"/>
        <v>No Issue</v>
      </c>
      <c r="M728" s="3" t="str">
        <f t="shared" si="100"/>
        <v>No Issue</v>
      </c>
      <c r="N728" s="3" t="str">
        <f t="shared" si="101"/>
        <v>No Issue</v>
      </c>
      <c r="O728" s="3" t="str">
        <f t="shared" si="102"/>
        <v>No Issue</v>
      </c>
      <c r="P728" s="3" t="str">
        <f t="shared" si="103"/>
        <v>NoIssue</v>
      </c>
    </row>
    <row r="729" ht="15.75" customHeight="1">
      <c r="A729" s="28">
        <v>17.0</v>
      </c>
      <c r="B729" s="29" t="s">
        <v>38</v>
      </c>
      <c r="C729" s="30">
        <v>36.62</v>
      </c>
      <c r="D729" s="3"/>
      <c r="E729" s="3"/>
      <c r="F729" s="3"/>
      <c r="G729" s="3"/>
      <c r="H729" s="3"/>
      <c r="I729" s="3"/>
      <c r="J729" s="3" t="str">
        <f t="shared" si="97"/>
        <v>0</v>
      </c>
      <c r="K729" s="27" t="str">
        <f t="shared" si="98"/>
        <v> No Issue</v>
      </c>
      <c r="L729" s="3" t="str">
        <f t="shared" si="99"/>
        <v>No Issue</v>
      </c>
      <c r="M729" s="3" t="str">
        <f t="shared" si="100"/>
        <v>No Issue</v>
      </c>
      <c r="N729" s="3" t="str">
        <f t="shared" si="101"/>
        <v>No Issue</v>
      </c>
      <c r="O729" s="3" t="str">
        <f t="shared" si="102"/>
        <v>No Issue</v>
      </c>
      <c r="P729" s="3" t="str">
        <f t="shared" si="103"/>
        <v>NoIssue</v>
      </c>
    </row>
    <row r="730" ht="15.75" customHeight="1">
      <c r="A730" s="28">
        <v>18.0</v>
      </c>
      <c r="B730" s="29" t="s">
        <v>39</v>
      </c>
      <c r="C730" s="30">
        <v>80.36</v>
      </c>
      <c r="D730" s="3"/>
      <c r="E730" s="3"/>
      <c r="F730" s="3"/>
      <c r="G730" s="3"/>
      <c r="H730" s="3"/>
      <c r="I730" s="3"/>
      <c r="J730" s="3" t="str">
        <f t="shared" si="97"/>
        <v>0</v>
      </c>
      <c r="K730" s="27" t="str">
        <f t="shared" si="98"/>
        <v> No Issue</v>
      </c>
      <c r="L730" s="3" t="str">
        <f t="shared" si="99"/>
        <v>No Issue</v>
      </c>
      <c r="M730" s="3" t="str">
        <f t="shared" si="100"/>
        <v>No Issue</v>
      </c>
      <c r="N730" s="3" t="str">
        <f t="shared" si="101"/>
        <v>No Issue</v>
      </c>
      <c r="O730" s="3" t="str">
        <f t="shared" si="102"/>
        <v>No Issue</v>
      </c>
      <c r="P730" s="3" t="str">
        <f t="shared" si="103"/>
        <v>NoIssue</v>
      </c>
    </row>
    <row r="731" ht="15.75" customHeight="1">
      <c r="A731" s="28">
        <v>19.0</v>
      </c>
      <c r="B731" s="29" t="s">
        <v>40</v>
      </c>
      <c r="C731" s="30">
        <v>160.56</v>
      </c>
      <c r="D731" s="3"/>
      <c r="E731" s="3"/>
      <c r="F731" s="3"/>
      <c r="G731" s="3"/>
      <c r="H731" s="3"/>
      <c r="I731" s="3"/>
      <c r="J731" s="3" t="str">
        <f t="shared" si="97"/>
        <v>0</v>
      </c>
      <c r="K731" s="27" t="str">
        <f t="shared" si="98"/>
        <v> No Issue</v>
      </c>
      <c r="L731" s="3" t="str">
        <f t="shared" si="99"/>
        <v>No Issue</v>
      </c>
      <c r="M731" s="3" t="str">
        <f t="shared" si="100"/>
        <v>No Issue</v>
      </c>
      <c r="N731" s="3" t="str">
        <f t="shared" si="101"/>
        <v>No Issue</v>
      </c>
      <c r="O731" s="3" t="str">
        <f t="shared" si="102"/>
        <v>No Issue</v>
      </c>
      <c r="P731" s="3" t="str">
        <f t="shared" si="103"/>
        <v>NoIssue</v>
      </c>
    </row>
    <row r="732" ht="15.75" customHeight="1">
      <c r="A732" s="28">
        <v>20.0</v>
      </c>
      <c r="B732" s="29" t="s">
        <v>41</v>
      </c>
      <c r="C732" s="30">
        <v>186.44</v>
      </c>
      <c r="D732" s="3"/>
      <c r="E732" s="3"/>
      <c r="F732" s="3"/>
      <c r="G732" s="3"/>
      <c r="H732" s="3"/>
      <c r="I732" s="3"/>
      <c r="J732" s="3" t="str">
        <f t="shared" si="97"/>
        <v>0</v>
      </c>
      <c r="K732" s="27" t="str">
        <f t="shared" si="98"/>
        <v> No Issue</v>
      </c>
      <c r="L732" s="3" t="str">
        <f t="shared" si="99"/>
        <v>No Issue</v>
      </c>
      <c r="M732" s="3" t="str">
        <f t="shared" si="100"/>
        <v>No Issue</v>
      </c>
      <c r="N732" s="3" t="str">
        <f t="shared" si="101"/>
        <v>No Issue</v>
      </c>
      <c r="O732" s="3" t="str">
        <f t="shared" si="102"/>
        <v>No Issue</v>
      </c>
      <c r="P732" s="3" t="str">
        <f t="shared" si="103"/>
        <v>NoIssue</v>
      </c>
    </row>
    <row r="733" ht="15.75" customHeight="1">
      <c r="A733" s="28">
        <v>21.0</v>
      </c>
      <c r="B733" s="29" t="s">
        <v>42</v>
      </c>
      <c r="C733" s="30">
        <v>92.59</v>
      </c>
      <c r="D733" s="3"/>
      <c r="E733" s="3"/>
      <c r="F733" s="3"/>
      <c r="G733" s="3"/>
      <c r="H733" s="3"/>
      <c r="I733" s="3"/>
      <c r="J733" s="3" t="str">
        <f t="shared" si="97"/>
        <v>0</v>
      </c>
      <c r="K733" s="27" t="str">
        <f t="shared" si="98"/>
        <v> No Issue</v>
      </c>
      <c r="L733" s="3" t="str">
        <f t="shared" si="99"/>
        <v>No Issue</v>
      </c>
      <c r="M733" s="3" t="str">
        <f t="shared" si="100"/>
        <v>No Issue</v>
      </c>
      <c r="N733" s="3" t="str">
        <f t="shared" si="101"/>
        <v>No Issue</v>
      </c>
      <c r="O733" s="3" t="str">
        <f t="shared" si="102"/>
        <v>No Issue</v>
      </c>
      <c r="P733" s="3" t="str">
        <f t="shared" si="103"/>
        <v>NoIssue</v>
      </c>
    </row>
    <row r="734" ht="15.75" customHeight="1">
      <c r="A734" s="28">
        <v>22.0</v>
      </c>
      <c r="B734" s="29" t="s">
        <v>43</v>
      </c>
      <c r="C734" s="30">
        <v>95.17</v>
      </c>
      <c r="D734" s="3"/>
      <c r="E734" s="3"/>
      <c r="F734" s="3"/>
      <c r="G734" s="3"/>
      <c r="H734" s="3"/>
      <c r="I734" s="3"/>
      <c r="J734" s="3" t="str">
        <f t="shared" si="97"/>
        <v>0</v>
      </c>
      <c r="K734" s="27" t="str">
        <f t="shared" si="98"/>
        <v> No Issue</v>
      </c>
      <c r="L734" s="3" t="str">
        <f t="shared" si="99"/>
        <v>No Issue</v>
      </c>
      <c r="M734" s="3" t="str">
        <f t="shared" si="100"/>
        <v>No Issue</v>
      </c>
      <c r="N734" s="3" t="str">
        <f t="shared" si="101"/>
        <v>No Issue</v>
      </c>
      <c r="O734" s="3" t="str">
        <f t="shared" si="102"/>
        <v>No Issue</v>
      </c>
      <c r="P734" s="3" t="str">
        <f t="shared" si="103"/>
        <v>NoIssue</v>
      </c>
    </row>
    <row r="735" ht="15.75" customHeight="1">
      <c r="A735" s="28">
        <v>23.0</v>
      </c>
      <c r="B735" s="29" t="s">
        <v>44</v>
      </c>
      <c r="C735" s="30">
        <v>92.94</v>
      </c>
      <c r="D735" s="3"/>
      <c r="E735" s="3"/>
      <c r="F735" s="3"/>
      <c r="G735" s="3"/>
      <c r="H735" s="3"/>
      <c r="I735" s="3"/>
      <c r="J735" s="3" t="str">
        <f t="shared" si="97"/>
        <v>0</v>
      </c>
      <c r="K735" s="27" t="str">
        <f t="shared" si="98"/>
        <v> No Issue</v>
      </c>
      <c r="L735" s="3" t="str">
        <f t="shared" si="99"/>
        <v>No Issue</v>
      </c>
      <c r="M735" s="3" t="str">
        <f t="shared" si="100"/>
        <v>No Issue</v>
      </c>
      <c r="N735" s="3" t="str">
        <f t="shared" si="101"/>
        <v>No Issue</v>
      </c>
      <c r="O735" s="3" t="str">
        <f t="shared" si="102"/>
        <v>No Issue</v>
      </c>
      <c r="P735" s="3" t="str">
        <f t="shared" si="103"/>
        <v>NoIssue</v>
      </c>
    </row>
    <row r="736" ht="15.75" customHeight="1">
      <c r="A736" s="28">
        <v>24.0</v>
      </c>
      <c r="B736" s="29" t="s">
        <v>45</v>
      </c>
      <c r="C736" s="30">
        <v>101.82</v>
      </c>
      <c r="D736" s="3"/>
      <c r="E736" s="3"/>
      <c r="F736" s="3"/>
      <c r="G736" s="3"/>
      <c r="H736" s="3"/>
      <c r="I736" s="3"/>
      <c r="J736" s="3" t="str">
        <f t="shared" si="97"/>
        <v>0</v>
      </c>
      <c r="K736" s="27" t="str">
        <f t="shared" si="98"/>
        <v> No Issue</v>
      </c>
      <c r="L736" s="3" t="str">
        <f t="shared" si="99"/>
        <v>No Issue</v>
      </c>
      <c r="M736" s="3" t="str">
        <f t="shared" si="100"/>
        <v>No Issue</v>
      </c>
      <c r="N736" s="3" t="str">
        <f t="shared" si="101"/>
        <v>No Issue</v>
      </c>
      <c r="O736" s="3" t="str">
        <f t="shared" si="102"/>
        <v>No Issue</v>
      </c>
      <c r="P736" s="3" t="str">
        <f t="shared" si="103"/>
        <v>NoIssue</v>
      </c>
    </row>
    <row r="737" ht="15.75" customHeight="1">
      <c r="A737" s="28">
        <v>25.0</v>
      </c>
      <c r="B737" s="29" t="s">
        <v>46</v>
      </c>
      <c r="C737" s="30">
        <v>53.49</v>
      </c>
      <c r="D737" s="3"/>
      <c r="E737" s="3"/>
      <c r="F737" s="3"/>
      <c r="G737" s="3"/>
      <c r="H737" s="3"/>
      <c r="I737" s="3"/>
      <c r="J737" s="3" t="str">
        <f t="shared" si="97"/>
        <v>0</v>
      </c>
      <c r="K737" s="27" t="str">
        <f t="shared" si="98"/>
        <v> No Issue</v>
      </c>
      <c r="L737" s="3" t="str">
        <f t="shared" si="99"/>
        <v>No Issue</v>
      </c>
      <c r="M737" s="3" t="str">
        <f t="shared" si="100"/>
        <v>No Issue</v>
      </c>
      <c r="N737" s="3" t="str">
        <f t="shared" si="101"/>
        <v>No Issue</v>
      </c>
      <c r="O737" s="3" t="str">
        <f t="shared" si="102"/>
        <v>No Issue</v>
      </c>
      <c r="P737" s="3" t="str">
        <f t="shared" si="103"/>
        <v>NoIssue</v>
      </c>
    </row>
    <row r="738" ht="15.75" customHeight="1">
      <c r="A738" s="28">
        <v>26.0</v>
      </c>
      <c r="B738" s="29" t="s">
        <v>47</v>
      </c>
      <c r="C738" s="30">
        <v>32.92</v>
      </c>
      <c r="D738" s="3"/>
      <c r="E738" s="3"/>
      <c r="F738" s="3"/>
      <c r="G738" s="3"/>
      <c r="H738" s="3"/>
      <c r="I738" s="3"/>
      <c r="J738" s="3" t="str">
        <f t="shared" si="97"/>
        <v>0</v>
      </c>
      <c r="K738" s="27" t="str">
        <f t="shared" si="98"/>
        <v> No Issue</v>
      </c>
      <c r="L738" s="3" t="str">
        <f t="shared" si="99"/>
        <v>No Issue</v>
      </c>
      <c r="M738" s="3" t="str">
        <f t="shared" si="100"/>
        <v>No Issue</v>
      </c>
      <c r="N738" s="3" t="str">
        <f t="shared" si="101"/>
        <v>No Issue</v>
      </c>
      <c r="O738" s="3" t="str">
        <f t="shared" si="102"/>
        <v>No Issue</v>
      </c>
      <c r="P738" s="3" t="str">
        <f t="shared" si="103"/>
        <v>NoIssue</v>
      </c>
    </row>
    <row r="739" ht="15.75" customHeight="1">
      <c r="A739" s="28">
        <v>27.0</v>
      </c>
      <c r="B739" s="29" t="s">
        <v>48</v>
      </c>
      <c r="C739" s="30">
        <v>116.68</v>
      </c>
      <c r="D739" s="3"/>
      <c r="E739" s="3"/>
      <c r="F739" s="3"/>
      <c r="G739" s="3"/>
      <c r="H739" s="3"/>
      <c r="I739" s="3"/>
      <c r="J739" s="3" t="str">
        <f t="shared" si="97"/>
        <v>0</v>
      </c>
      <c r="K739" s="27" t="str">
        <f t="shared" si="98"/>
        <v> No Issue</v>
      </c>
      <c r="L739" s="3" t="str">
        <f t="shared" si="99"/>
        <v>No Issue</v>
      </c>
      <c r="M739" s="3" t="str">
        <f t="shared" si="100"/>
        <v>No Issue</v>
      </c>
      <c r="N739" s="3" t="str">
        <f t="shared" si="101"/>
        <v>No Issue</v>
      </c>
      <c r="O739" s="3" t="str">
        <f t="shared" si="102"/>
        <v>No Issue</v>
      </c>
      <c r="P739" s="3" t="str">
        <f t="shared" si="103"/>
        <v>NoIssue</v>
      </c>
    </row>
    <row r="740" ht="15.75" customHeight="1">
      <c r="A740" s="28">
        <v>28.0</v>
      </c>
      <c r="B740" s="29" t="s">
        <v>49</v>
      </c>
      <c r="C740" s="30">
        <v>107.96</v>
      </c>
      <c r="D740" s="3"/>
      <c r="E740" s="3"/>
      <c r="F740" s="3"/>
      <c r="G740" s="3"/>
      <c r="H740" s="3"/>
      <c r="I740" s="3"/>
      <c r="J740" s="3" t="str">
        <f t="shared" si="97"/>
        <v>0</v>
      </c>
      <c r="K740" s="27" t="str">
        <f t="shared" si="98"/>
        <v> No Issue</v>
      </c>
      <c r="L740" s="3" t="str">
        <f t="shared" si="99"/>
        <v>No Issue</v>
      </c>
      <c r="M740" s="3" t="str">
        <f t="shared" si="100"/>
        <v>No Issue</v>
      </c>
      <c r="N740" s="3" t="str">
        <f t="shared" si="101"/>
        <v>No Issue</v>
      </c>
      <c r="O740" s="3" t="str">
        <f t="shared" si="102"/>
        <v>No Issue</v>
      </c>
      <c r="P740" s="3" t="str">
        <f t="shared" si="103"/>
        <v>NoIssue</v>
      </c>
    </row>
    <row r="741" ht="15.75" customHeight="1">
      <c r="A741" s="28">
        <v>29.0</v>
      </c>
      <c r="B741" s="29" t="s">
        <v>50</v>
      </c>
      <c r="C741" s="30">
        <v>248.89</v>
      </c>
      <c r="D741" s="3"/>
      <c r="E741" s="3"/>
      <c r="F741" s="3"/>
      <c r="G741" s="3"/>
      <c r="H741" s="3"/>
      <c r="I741" s="3"/>
      <c r="J741" s="3" t="str">
        <f t="shared" si="97"/>
        <v>0</v>
      </c>
      <c r="K741" s="27" t="str">
        <f t="shared" si="98"/>
        <v> No Issue</v>
      </c>
      <c r="L741" s="3" t="str">
        <f t="shared" si="99"/>
        <v>No Issue</v>
      </c>
      <c r="M741" s="3" t="str">
        <f t="shared" si="100"/>
        <v>No Issue</v>
      </c>
      <c r="N741" s="3" t="str">
        <f t="shared" si="101"/>
        <v>No Issue</v>
      </c>
      <c r="O741" s="3" t="str">
        <f t="shared" si="102"/>
        <v>No Issue</v>
      </c>
      <c r="P741" s="3" t="str">
        <f t="shared" si="103"/>
        <v>NoIssue</v>
      </c>
    </row>
    <row r="742" ht="15.75" customHeight="1">
      <c r="A742" s="28">
        <v>30.0</v>
      </c>
      <c r="B742" s="29" t="s">
        <v>51</v>
      </c>
      <c r="C742" s="30">
        <v>80.36</v>
      </c>
      <c r="D742" s="3"/>
      <c r="E742" s="3"/>
      <c r="F742" s="27"/>
      <c r="G742" s="27"/>
      <c r="H742" s="27"/>
      <c r="I742" s="3"/>
      <c r="J742" s="3" t="str">
        <f t="shared" si="97"/>
        <v>0</v>
      </c>
      <c r="K742" s="27" t="str">
        <f t="shared" si="98"/>
        <v> No Issue</v>
      </c>
      <c r="L742" s="3" t="str">
        <f t="shared" si="99"/>
        <v>No Issue</v>
      </c>
      <c r="M742" s="3" t="str">
        <f t="shared" si="100"/>
        <v>No Issue</v>
      </c>
      <c r="N742" s="3" t="str">
        <f t="shared" si="101"/>
        <v>No Issue</v>
      </c>
      <c r="O742" s="3" t="str">
        <f t="shared" si="102"/>
        <v>No Issue</v>
      </c>
      <c r="P742" s="3" t="str">
        <f t="shared" si="103"/>
        <v>NoIssue</v>
      </c>
    </row>
    <row r="743" ht="15.75" customHeight="1">
      <c r="A743" s="28">
        <v>31.0</v>
      </c>
      <c r="B743" s="29" t="s">
        <v>52</v>
      </c>
      <c r="C743" s="30">
        <v>52.46</v>
      </c>
      <c r="D743" s="3"/>
      <c r="E743" s="3"/>
      <c r="F743" s="27"/>
      <c r="G743" s="27"/>
      <c r="H743" s="27"/>
      <c r="I743" s="3"/>
      <c r="J743" s="3" t="str">
        <f t="shared" si="97"/>
        <v>0</v>
      </c>
      <c r="K743" s="27" t="str">
        <f t="shared" si="98"/>
        <v> No Issue</v>
      </c>
      <c r="L743" s="3" t="str">
        <f t="shared" si="99"/>
        <v>No Issue</v>
      </c>
      <c r="M743" s="3" t="str">
        <f t="shared" si="100"/>
        <v>No Issue</v>
      </c>
      <c r="N743" s="3" t="str">
        <f t="shared" si="101"/>
        <v>No Issue</v>
      </c>
      <c r="O743" s="3" t="str">
        <f t="shared" si="102"/>
        <v>No Issue</v>
      </c>
      <c r="P743" s="3" t="str">
        <f t="shared" si="103"/>
        <v>NoIssue</v>
      </c>
    </row>
    <row r="744" ht="15.75" customHeight="1">
      <c r="A744" s="28">
        <v>32.0</v>
      </c>
      <c r="B744" s="29" t="s">
        <v>53</v>
      </c>
      <c r="C744" s="30">
        <v>71.21</v>
      </c>
      <c r="D744" s="3"/>
      <c r="E744" s="3"/>
      <c r="F744" s="27"/>
      <c r="G744" s="27"/>
      <c r="H744" s="27"/>
      <c r="I744" s="3"/>
      <c r="J744" s="3" t="str">
        <f t="shared" si="97"/>
        <v>0</v>
      </c>
      <c r="K744" s="27" t="str">
        <f t="shared" si="98"/>
        <v> No Issue</v>
      </c>
      <c r="L744" s="3" t="str">
        <f t="shared" si="99"/>
        <v>No Issue</v>
      </c>
      <c r="M744" s="3" t="str">
        <f t="shared" si="100"/>
        <v>No Issue</v>
      </c>
      <c r="N744" s="3" t="str">
        <f t="shared" si="101"/>
        <v>No Issue</v>
      </c>
      <c r="O744" s="3" t="str">
        <f t="shared" si="102"/>
        <v>No Issue</v>
      </c>
      <c r="P744" s="3" t="str">
        <f t="shared" si="103"/>
        <v>NoIssue</v>
      </c>
    </row>
    <row r="745" ht="15.75" customHeight="1">
      <c r="A745" s="28">
        <v>33.0</v>
      </c>
      <c r="B745" s="29" t="s">
        <v>54</v>
      </c>
      <c r="C745" s="30">
        <v>80.35</v>
      </c>
      <c r="D745" s="3"/>
      <c r="E745" s="3"/>
      <c r="F745" s="27"/>
      <c r="G745" s="27"/>
      <c r="H745" s="27"/>
      <c r="I745" s="3"/>
      <c r="J745" s="3" t="str">
        <f t="shared" si="97"/>
        <v>0</v>
      </c>
      <c r="K745" s="27" t="str">
        <f t="shared" si="98"/>
        <v> No Issue</v>
      </c>
      <c r="L745" s="3" t="str">
        <f t="shared" si="99"/>
        <v>No Issue</v>
      </c>
      <c r="M745" s="3" t="str">
        <f t="shared" si="100"/>
        <v>No Issue</v>
      </c>
      <c r="N745" s="3" t="str">
        <f t="shared" si="101"/>
        <v>No Issue</v>
      </c>
      <c r="O745" s="3" t="str">
        <f t="shared" si="102"/>
        <v>No Issue</v>
      </c>
      <c r="P745" s="3" t="str">
        <f t="shared" si="103"/>
        <v>NoIssue</v>
      </c>
    </row>
    <row r="746" ht="15.75" customHeight="1">
      <c r="A746" s="28">
        <v>34.0</v>
      </c>
      <c r="B746" s="29" t="s">
        <v>55</v>
      </c>
      <c r="C746" s="30">
        <v>64.18</v>
      </c>
      <c r="D746" s="3"/>
      <c r="E746" s="3"/>
      <c r="F746" s="27"/>
      <c r="G746" s="27"/>
      <c r="H746" s="27"/>
      <c r="I746" s="3"/>
      <c r="J746" s="3" t="str">
        <f t="shared" si="97"/>
        <v>0</v>
      </c>
      <c r="K746" s="27" t="str">
        <f t="shared" si="98"/>
        <v> No Issue</v>
      </c>
      <c r="L746" s="3" t="str">
        <f t="shared" si="99"/>
        <v>No Issue</v>
      </c>
      <c r="M746" s="3" t="str">
        <f t="shared" si="100"/>
        <v>No Issue</v>
      </c>
      <c r="N746" s="3" t="str">
        <f t="shared" si="101"/>
        <v>No Issue</v>
      </c>
      <c r="O746" s="3" t="str">
        <f t="shared" si="102"/>
        <v>No Issue</v>
      </c>
      <c r="P746" s="3" t="str">
        <f t="shared" si="103"/>
        <v>NoIssue</v>
      </c>
    </row>
    <row r="747" ht="15.75" customHeight="1">
      <c r="A747" s="28">
        <v>35.0</v>
      </c>
      <c r="B747" s="29" t="s">
        <v>56</v>
      </c>
      <c r="C747" s="30">
        <v>36.9</v>
      </c>
      <c r="D747" s="3"/>
      <c r="E747" s="3"/>
      <c r="F747" s="27"/>
      <c r="G747" s="27"/>
      <c r="H747" s="27"/>
      <c r="I747" s="3"/>
      <c r="J747" s="3" t="str">
        <f t="shared" si="97"/>
        <v>0</v>
      </c>
      <c r="K747" s="27" t="str">
        <f t="shared" si="98"/>
        <v> No Issue</v>
      </c>
      <c r="L747" s="3" t="str">
        <f t="shared" si="99"/>
        <v>No Issue</v>
      </c>
      <c r="M747" s="3" t="str">
        <f t="shared" si="100"/>
        <v>No Issue</v>
      </c>
      <c r="N747" s="3" t="str">
        <f t="shared" si="101"/>
        <v>No Issue</v>
      </c>
      <c r="O747" s="3" t="str">
        <f t="shared" si="102"/>
        <v>No Issue</v>
      </c>
      <c r="P747" s="3" t="str">
        <f t="shared" si="103"/>
        <v>NoIssue</v>
      </c>
    </row>
    <row r="748" ht="15.75" customHeight="1">
      <c r="A748" s="28">
        <v>36.0</v>
      </c>
      <c r="B748" s="29" t="s">
        <v>57</v>
      </c>
      <c r="C748" s="30">
        <v>101.54</v>
      </c>
      <c r="D748" s="3"/>
      <c r="E748" s="3"/>
      <c r="F748" s="27"/>
      <c r="G748" s="27"/>
      <c r="H748" s="27"/>
      <c r="I748" s="3"/>
      <c r="J748" s="3" t="str">
        <f t="shared" si="97"/>
        <v>0</v>
      </c>
      <c r="K748" s="27" t="str">
        <f t="shared" si="98"/>
        <v> No Issue</v>
      </c>
      <c r="L748" s="3" t="str">
        <f t="shared" si="99"/>
        <v>No Issue</v>
      </c>
      <c r="M748" s="3" t="str">
        <f t="shared" si="100"/>
        <v>No Issue</v>
      </c>
      <c r="N748" s="3" t="str">
        <f t="shared" si="101"/>
        <v>No Issue</v>
      </c>
      <c r="O748" s="3" t="str">
        <f t="shared" si="102"/>
        <v>No Issue</v>
      </c>
      <c r="P748" s="3" t="str">
        <f t="shared" si="103"/>
        <v>NoIssue</v>
      </c>
    </row>
    <row r="749" ht="15.75" customHeight="1">
      <c r="A749" s="28">
        <v>37.0</v>
      </c>
      <c r="B749" s="29" t="s">
        <v>58</v>
      </c>
      <c r="C749" s="30">
        <v>40.5</v>
      </c>
      <c r="D749" s="3"/>
      <c r="E749" s="3"/>
      <c r="F749" s="27"/>
      <c r="G749" s="27"/>
      <c r="H749" s="27"/>
      <c r="I749" s="3"/>
      <c r="J749" s="3" t="str">
        <f t="shared" si="97"/>
        <v>0</v>
      </c>
      <c r="K749" s="27" t="str">
        <f t="shared" si="98"/>
        <v> No Issue</v>
      </c>
      <c r="L749" s="3" t="str">
        <f t="shared" si="99"/>
        <v>No Issue</v>
      </c>
      <c r="M749" s="3" t="str">
        <f t="shared" si="100"/>
        <v>No Issue</v>
      </c>
      <c r="N749" s="3" t="str">
        <f t="shared" si="101"/>
        <v>No Issue</v>
      </c>
      <c r="O749" s="3" t="str">
        <f t="shared" si="102"/>
        <v>No Issue</v>
      </c>
      <c r="P749" s="3" t="str">
        <f t="shared" si="103"/>
        <v>NoIssue</v>
      </c>
    </row>
    <row r="750" ht="15.75" customHeight="1">
      <c r="A750" s="28">
        <v>38.0</v>
      </c>
      <c r="B750" s="29" t="s">
        <v>59</v>
      </c>
      <c r="C750" s="30">
        <v>66.69</v>
      </c>
      <c r="D750" s="3"/>
      <c r="E750" s="3"/>
      <c r="F750" s="27"/>
      <c r="G750" s="27"/>
      <c r="H750" s="27"/>
      <c r="I750" s="3"/>
      <c r="J750" s="3" t="str">
        <f t="shared" si="97"/>
        <v>0</v>
      </c>
      <c r="K750" s="27" t="str">
        <f t="shared" si="98"/>
        <v> No Issue</v>
      </c>
      <c r="L750" s="3" t="str">
        <f t="shared" si="99"/>
        <v>No Issue</v>
      </c>
      <c r="M750" s="3" t="str">
        <f t="shared" si="100"/>
        <v>No Issue</v>
      </c>
      <c r="N750" s="3" t="str">
        <f t="shared" si="101"/>
        <v>No Issue</v>
      </c>
      <c r="O750" s="3" t="str">
        <f t="shared" si="102"/>
        <v>No Issue</v>
      </c>
      <c r="P750" s="3" t="str">
        <f t="shared" si="103"/>
        <v>NoIssue</v>
      </c>
    </row>
    <row r="751" ht="15.75" customHeight="1">
      <c r="A751" s="28">
        <v>39.0</v>
      </c>
      <c r="B751" s="29" t="s">
        <v>60</v>
      </c>
      <c r="C751" s="29">
        <v>150.85999999999999</v>
      </c>
      <c r="D751" s="3"/>
      <c r="E751" s="3"/>
      <c r="F751" s="27"/>
      <c r="G751" s="27"/>
      <c r="H751" s="27"/>
      <c r="I751" s="3"/>
      <c r="J751" s="3" t="str">
        <f t="shared" si="97"/>
        <v>0</v>
      </c>
      <c r="K751" s="27" t="str">
        <f t="shared" si="98"/>
        <v> No Issue</v>
      </c>
      <c r="L751" s="3" t="str">
        <f t="shared" si="99"/>
        <v>No Issue</v>
      </c>
      <c r="M751" s="3" t="str">
        <f t="shared" si="100"/>
        <v>No Issue</v>
      </c>
      <c r="N751" s="3" t="str">
        <f t="shared" si="101"/>
        <v>No Issue</v>
      </c>
      <c r="O751" s="3" t="str">
        <f t="shared" si="102"/>
        <v>No Issue</v>
      </c>
      <c r="P751" s="3" t="str">
        <f t="shared" si="103"/>
        <v>NoIssue</v>
      </c>
    </row>
    <row r="752" ht="15.75" customHeight="1">
      <c r="A752" s="28">
        <v>40.0</v>
      </c>
      <c r="B752" s="33" t="s">
        <v>61</v>
      </c>
      <c r="C752" s="30">
        <v>180.0</v>
      </c>
      <c r="D752" s="3"/>
      <c r="E752" s="3"/>
      <c r="F752" s="27"/>
      <c r="G752" s="27"/>
      <c r="H752" s="27"/>
      <c r="I752" s="3"/>
      <c r="J752" s="3" t="str">
        <f t="shared" si="97"/>
        <v>0</v>
      </c>
      <c r="K752" s="27" t="str">
        <f t="shared" si="98"/>
        <v> No Issue</v>
      </c>
      <c r="L752" s="3" t="str">
        <f t="shared" si="99"/>
        <v>No Issue</v>
      </c>
      <c r="M752" s="3" t="str">
        <f t="shared" si="100"/>
        <v>No Issue</v>
      </c>
      <c r="N752" s="3" t="str">
        <f t="shared" si="101"/>
        <v>No Issue</v>
      </c>
      <c r="O752" s="3" t="str">
        <f t="shared" si="102"/>
        <v>No Issue</v>
      </c>
      <c r="P752" s="3" t="str">
        <f t="shared" si="103"/>
        <v>NoIssue</v>
      </c>
    </row>
    <row r="753" ht="15.75" customHeight="1">
      <c r="A753" s="28">
        <v>41.0</v>
      </c>
      <c r="B753" s="33" t="s">
        <v>62</v>
      </c>
      <c r="C753" s="29">
        <v>128.57</v>
      </c>
      <c r="D753" s="3"/>
      <c r="E753" s="3"/>
      <c r="F753" s="27"/>
      <c r="G753" s="27"/>
      <c r="H753" s="27"/>
      <c r="I753" s="3"/>
      <c r="J753" s="3" t="str">
        <f t="shared" si="97"/>
        <v>0</v>
      </c>
      <c r="K753" s="27" t="str">
        <f t="shared" si="98"/>
        <v> No Issue</v>
      </c>
      <c r="L753" s="3" t="str">
        <f t="shared" si="99"/>
        <v>No Issue</v>
      </c>
      <c r="M753" s="3" t="str">
        <f t="shared" si="100"/>
        <v>No Issue</v>
      </c>
      <c r="N753" s="3" t="str">
        <f t="shared" si="101"/>
        <v>No Issue</v>
      </c>
      <c r="O753" s="3" t="str">
        <f t="shared" si="102"/>
        <v>No Issue</v>
      </c>
      <c r="P753" s="3" t="str">
        <f t="shared" si="103"/>
        <v>NoIssue</v>
      </c>
    </row>
    <row r="754" ht="15.75" customHeight="1">
      <c r="A754" s="28">
        <v>42.0</v>
      </c>
      <c r="B754" s="29"/>
      <c r="C754" s="29"/>
      <c r="D754" s="3"/>
      <c r="E754" s="3"/>
      <c r="F754" s="27"/>
      <c r="G754" s="27"/>
      <c r="H754" s="27"/>
      <c r="I754" s="3"/>
      <c r="J754" s="3" t="str">
        <f t="shared" si="97"/>
        <v>0</v>
      </c>
      <c r="K754" s="27" t="str">
        <f t="shared" si="98"/>
        <v> No Issue</v>
      </c>
      <c r="L754" s="3" t="str">
        <f t="shared" si="99"/>
        <v>No Issue</v>
      </c>
      <c r="M754" s="3" t="str">
        <f t="shared" si="100"/>
        <v>No Issue</v>
      </c>
      <c r="N754" s="3" t="str">
        <f t="shared" si="101"/>
        <v>No Issue</v>
      </c>
      <c r="O754" s="3" t="str">
        <f t="shared" si="102"/>
        <v>No Issue</v>
      </c>
      <c r="P754" s="3" t="str">
        <f t="shared" si="103"/>
        <v>NoIssue</v>
      </c>
    </row>
    <row r="755" ht="15.75" customHeight="1">
      <c r="A755" s="28">
        <v>43.0</v>
      </c>
      <c r="B755" s="34"/>
      <c r="C755" s="34"/>
      <c r="D755" s="3"/>
      <c r="E755" s="3"/>
      <c r="F755" s="27"/>
      <c r="G755" s="27"/>
      <c r="H755" s="27"/>
      <c r="I755" s="3"/>
      <c r="J755" s="3" t="str">
        <f t="shared" si="97"/>
        <v>0</v>
      </c>
      <c r="K755" s="27" t="str">
        <f t="shared" si="98"/>
        <v> No Issue</v>
      </c>
      <c r="L755" s="3" t="str">
        <f t="shared" si="99"/>
        <v>No Issue</v>
      </c>
      <c r="M755" s="3" t="str">
        <f t="shared" si="100"/>
        <v>No Issue</v>
      </c>
      <c r="N755" s="3" t="str">
        <f t="shared" si="101"/>
        <v>No Issue</v>
      </c>
      <c r="O755" s="3" t="str">
        <f t="shared" si="102"/>
        <v>No Issue</v>
      </c>
      <c r="P755" s="3" t="str">
        <f t="shared" si="103"/>
        <v>NoIssue</v>
      </c>
    </row>
    <row r="756" ht="15.75" customHeight="1">
      <c r="A756" s="28">
        <v>44.0</v>
      </c>
      <c r="B756" s="34"/>
      <c r="C756" s="34"/>
      <c r="D756" s="3"/>
      <c r="E756" s="3"/>
      <c r="F756" s="27"/>
      <c r="G756" s="27"/>
      <c r="H756" s="27"/>
      <c r="I756" s="3"/>
      <c r="J756" s="3" t="str">
        <f t="shared" si="97"/>
        <v>0</v>
      </c>
      <c r="K756" s="27" t="str">
        <f t="shared" si="98"/>
        <v> No Issue</v>
      </c>
      <c r="L756" s="3" t="str">
        <f t="shared" si="99"/>
        <v>No Issue</v>
      </c>
      <c r="M756" s="3" t="str">
        <f t="shared" si="100"/>
        <v>No Issue</v>
      </c>
      <c r="N756" s="3" t="str">
        <f t="shared" si="101"/>
        <v>No Issue</v>
      </c>
      <c r="O756" s="3" t="str">
        <f t="shared" si="102"/>
        <v>No Issue</v>
      </c>
      <c r="P756" s="3" t="str">
        <f t="shared" si="103"/>
        <v>NoIssue</v>
      </c>
    </row>
    <row r="757" ht="15.75" customHeight="1">
      <c r="A757" s="28">
        <v>45.0</v>
      </c>
      <c r="B757" s="34"/>
      <c r="C757" s="34"/>
      <c r="D757" s="3"/>
      <c r="E757" s="3"/>
      <c r="F757" s="27"/>
      <c r="G757" s="27"/>
      <c r="H757" s="27"/>
      <c r="I757" s="3"/>
      <c r="J757" s="3" t="str">
        <f t="shared" si="97"/>
        <v>0</v>
      </c>
      <c r="K757" s="27" t="str">
        <f t="shared" si="98"/>
        <v> No Issue</v>
      </c>
      <c r="L757" s="3" t="str">
        <f t="shared" si="99"/>
        <v>No Issue</v>
      </c>
      <c r="M757" s="3" t="str">
        <f t="shared" si="100"/>
        <v>No Issue</v>
      </c>
      <c r="N757" s="3" t="str">
        <f t="shared" si="101"/>
        <v>No Issue</v>
      </c>
      <c r="O757" s="3" t="str">
        <f t="shared" si="102"/>
        <v>No Issue</v>
      </c>
      <c r="P757" s="3" t="str">
        <f t="shared" si="103"/>
        <v>NoIssue</v>
      </c>
    </row>
    <row r="758" ht="15.75" customHeight="1">
      <c r="A758" s="28">
        <v>46.0</v>
      </c>
      <c r="B758" s="34"/>
      <c r="C758" s="34"/>
      <c r="D758" s="3"/>
      <c r="E758" s="3"/>
      <c r="F758" s="27"/>
      <c r="G758" s="27"/>
      <c r="H758" s="27"/>
      <c r="I758" s="3"/>
      <c r="J758" s="3" t="str">
        <f t="shared" si="97"/>
        <v>0</v>
      </c>
      <c r="K758" s="27" t="str">
        <f t="shared" si="98"/>
        <v> No Issue</v>
      </c>
      <c r="L758" s="3" t="str">
        <f t="shared" si="99"/>
        <v>No Issue</v>
      </c>
      <c r="M758" s="3" t="str">
        <f t="shared" si="100"/>
        <v>No Issue</v>
      </c>
      <c r="N758" s="3" t="str">
        <f t="shared" si="101"/>
        <v>No Issue</v>
      </c>
      <c r="O758" s="3" t="str">
        <f t="shared" si="102"/>
        <v>No Issue</v>
      </c>
      <c r="P758" s="3" t="str">
        <f t="shared" si="103"/>
        <v>NoIssue</v>
      </c>
    </row>
    <row r="759" ht="15.75" customHeight="1">
      <c r="A759" s="28">
        <v>47.0</v>
      </c>
      <c r="B759" s="35"/>
      <c r="C759" s="36"/>
      <c r="D759" s="3"/>
      <c r="E759" s="3"/>
      <c r="F759" s="27"/>
      <c r="G759" s="27"/>
      <c r="H759" s="27"/>
      <c r="I759" s="3"/>
      <c r="J759" s="3" t="str">
        <f t="shared" si="97"/>
        <v>0</v>
      </c>
      <c r="K759" s="27" t="str">
        <f t="shared" si="98"/>
        <v> No Issue</v>
      </c>
      <c r="L759" s="3" t="str">
        <f t="shared" si="99"/>
        <v>No Issue</v>
      </c>
      <c r="M759" s="3" t="str">
        <f t="shared" si="100"/>
        <v>No Issue</v>
      </c>
      <c r="N759" s="3" t="str">
        <f t="shared" si="101"/>
        <v>No Issue</v>
      </c>
      <c r="O759" s="3" t="str">
        <f t="shared" si="102"/>
        <v>No Issue</v>
      </c>
      <c r="P759" s="3" t="str">
        <f t="shared" si="103"/>
        <v>NoIssue</v>
      </c>
    </row>
    <row r="760" ht="15.75" customHeight="1">
      <c r="A760" s="28">
        <v>48.0</v>
      </c>
      <c r="B760" s="35"/>
      <c r="C760" s="36"/>
      <c r="D760" s="3"/>
      <c r="E760" s="3"/>
      <c r="F760" s="27"/>
      <c r="G760" s="27"/>
      <c r="H760" s="27"/>
      <c r="I760" s="3"/>
      <c r="J760" s="3" t="str">
        <f t="shared" si="97"/>
        <v>0</v>
      </c>
      <c r="K760" s="27" t="str">
        <f t="shared" si="98"/>
        <v> No Issue</v>
      </c>
      <c r="L760" s="3" t="str">
        <f t="shared" si="99"/>
        <v>No Issue</v>
      </c>
      <c r="M760" s="3" t="str">
        <f t="shared" si="100"/>
        <v>No Issue</v>
      </c>
      <c r="N760" s="3" t="str">
        <f t="shared" si="101"/>
        <v>No Issue</v>
      </c>
      <c r="O760" s="3" t="str">
        <f t="shared" si="102"/>
        <v>No Issue</v>
      </c>
      <c r="P760" s="3" t="str">
        <f t="shared" si="103"/>
        <v>NoIssue</v>
      </c>
    </row>
    <row r="761" ht="15.75" customHeight="1">
      <c r="A761" s="28">
        <v>49.0</v>
      </c>
      <c r="B761" s="35"/>
      <c r="C761" s="36"/>
      <c r="D761" s="3"/>
      <c r="E761" s="3"/>
      <c r="F761" s="27"/>
      <c r="G761" s="27"/>
      <c r="H761" s="27"/>
      <c r="I761" s="3"/>
      <c r="J761" s="3" t="str">
        <f t="shared" si="97"/>
        <v>0</v>
      </c>
      <c r="K761" s="27" t="str">
        <f t="shared" si="98"/>
        <v> No Issue</v>
      </c>
      <c r="L761" s="3" t="str">
        <f t="shared" si="99"/>
        <v>No Issue</v>
      </c>
      <c r="M761" s="3" t="str">
        <f t="shared" si="100"/>
        <v>No Issue</v>
      </c>
      <c r="N761" s="3" t="str">
        <f t="shared" si="101"/>
        <v>No Issue</v>
      </c>
      <c r="O761" s="3" t="str">
        <f t="shared" si="102"/>
        <v>No Issue</v>
      </c>
      <c r="P761" s="3" t="str">
        <f t="shared" si="103"/>
        <v>NoIssue</v>
      </c>
    </row>
    <row r="762" ht="15.75" customHeight="1">
      <c r="A762" s="28">
        <v>50.0</v>
      </c>
      <c r="B762" s="35"/>
      <c r="C762" s="36"/>
      <c r="D762" s="3"/>
      <c r="E762" s="3"/>
      <c r="F762" s="27"/>
      <c r="G762" s="27"/>
      <c r="H762" s="27"/>
      <c r="I762" s="3"/>
      <c r="J762" s="3" t="str">
        <f t="shared" si="97"/>
        <v>0</v>
      </c>
      <c r="K762" s="27" t="str">
        <f t="shared" si="98"/>
        <v> No Issue</v>
      </c>
      <c r="L762" s="3" t="str">
        <f t="shared" si="99"/>
        <v>No Issue</v>
      </c>
      <c r="M762" s="3" t="str">
        <f t="shared" si="100"/>
        <v>No Issue</v>
      </c>
      <c r="N762" s="3" t="str">
        <f t="shared" si="101"/>
        <v>No Issue</v>
      </c>
      <c r="O762" s="3" t="str">
        <f t="shared" si="102"/>
        <v>No Issue</v>
      </c>
      <c r="P762" s="3" t="str">
        <f t="shared" si="103"/>
        <v>NoIssue</v>
      </c>
    </row>
    <row r="763" ht="15.75" customHeight="1">
      <c r="A763" s="28">
        <v>51.0</v>
      </c>
      <c r="B763" s="35"/>
      <c r="C763" s="36"/>
      <c r="D763" s="3"/>
      <c r="E763" s="3"/>
      <c r="F763" s="27"/>
      <c r="G763" s="27"/>
      <c r="H763" s="27"/>
      <c r="I763" s="3"/>
      <c r="J763" s="3" t="str">
        <f t="shared" si="97"/>
        <v>0</v>
      </c>
      <c r="K763" s="27" t="str">
        <f t="shared" si="98"/>
        <v> No Issue</v>
      </c>
      <c r="L763" s="3" t="str">
        <f t="shared" si="99"/>
        <v>No Issue</v>
      </c>
      <c r="M763" s="3" t="str">
        <f t="shared" si="100"/>
        <v>No Issue</v>
      </c>
      <c r="N763" s="3" t="str">
        <f t="shared" si="101"/>
        <v>No Issue</v>
      </c>
      <c r="O763" s="3" t="str">
        <f t="shared" si="102"/>
        <v>No Issue</v>
      </c>
      <c r="P763" s="3" t="str">
        <f t="shared" si="103"/>
        <v>NoIssue</v>
      </c>
    </row>
    <row r="764" ht="15.75" customHeight="1">
      <c r="A764" s="28">
        <v>52.0</v>
      </c>
      <c r="B764" s="35"/>
      <c r="C764" s="36"/>
      <c r="D764" s="3"/>
      <c r="E764" s="3"/>
      <c r="F764" s="27"/>
      <c r="G764" s="27"/>
      <c r="H764" s="27"/>
      <c r="I764" s="3"/>
      <c r="J764" s="3" t="str">
        <f t="shared" si="97"/>
        <v>0</v>
      </c>
      <c r="K764" s="27" t="str">
        <f t="shared" si="98"/>
        <v> No Issue</v>
      </c>
      <c r="L764" s="3" t="str">
        <f t="shared" si="99"/>
        <v>No Issue</v>
      </c>
      <c r="M764" s="3" t="str">
        <f t="shared" si="100"/>
        <v>No Issue</v>
      </c>
      <c r="N764" s="3" t="str">
        <f t="shared" si="101"/>
        <v>No Issue</v>
      </c>
      <c r="O764" s="3" t="str">
        <f t="shared" si="102"/>
        <v>No Issue</v>
      </c>
      <c r="P764" s="3" t="str">
        <f t="shared" si="103"/>
        <v>NoIssue</v>
      </c>
    </row>
    <row r="765" ht="15.75" customHeight="1">
      <c r="A765" s="28">
        <v>53.0</v>
      </c>
      <c r="B765" s="35"/>
      <c r="C765" s="36"/>
      <c r="D765" s="3"/>
      <c r="E765" s="3"/>
      <c r="F765" s="27"/>
      <c r="G765" s="27"/>
      <c r="H765" s="27"/>
      <c r="I765" s="3"/>
      <c r="J765" s="3" t="str">
        <f t="shared" si="97"/>
        <v>0</v>
      </c>
      <c r="K765" s="27" t="str">
        <f t="shared" si="98"/>
        <v> No Issue</v>
      </c>
      <c r="L765" s="3" t="str">
        <f t="shared" si="99"/>
        <v>No Issue</v>
      </c>
      <c r="M765" s="3" t="str">
        <f t="shared" si="100"/>
        <v>No Issue</v>
      </c>
      <c r="N765" s="3" t="str">
        <f t="shared" si="101"/>
        <v>No Issue</v>
      </c>
      <c r="O765" s="3" t="str">
        <f t="shared" si="102"/>
        <v>No Issue</v>
      </c>
      <c r="P765" s="3" t="str">
        <f t="shared" si="103"/>
        <v>NoIssue</v>
      </c>
    </row>
    <row r="766" ht="15.75" customHeight="1">
      <c r="A766" s="28">
        <v>54.0</v>
      </c>
      <c r="B766" s="34"/>
      <c r="C766" s="34"/>
      <c r="D766" s="3"/>
      <c r="E766" s="3"/>
      <c r="F766" s="27"/>
      <c r="G766" s="27"/>
      <c r="H766" s="27"/>
      <c r="I766" s="3"/>
      <c r="J766" s="3" t="str">
        <f t="shared" si="97"/>
        <v>0</v>
      </c>
      <c r="K766" s="27" t="str">
        <f t="shared" si="98"/>
        <v> No Issue</v>
      </c>
      <c r="L766" s="3" t="str">
        <f t="shared" si="99"/>
        <v>No Issue</v>
      </c>
      <c r="M766" s="3" t="str">
        <f t="shared" si="100"/>
        <v>No Issue</v>
      </c>
      <c r="N766" s="3" t="str">
        <f t="shared" si="101"/>
        <v>No Issue</v>
      </c>
      <c r="O766" s="3" t="str">
        <f t="shared" si="102"/>
        <v>No Issue</v>
      </c>
      <c r="P766" s="3" t="str">
        <f t="shared" si="103"/>
        <v>NoIssue</v>
      </c>
    </row>
    <row r="767" ht="15.75" customHeight="1">
      <c r="A767" s="28">
        <v>55.0</v>
      </c>
      <c r="B767" s="35"/>
      <c r="C767" s="36"/>
      <c r="D767" s="3"/>
      <c r="E767" s="3"/>
      <c r="F767" s="27"/>
      <c r="G767" s="27"/>
      <c r="H767" s="27"/>
      <c r="I767" s="3"/>
      <c r="J767" s="3" t="str">
        <f t="shared" si="97"/>
        <v>0</v>
      </c>
      <c r="K767" s="27" t="str">
        <f t="shared" si="98"/>
        <v> No Issue</v>
      </c>
      <c r="L767" s="3" t="str">
        <f t="shared" si="99"/>
        <v>No Issue</v>
      </c>
      <c r="M767" s="3" t="str">
        <f t="shared" si="100"/>
        <v>No Issue</v>
      </c>
      <c r="N767" s="3" t="str">
        <f t="shared" si="101"/>
        <v>No Issue</v>
      </c>
      <c r="O767" s="3" t="str">
        <f t="shared" si="102"/>
        <v>No Issue</v>
      </c>
      <c r="P767" s="3" t="str">
        <f t="shared" si="103"/>
        <v>NoIssue</v>
      </c>
    </row>
    <row r="768" ht="15.75" customHeight="1">
      <c r="A768" s="28">
        <v>56.0</v>
      </c>
      <c r="B768" s="35"/>
      <c r="C768" s="36"/>
      <c r="D768" s="3"/>
      <c r="E768" s="3"/>
      <c r="F768" s="27"/>
      <c r="G768" s="27"/>
      <c r="H768" s="27"/>
      <c r="I768" s="3"/>
      <c r="J768" s="3" t="str">
        <f t="shared" si="97"/>
        <v>0</v>
      </c>
      <c r="K768" s="27" t="str">
        <f t="shared" si="98"/>
        <v> No Issue</v>
      </c>
      <c r="L768" s="3" t="str">
        <f t="shared" si="99"/>
        <v>No Issue</v>
      </c>
      <c r="M768" s="3" t="str">
        <f t="shared" si="100"/>
        <v>No Issue</v>
      </c>
      <c r="N768" s="3" t="str">
        <f t="shared" si="101"/>
        <v>No Issue</v>
      </c>
      <c r="O768" s="3" t="str">
        <f t="shared" si="102"/>
        <v>No Issue</v>
      </c>
      <c r="P768" s="3" t="str">
        <f t="shared" si="103"/>
        <v>NoIssue</v>
      </c>
    </row>
    <row r="769" ht="15.75" customHeight="1">
      <c r="A769" s="28"/>
      <c r="B769" s="3" t="s">
        <v>64</v>
      </c>
      <c r="C769" s="35"/>
      <c r="D769" s="3" t="str">
        <f t="shared" ref="D769:I769" si="104">SUMPRODUCT(D713:D768,$C713:$C768)</f>
        <v>0</v>
      </c>
      <c r="E769" s="3" t="str">
        <f t="shared" si="104"/>
        <v>0</v>
      </c>
      <c r="F769" s="3" t="str">
        <f t="shared" si="104"/>
        <v>0</v>
      </c>
      <c r="G769" s="3" t="str">
        <f t="shared" si="104"/>
        <v>0</v>
      </c>
      <c r="H769" s="3" t="str">
        <f t="shared" si="104"/>
        <v>0</v>
      </c>
      <c r="I769" s="3" t="str">
        <f t="shared" si="104"/>
        <v>0</v>
      </c>
      <c r="J769" s="3" t="str">
        <f t="shared" si="97"/>
        <v>0</v>
      </c>
      <c r="K769" s="27" t="str">
        <f t="shared" si="98"/>
        <v> No Issue</v>
      </c>
      <c r="L769" s="3" t="str">
        <f t="shared" si="99"/>
        <v>No Issue</v>
      </c>
      <c r="M769" s="3" t="str">
        <f t="shared" si="100"/>
        <v>No Issue</v>
      </c>
      <c r="N769" s="3" t="str">
        <f t="shared" si="101"/>
        <v>No Issue</v>
      </c>
      <c r="O769" s="3" t="str">
        <f t="shared" si="102"/>
        <v>No Issue</v>
      </c>
      <c r="P769" s="3" t="str">
        <f t="shared" si="103"/>
        <v>NoIssue</v>
      </c>
    </row>
    <row r="770" ht="15.75" customHeight="1">
      <c r="A770" s="10"/>
      <c r="B770" s="11" t="s">
        <v>3</v>
      </c>
      <c r="C770" s="39"/>
      <c r="D770" s="13"/>
      <c r="E770" s="11"/>
      <c r="F770" s="15"/>
      <c r="G770" s="16"/>
      <c r="H770" s="17"/>
      <c r="I770" s="15"/>
      <c r="J770" s="18"/>
      <c r="K770" s="19" t="s">
        <v>5</v>
      </c>
      <c r="L770" s="20"/>
      <c r="M770" s="20"/>
      <c r="N770" s="20"/>
      <c r="O770" s="20"/>
      <c r="P770" s="21"/>
    </row>
    <row r="771" ht="15.75" customHeight="1">
      <c r="A771" s="40" t="s">
        <v>6</v>
      </c>
      <c r="B771" s="27" t="s">
        <v>7</v>
      </c>
      <c r="C771" s="27" t="s">
        <v>8</v>
      </c>
      <c r="D771" s="26" t="s">
        <v>9</v>
      </c>
      <c r="E771" s="26" t="s">
        <v>10</v>
      </c>
      <c r="F771" s="26" t="s">
        <v>11</v>
      </c>
      <c r="G771" s="26" t="s">
        <v>12</v>
      </c>
      <c r="H771" s="26" t="s">
        <v>13</v>
      </c>
      <c r="I771" s="26" t="s">
        <v>14</v>
      </c>
      <c r="J771" s="26" t="s">
        <v>15</v>
      </c>
      <c r="K771" s="27" t="s">
        <v>16</v>
      </c>
      <c r="L771" s="27" t="s">
        <v>17</v>
      </c>
      <c r="M771" s="27" t="s">
        <v>18</v>
      </c>
      <c r="N771" s="27" t="s">
        <v>19</v>
      </c>
      <c r="O771" s="27" t="s">
        <v>20</v>
      </c>
      <c r="P771" s="27" t="s">
        <v>21</v>
      </c>
    </row>
    <row r="772" ht="15.75" customHeight="1">
      <c r="A772" s="28">
        <v>1.0</v>
      </c>
      <c r="B772" s="29" t="s">
        <v>22</v>
      </c>
      <c r="C772" s="30">
        <v>192.17</v>
      </c>
      <c r="D772" s="3"/>
      <c r="E772" s="3"/>
      <c r="F772" s="3"/>
      <c r="G772" s="3"/>
      <c r="H772" s="3"/>
      <c r="I772" s="3"/>
      <c r="J772" s="3" t="str">
        <f t="shared" ref="J772:J828" si="105">D772+E772-F772-G772+H772</f>
        <v>0</v>
      </c>
      <c r="K772" s="27" t="str">
        <f t="shared" ref="K772:K828" si="106">IF(I772&lt;&gt;(D772+E772-F772-G772+H772),"Closing stock Not Correct-Problem"," No Issue")</f>
        <v> No Issue</v>
      </c>
      <c r="L772" s="3" t="str">
        <f t="shared" ref="L772:L828" si="107">IF((D772+E772)&lt;F772,"High Sale and Less Stock-Problem","No Issue")</f>
        <v>No Issue</v>
      </c>
      <c r="M772" s="3" t="str">
        <f t="shared" ref="M772:M828" si="108">IF(AND((D772+E772+I772)=0,F772&gt;0),"No Stock Sale Present Problem","No Issue")</f>
        <v>No Issue</v>
      </c>
      <c r="N772" s="3" t="str">
        <f t="shared" ref="N772:N828" si="109">IF(AND(SUM(D772:H772)=0,I772&gt;0),"Only Closing Entered Other Parameters No Entired Problem","No Issue")</f>
        <v>No Issue</v>
      </c>
      <c r="O772" s="3" t="str">
        <f t="shared" ref="O772:O828" si="110">IF(F772&gt;5000,"Check Once Sales quantity or Value Problem","No Issue")</f>
        <v>No Issue</v>
      </c>
      <c r="P772" s="3" t="str">
        <f t="shared" ref="P772:P828" si="111">IF(I772&gt;5000,"Check Once Closing quantity or Value Problem","NoIssue")</f>
        <v>NoIssue</v>
      </c>
    </row>
    <row r="773" ht="15.75" customHeight="1">
      <c r="A773" s="28">
        <v>2.0</v>
      </c>
      <c r="B773" s="29" t="s">
        <v>23</v>
      </c>
      <c r="C773" s="30">
        <v>9.26</v>
      </c>
      <c r="D773" s="3"/>
      <c r="E773" s="3"/>
      <c r="F773" s="3"/>
      <c r="G773" s="3"/>
      <c r="H773" s="3"/>
      <c r="I773" s="3"/>
      <c r="J773" s="3" t="str">
        <f t="shared" si="105"/>
        <v>0</v>
      </c>
      <c r="K773" s="27" t="str">
        <f t="shared" si="106"/>
        <v> No Issue</v>
      </c>
      <c r="L773" s="3" t="str">
        <f t="shared" si="107"/>
        <v>No Issue</v>
      </c>
      <c r="M773" s="3" t="str">
        <f t="shared" si="108"/>
        <v>No Issue</v>
      </c>
      <c r="N773" s="3" t="str">
        <f t="shared" si="109"/>
        <v>No Issue</v>
      </c>
      <c r="O773" s="3" t="str">
        <f t="shared" si="110"/>
        <v>No Issue</v>
      </c>
      <c r="P773" s="3" t="str">
        <f t="shared" si="111"/>
        <v>NoIssue</v>
      </c>
    </row>
    <row r="774" ht="15.75" customHeight="1">
      <c r="A774" s="28">
        <v>3.0</v>
      </c>
      <c r="B774" s="29" t="s">
        <v>24</v>
      </c>
      <c r="C774" s="30">
        <v>87.79</v>
      </c>
      <c r="D774" s="3"/>
      <c r="E774" s="3"/>
      <c r="F774" s="3"/>
      <c r="G774" s="3"/>
      <c r="H774" s="3"/>
      <c r="I774" s="3"/>
      <c r="J774" s="3" t="str">
        <f t="shared" si="105"/>
        <v>0</v>
      </c>
      <c r="K774" s="27" t="str">
        <f t="shared" si="106"/>
        <v> No Issue</v>
      </c>
      <c r="L774" s="3" t="str">
        <f t="shared" si="107"/>
        <v>No Issue</v>
      </c>
      <c r="M774" s="3" t="str">
        <f t="shared" si="108"/>
        <v>No Issue</v>
      </c>
      <c r="N774" s="3" t="str">
        <f t="shared" si="109"/>
        <v>No Issue</v>
      </c>
      <c r="O774" s="3" t="str">
        <f t="shared" si="110"/>
        <v>No Issue</v>
      </c>
      <c r="P774" s="3" t="str">
        <f t="shared" si="111"/>
        <v>NoIssue</v>
      </c>
    </row>
    <row r="775" ht="15.75" customHeight="1">
      <c r="A775" s="28">
        <v>4.0</v>
      </c>
      <c r="B775" s="29" t="s">
        <v>25</v>
      </c>
      <c r="C775" s="30">
        <v>55.55</v>
      </c>
      <c r="D775" s="3"/>
      <c r="E775" s="3"/>
      <c r="F775" s="3"/>
      <c r="G775" s="3"/>
      <c r="H775" s="3"/>
      <c r="I775" s="3"/>
      <c r="J775" s="3" t="str">
        <f t="shared" si="105"/>
        <v>0</v>
      </c>
      <c r="K775" s="27" t="str">
        <f t="shared" si="106"/>
        <v> No Issue</v>
      </c>
      <c r="L775" s="3" t="str">
        <f t="shared" si="107"/>
        <v>No Issue</v>
      </c>
      <c r="M775" s="3" t="str">
        <f t="shared" si="108"/>
        <v>No Issue</v>
      </c>
      <c r="N775" s="3" t="str">
        <f t="shared" si="109"/>
        <v>No Issue</v>
      </c>
      <c r="O775" s="3" t="str">
        <f t="shared" si="110"/>
        <v>No Issue</v>
      </c>
      <c r="P775" s="3" t="str">
        <f t="shared" si="111"/>
        <v>NoIssue</v>
      </c>
    </row>
    <row r="776" ht="15.75" customHeight="1">
      <c r="A776" s="28">
        <v>5.0</v>
      </c>
      <c r="B776" s="29" t="s">
        <v>26</v>
      </c>
      <c r="C776" s="30">
        <v>70.01</v>
      </c>
      <c r="D776" s="3"/>
      <c r="E776" s="3"/>
      <c r="F776" s="3"/>
      <c r="G776" s="3"/>
      <c r="H776" s="3"/>
      <c r="I776" s="3"/>
      <c r="J776" s="3" t="str">
        <f t="shared" si="105"/>
        <v>0</v>
      </c>
      <c r="K776" s="27" t="str">
        <f t="shared" si="106"/>
        <v> No Issue</v>
      </c>
      <c r="L776" s="3" t="str">
        <f t="shared" si="107"/>
        <v>No Issue</v>
      </c>
      <c r="M776" s="3" t="str">
        <f t="shared" si="108"/>
        <v>No Issue</v>
      </c>
      <c r="N776" s="3" t="str">
        <f t="shared" si="109"/>
        <v>No Issue</v>
      </c>
      <c r="O776" s="3" t="str">
        <f t="shared" si="110"/>
        <v>No Issue</v>
      </c>
      <c r="P776" s="3" t="str">
        <f t="shared" si="111"/>
        <v>NoIssue</v>
      </c>
    </row>
    <row r="777" ht="15.75" customHeight="1">
      <c r="A777" s="28">
        <v>6.0</v>
      </c>
      <c r="B777" s="29" t="s">
        <v>27</v>
      </c>
      <c r="C777" s="30">
        <v>73.92999999999999</v>
      </c>
      <c r="D777" s="3"/>
      <c r="E777" s="3"/>
      <c r="F777" s="3"/>
      <c r="G777" s="3"/>
      <c r="H777" s="3"/>
      <c r="I777" s="3"/>
      <c r="J777" s="3" t="str">
        <f t="shared" si="105"/>
        <v>0</v>
      </c>
      <c r="K777" s="27" t="str">
        <f t="shared" si="106"/>
        <v> No Issue</v>
      </c>
      <c r="L777" s="3" t="str">
        <f t="shared" si="107"/>
        <v>No Issue</v>
      </c>
      <c r="M777" s="3" t="str">
        <f t="shared" si="108"/>
        <v>No Issue</v>
      </c>
      <c r="N777" s="3" t="str">
        <f t="shared" si="109"/>
        <v>No Issue</v>
      </c>
      <c r="O777" s="3" t="str">
        <f t="shared" si="110"/>
        <v>No Issue</v>
      </c>
      <c r="P777" s="3" t="str">
        <f t="shared" si="111"/>
        <v>NoIssue</v>
      </c>
    </row>
    <row r="778" ht="15.75" customHeight="1">
      <c r="A778" s="28">
        <v>7.0</v>
      </c>
      <c r="B778" s="29" t="s">
        <v>28</v>
      </c>
      <c r="C778" s="30">
        <v>13.91</v>
      </c>
      <c r="D778" s="3"/>
      <c r="E778" s="3"/>
      <c r="F778" s="3"/>
      <c r="G778" s="3"/>
      <c r="H778" s="3"/>
      <c r="I778" s="3"/>
      <c r="J778" s="3" t="str">
        <f t="shared" si="105"/>
        <v>0</v>
      </c>
      <c r="K778" s="27" t="str">
        <f t="shared" si="106"/>
        <v> No Issue</v>
      </c>
      <c r="L778" s="3" t="str">
        <f t="shared" si="107"/>
        <v>No Issue</v>
      </c>
      <c r="M778" s="3" t="str">
        <f t="shared" si="108"/>
        <v>No Issue</v>
      </c>
      <c r="N778" s="3" t="str">
        <f t="shared" si="109"/>
        <v>No Issue</v>
      </c>
      <c r="O778" s="3" t="str">
        <f t="shared" si="110"/>
        <v>No Issue</v>
      </c>
      <c r="P778" s="3" t="str">
        <f t="shared" si="111"/>
        <v>NoIssue</v>
      </c>
    </row>
    <row r="779" ht="15.75" customHeight="1">
      <c r="A779" s="28">
        <v>8.0</v>
      </c>
      <c r="B779" s="29" t="s">
        <v>29</v>
      </c>
      <c r="C779" s="30">
        <v>19.5</v>
      </c>
      <c r="D779" s="3"/>
      <c r="E779" s="3"/>
      <c r="F779" s="3"/>
      <c r="G779" s="3"/>
      <c r="H779" s="3"/>
      <c r="I779" s="3"/>
      <c r="J779" s="3" t="str">
        <f t="shared" si="105"/>
        <v>0</v>
      </c>
      <c r="K779" s="27" t="str">
        <f t="shared" si="106"/>
        <v> No Issue</v>
      </c>
      <c r="L779" s="3" t="str">
        <f t="shared" si="107"/>
        <v>No Issue</v>
      </c>
      <c r="M779" s="3" t="str">
        <f t="shared" si="108"/>
        <v>No Issue</v>
      </c>
      <c r="N779" s="3" t="str">
        <f t="shared" si="109"/>
        <v>No Issue</v>
      </c>
      <c r="O779" s="3" t="str">
        <f t="shared" si="110"/>
        <v>No Issue</v>
      </c>
      <c r="P779" s="3" t="str">
        <f t="shared" si="111"/>
        <v>NoIssue</v>
      </c>
    </row>
    <row r="780" ht="15.75" customHeight="1">
      <c r="A780" s="28">
        <v>9.0</v>
      </c>
      <c r="B780" s="29" t="s">
        <v>30</v>
      </c>
      <c r="C780" s="30">
        <v>28.83</v>
      </c>
      <c r="D780" s="3"/>
      <c r="E780" s="3"/>
      <c r="F780" s="3"/>
      <c r="G780" s="3"/>
      <c r="H780" s="3"/>
      <c r="I780" s="3"/>
      <c r="J780" s="3" t="str">
        <f t="shared" si="105"/>
        <v>0</v>
      </c>
      <c r="K780" s="27" t="str">
        <f t="shared" si="106"/>
        <v> No Issue</v>
      </c>
      <c r="L780" s="3" t="str">
        <f t="shared" si="107"/>
        <v>No Issue</v>
      </c>
      <c r="M780" s="3" t="str">
        <f t="shared" si="108"/>
        <v>No Issue</v>
      </c>
      <c r="N780" s="3" t="str">
        <f t="shared" si="109"/>
        <v>No Issue</v>
      </c>
      <c r="O780" s="3" t="str">
        <f t="shared" si="110"/>
        <v>No Issue</v>
      </c>
      <c r="P780" s="3" t="str">
        <f t="shared" si="111"/>
        <v>NoIssue</v>
      </c>
    </row>
    <row r="781" ht="15.75" customHeight="1">
      <c r="A781" s="28">
        <v>10.0</v>
      </c>
      <c r="B781" s="29" t="s">
        <v>31</v>
      </c>
      <c r="C781" s="30">
        <v>8.51</v>
      </c>
      <c r="D781" s="3"/>
      <c r="E781" s="3"/>
      <c r="F781" s="3"/>
      <c r="G781" s="3"/>
      <c r="H781" s="3"/>
      <c r="I781" s="3"/>
      <c r="J781" s="3" t="str">
        <f t="shared" si="105"/>
        <v>0</v>
      </c>
      <c r="K781" s="27" t="str">
        <f t="shared" si="106"/>
        <v> No Issue</v>
      </c>
      <c r="L781" s="3" t="str">
        <f t="shared" si="107"/>
        <v>No Issue</v>
      </c>
      <c r="M781" s="3" t="str">
        <f t="shared" si="108"/>
        <v>No Issue</v>
      </c>
      <c r="N781" s="3" t="str">
        <f t="shared" si="109"/>
        <v>No Issue</v>
      </c>
      <c r="O781" s="3" t="str">
        <f t="shared" si="110"/>
        <v>No Issue</v>
      </c>
      <c r="P781" s="3" t="str">
        <f t="shared" si="111"/>
        <v>NoIssue</v>
      </c>
    </row>
    <row r="782" ht="15.75" customHeight="1">
      <c r="A782" s="28">
        <v>11.0</v>
      </c>
      <c r="B782" s="29" t="s">
        <v>32</v>
      </c>
      <c r="C782" s="30">
        <v>102.17</v>
      </c>
      <c r="D782" s="3"/>
      <c r="E782" s="3"/>
      <c r="F782" s="3"/>
      <c r="G782" s="3"/>
      <c r="H782" s="3"/>
      <c r="I782" s="3"/>
      <c r="J782" s="3" t="str">
        <f t="shared" si="105"/>
        <v>0</v>
      </c>
      <c r="K782" s="27" t="str">
        <f t="shared" si="106"/>
        <v> No Issue</v>
      </c>
      <c r="L782" s="3" t="str">
        <f t="shared" si="107"/>
        <v>No Issue</v>
      </c>
      <c r="M782" s="3" t="str">
        <f t="shared" si="108"/>
        <v>No Issue</v>
      </c>
      <c r="N782" s="3" t="str">
        <f t="shared" si="109"/>
        <v>No Issue</v>
      </c>
      <c r="O782" s="3" t="str">
        <f t="shared" si="110"/>
        <v>No Issue</v>
      </c>
      <c r="P782" s="3" t="str">
        <f t="shared" si="111"/>
        <v>NoIssue</v>
      </c>
    </row>
    <row r="783" ht="15.75" customHeight="1">
      <c r="A783" s="28">
        <v>12.0</v>
      </c>
      <c r="B783" s="29" t="s">
        <v>33</v>
      </c>
      <c r="C783" s="30">
        <v>59.93</v>
      </c>
      <c r="D783" s="3"/>
      <c r="E783" s="3"/>
      <c r="F783" s="3"/>
      <c r="G783" s="3"/>
      <c r="H783" s="3"/>
      <c r="I783" s="3"/>
      <c r="J783" s="3" t="str">
        <f t="shared" si="105"/>
        <v>0</v>
      </c>
      <c r="K783" s="27" t="str">
        <f t="shared" si="106"/>
        <v> No Issue</v>
      </c>
      <c r="L783" s="3" t="str">
        <f t="shared" si="107"/>
        <v>No Issue</v>
      </c>
      <c r="M783" s="3" t="str">
        <f t="shared" si="108"/>
        <v>No Issue</v>
      </c>
      <c r="N783" s="3" t="str">
        <f t="shared" si="109"/>
        <v>No Issue</v>
      </c>
      <c r="O783" s="3" t="str">
        <f t="shared" si="110"/>
        <v>No Issue</v>
      </c>
      <c r="P783" s="3" t="str">
        <f t="shared" si="111"/>
        <v>NoIssue</v>
      </c>
    </row>
    <row r="784" ht="15.75" customHeight="1">
      <c r="A784" s="28">
        <v>13.0</v>
      </c>
      <c r="B784" s="29" t="s">
        <v>34</v>
      </c>
      <c r="C784" s="30">
        <v>118.0</v>
      </c>
      <c r="D784" s="3"/>
      <c r="E784" s="3"/>
      <c r="F784" s="3"/>
      <c r="G784" s="3"/>
      <c r="H784" s="3"/>
      <c r="I784" s="3"/>
      <c r="J784" s="3" t="str">
        <f t="shared" si="105"/>
        <v>0</v>
      </c>
      <c r="K784" s="27" t="str">
        <f t="shared" si="106"/>
        <v> No Issue</v>
      </c>
      <c r="L784" s="3" t="str">
        <f t="shared" si="107"/>
        <v>No Issue</v>
      </c>
      <c r="M784" s="3" t="str">
        <f t="shared" si="108"/>
        <v>No Issue</v>
      </c>
      <c r="N784" s="3" t="str">
        <f t="shared" si="109"/>
        <v>No Issue</v>
      </c>
      <c r="O784" s="3" t="str">
        <f t="shared" si="110"/>
        <v>No Issue</v>
      </c>
      <c r="P784" s="3" t="str">
        <f t="shared" si="111"/>
        <v>NoIssue</v>
      </c>
    </row>
    <row r="785" ht="15.75" customHeight="1">
      <c r="A785" s="28">
        <v>14.0</v>
      </c>
      <c r="B785" s="29" t="s">
        <v>35</v>
      </c>
      <c r="C785" s="30">
        <v>52.83</v>
      </c>
      <c r="D785" s="3"/>
      <c r="E785" s="3"/>
      <c r="F785" s="3"/>
      <c r="G785" s="3"/>
      <c r="H785" s="3"/>
      <c r="I785" s="3"/>
      <c r="J785" s="3" t="str">
        <f t="shared" si="105"/>
        <v>0</v>
      </c>
      <c r="K785" s="27" t="str">
        <f t="shared" si="106"/>
        <v> No Issue</v>
      </c>
      <c r="L785" s="3" t="str">
        <f t="shared" si="107"/>
        <v>No Issue</v>
      </c>
      <c r="M785" s="3" t="str">
        <f t="shared" si="108"/>
        <v>No Issue</v>
      </c>
      <c r="N785" s="3" t="str">
        <f t="shared" si="109"/>
        <v>No Issue</v>
      </c>
      <c r="O785" s="3" t="str">
        <f t="shared" si="110"/>
        <v>No Issue</v>
      </c>
      <c r="P785" s="3" t="str">
        <f t="shared" si="111"/>
        <v>NoIssue</v>
      </c>
    </row>
    <row r="786" ht="15.75" customHeight="1">
      <c r="A786" s="28">
        <v>15.0</v>
      </c>
      <c r="B786" s="29" t="s">
        <v>36</v>
      </c>
      <c r="C786" s="30">
        <v>93.2</v>
      </c>
      <c r="D786" s="3"/>
      <c r="E786" s="3"/>
      <c r="F786" s="3"/>
      <c r="G786" s="3"/>
      <c r="H786" s="3"/>
      <c r="I786" s="3"/>
      <c r="J786" s="3" t="str">
        <f t="shared" si="105"/>
        <v>0</v>
      </c>
      <c r="K786" s="27" t="str">
        <f t="shared" si="106"/>
        <v> No Issue</v>
      </c>
      <c r="L786" s="3" t="str">
        <f t="shared" si="107"/>
        <v>No Issue</v>
      </c>
      <c r="M786" s="3" t="str">
        <f t="shared" si="108"/>
        <v>No Issue</v>
      </c>
      <c r="N786" s="3" t="str">
        <f t="shared" si="109"/>
        <v>No Issue</v>
      </c>
      <c r="O786" s="3" t="str">
        <f t="shared" si="110"/>
        <v>No Issue</v>
      </c>
      <c r="P786" s="3" t="str">
        <f t="shared" si="111"/>
        <v>NoIssue</v>
      </c>
    </row>
    <row r="787" ht="15.75" customHeight="1">
      <c r="A787" s="28">
        <v>16.0</v>
      </c>
      <c r="B787" s="29" t="s">
        <v>37</v>
      </c>
      <c r="C787" s="30">
        <v>61.02</v>
      </c>
      <c r="D787" s="3"/>
      <c r="E787" s="3"/>
      <c r="F787" s="3"/>
      <c r="G787" s="3"/>
      <c r="H787" s="3"/>
      <c r="I787" s="3"/>
      <c r="J787" s="3" t="str">
        <f t="shared" si="105"/>
        <v>0</v>
      </c>
      <c r="K787" s="27" t="str">
        <f t="shared" si="106"/>
        <v> No Issue</v>
      </c>
      <c r="L787" s="3" t="str">
        <f t="shared" si="107"/>
        <v>No Issue</v>
      </c>
      <c r="M787" s="3" t="str">
        <f t="shared" si="108"/>
        <v>No Issue</v>
      </c>
      <c r="N787" s="3" t="str">
        <f t="shared" si="109"/>
        <v>No Issue</v>
      </c>
      <c r="O787" s="3" t="str">
        <f t="shared" si="110"/>
        <v>No Issue</v>
      </c>
      <c r="P787" s="3" t="str">
        <f t="shared" si="111"/>
        <v>NoIssue</v>
      </c>
    </row>
    <row r="788" ht="15.75" customHeight="1">
      <c r="A788" s="28">
        <v>17.0</v>
      </c>
      <c r="B788" s="29" t="s">
        <v>38</v>
      </c>
      <c r="C788" s="30">
        <v>36.62</v>
      </c>
      <c r="D788" s="3"/>
      <c r="E788" s="3"/>
      <c r="F788" s="3"/>
      <c r="G788" s="3"/>
      <c r="H788" s="3"/>
      <c r="I788" s="3"/>
      <c r="J788" s="3" t="str">
        <f t="shared" si="105"/>
        <v>0</v>
      </c>
      <c r="K788" s="27" t="str">
        <f t="shared" si="106"/>
        <v> No Issue</v>
      </c>
      <c r="L788" s="3" t="str">
        <f t="shared" si="107"/>
        <v>No Issue</v>
      </c>
      <c r="M788" s="3" t="str">
        <f t="shared" si="108"/>
        <v>No Issue</v>
      </c>
      <c r="N788" s="3" t="str">
        <f t="shared" si="109"/>
        <v>No Issue</v>
      </c>
      <c r="O788" s="3" t="str">
        <f t="shared" si="110"/>
        <v>No Issue</v>
      </c>
      <c r="P788" s="3" t="str">
        <f t="shared" si="111"/>
        <v>NoIssue</v>
      </c>
    </row>
    <row r="789" ht="15.75" customHeight="1">
      <c r="A789" s="28">
        <v>18.0</v>
      </c>
      <c r="B789" s="29" t="s">
        <v>39</v>
      </c>
      <c r="C789" s="30">
        <v>80.36</v>
      </c>
      <c r="D789" s="3"/>
      <c r="E789" s="3"/>
      <c r="F789" s="3"/>
      <c r="G789" s="3"/>
      <c r="H789" s="3"/>
      <c r="I789" s="3"/>
      <c r="J789" s="3" t="str">
        <f t="shared" si="105"/>
        <v>0</v>
      </c>
      <c r="K789" s="27" t="str">
        <f t="shared" si="106"/>
        <v> No Issue</v>
      </c>
      <c r="L789" s="3" t="str">
        <f t="shared" si="107"/>
        <v>No Issue</v>
      </c>
      <c r="M789" s="3" t="str">
        <f t="shared" si="108"/>
        <v>No Issue</v>
      </c>
      <c r="N789" s="3" t="str">
        <f t="shared" si="109"/>
        <v>No Issue</v>
      </c>
      <c r="O789" s="3" t="str">
        <f t="shared" si="110"/>
        <v>No Issue</v>
      </c>
      <c r="P789" s="3" t="str">
        <f t="shared" si="111"/>
        <v>NoIssue</v>
      </c>
    </row>
    <row r="790" ht="15.75" customHeight="1">
      <c r="A790" s="28">
        <v>19.0</v>
      </c>
      <c r="B790" s="29" t="s">
        <v>40</v>
      </c>
      <c r="C790" s="30">
        <v>160.56</v>
      </c>
      <c r="D790" s="3"/>
      <c r="E790" s="3"/>
      <c r="F790" s="3"/>
      <c r="G790" s="3"/>
      <c r="H790" s="3"/>
      <c r="I790" s="3"/>
      <c r="J790" s="3" t="str">
        <f t="shared" si="105"/>
        <v>0</v>
      </c>
      <c r="K790" s="27" t="str">
        <f t="shared" si="106"/>
        <v> No Issue</v>
      </c>
      <c r="L790" s="3" t="str">
        <f t="shared" si="107"/>
        <v>No Issue</v>
      </c>
      <c r="M790" s="3" t="str">
        <f t="shared" si="108"/>
        <v>No Issue</v>
      </c>
      <c r="N790" s="3" t="str">
        <f t="shared" si="109"/>
        <v>No Issue</v>
      </c>
      <c r="O790" s="3" t="str">
        <f t="shared" si="110"/>
        <v>No Issue</v>
      </c>
      <c r="P790" s="3" t="str">
        <f t="shared" si="111"/>
        <v>NoIssue</v>
      </c>
    </row>
    <row r="791" ht="15.75" customHeight="1">
      <c r="A791" s="28">
        <v>20.0</v>
      </c>
      <c r="B791" s="29" t="s">
        <v>41</v>
      </c>
      <c r="C791" s="30">
        <v>186.44</v>
      </c>
      <c r="D791" s="3"/>
      <c r="E791" s="3"/>
      <c r="F791" s="3"/>
      <c r="G791" s="3"/>
      <c r="H791" s="3"/>
      <c r="I791" s="3"/>
      <c r="J791" s="3" t="str">
        <f t="shared" si="105"/>
        <v>0</v>
      </c>
      <c r="K791" s="27" t="str">
        <f t="shared" si="106"/>
        <v> No Issue</v>
      </c>
      <c r="L791" s="3" t="str">
        <f t="shared" si="107"/>
        <v>No Issue</v>
      </c>
      <c r="M791" s="3" t="str">
        <f t="shared" si="108"/>
        <v>No Issue</v>
      </c>
      <c r="N791" s="3" t="str">
        <f t="shared" si="109"/>
        <v>No Issue</v>
      </c>
      <c r="O791" s="3" t="str">
        <f t="shared" si="110"/>
        <v>No Issue</v>
      </c>
      <c r="P791" s="3" t="str">
        <f t="shared" si="111"/>
        <v>NoIssue</v>
      </c>
    </row>
    <row r="792" ht="15.75" customHeight="1">
      <c r="A792" s="28">
        <v>21.0</v>
      </c>
      <c r="B792" s="29" t="s">
        <v>42</v>
      </c>
      <c r="C792" s="30">
        <v>92.59</v>
      </c>
      <c r="D792" s="3"/>
      <c r="E792" s="3"/>
      <c r="F792" s="3"/>
      <c r="G792" s="3"/>
      <c r="H792" s="3"/>
      <c r="I792" s="3"/>
      <c r="J792" s="3" t="str">
        <f t="shared" si="105"/>
        <v>0</v>
      </c>
      <c r="K792" s="27" t="str">
        <f t="shared" si="106"/>
        <v> No Issue</v>
      </c>
      <c r="L792" s="3" t="str">
        <f t="shared" si="107"/>
        <v>No Issue</v>
      </c>
      <c r="M792" s="3" t="str">
        <f t="shared" si="108"/>
        <v>No Issue</v>
      </c>
      <c r="N792" s="3" t="str">
        <f t="shared" si="109"/>
        <v>No Issue</v>
      </c>
      <c r="O792" s="3" t="str">
        <f t="shared" si="110"/>
        <v>No Issue</v>
      </c>
      <c r="P792" s="3" t="str">
        <f t="shared" si="111"/>
        <v>NoIssue</v>
      </c>
    </row>
    <row r="793" ht="15.75" customHeight="1">
      <c r="A793" s="28">
        <v>22.0</v>
      </c>
      <c r="B793" s="29" t="s">
        <v>43</v>
      </c>
      <c r="C793" s="30">
        <v>95.17</v>
      </c>
      <c r="D793" s="3"/>
      <c r="E793" s="3"/>
      <c r="F793" s="3"/>
      <c r="G793" s="3"/>
      <c r="H793" s="3"/>
      <c r="I793" s="3"/>
      <c r="J793" s="3" t="str">
        <f t="shared" si="105"/>
        <v>0</v>
      </c>
      <c r="K793" s="27" t="str">
        <f t="shared" si="106"/>
        <v> No Issue</v>
      </c>
      <c r="L793" s="3" t="str">
        <f t="shared" si="107"/>
        <v>No Issue</v>
      </c>
      <c r="M793" s="3" t="str">
        <f t="shared" si="108"/>
        <v>No Issue</v>
      </c>
      <c r="N793" s="3" t="str">
        <f t="shared" si="109"/>
        <v>No Issue</v>
      </c>
      <c r="O793" s="3" t="str">
        <f t="shared" si="110"/>
        <v>No Issue</v>
      </c>
      <c r="P793" s="3" t="str">
        <f t="shared" si="111"/>
        <v>NoIssue</v>
      </c>
    </row>
    <row r="794" ht="15.75" customHeight="1">
      <c r="A794" s="28">
        <v>23.0</v>
      </c>
      <c r="B794" s="29" t="s">
        <v>44</v>
      </c>
      <c r="C794" s="30">
        <v>92.94</v>
      </c>
      <c r="D794" s="3"/>
      <c r="E794" s="3"/>
      <c r="F794" s="3"/>
      <c r="G794" s="3"/>
      <c r="H794" s="3"/>
      <c r="I794" s="3"/>
      <c r="J794" s="3" t="str">
        <f t="shared" si="105"/>
        <v>0</v>
      </c>
      <c r="K794" s="27" t="str">
        <f t="shared" si="106"/>
        <v> No Issue</v>
      </c>
      <c r="L794" s="3" t="str">
        <f t="shared" si="107"/>
        <v>No Issue</v>
      </c>
      <c r="M794" s="3" t="str">
        <f t="shared" si="108"/>
        <v>No Issue</v>
      </c>
      <c r="N794" s="3" t="str">
        <f t="shared" si="109"/>
        <v>No Issue</v>
      </c>
      <c r="O794" s="3" t="str">
        <f t="shared" si="110"/>
        <v>No Issue</v>
      </c>
      <c r="P794" s="3" t="str">
        <f t="shared" si="111"/>
        <v>NoIssue</v>
      </c>
    </row>
    <row r="795" ht="15.75" customHeight="1">
      <c r="A795" s="28">
        <v>24.0</v>
      </c>
      <c r="B795" s="29" t="s">
        <v>45</v>
      </c>
      <c r="C795" s="30">
        <v>101.82</v>
      </c>
      <c r="D795" s="3"/>
      <c r="E795" s="3"/>
      <c r="F795" s="3"/>
      <c r="G795" s="3"/>
      <c r="H795" s="3"/>
      <c r="I795" s="3"/>
      <c r="J795" s="3" t="str">
        <f t="shared" si="105"/>
        <v>0</v>
      </c>
      <c r="K795" s="27" t="str">
        <f t="shared" si="106"/>
        <v> No Issue</v>
      </c>
      <c r="L795" s="3" t="str">
        <f t="shared" si="107"/>
        <v>No Issue</v>
      </c>
      <c r="M795" s="3" t="str">
        <f t="shared" si="108"/>
        <v>No Issue</v>
      </c>
      <c r="N795" s="3" t="str">
        <f t="shared" si="109"/>
        <v>No Issue</v>
      </c>
      <c r="O795" s="3" t="str">
        <f t="shared" si="110"/>
        <v>No Issue</v>
      </c>
      <c r="P795" s="3" t="str">
        <f t="shared" si="111"/>
        <v>NoIssue</v>
      </c>
    </row>
    <row r="796" ht="15.75" customHeight="1">
      <c r="A796" s="28">
        <v>25.0</v>
      </c>
      <c r="B796" s="29" t="s">
        <v>46</v>
      </c>
      <c r="C796" s="30">
        <v>53.49</v>
      </c>
      <c r="D796" s="3"/>
      <c r="E796" s="3"/>
      <c r="F796" s="3"/>
      <c r="G796" s="3"/>
      <c r="H796" s="3"/>
      <c r="I796" s="3"/>
      <c r="J796" s="3" t="str">
        <f t="shared" si="105"/>
        <v>0</v>
      </c>
      <c r="K796" s="27" t="str">
        <f t="shared" si="106"/>
        <v> No Issue</v>
      </c>
      <c r="L796" s="3" t="str">
        <f t="shared" si="107"/>
        <v>No Issue</v>
      </c>
      <c r="M796" s="3" t="str">
        <f t="shared" si="108"/>
        <v>No Issue</v>
      </c>
      <c r="N796" s="3" t="str">
        <f t="shared" si="109"/>
        <v>No Issue</v>
      </c>
      <c r="O796" s="3" t="str">
        <f t="shared" si="110"/>
        <v>No Issue</v>
      </c>
      <c r="P796" s="3" t="str">
        <f t="shared" si="111"/>
        <v>NoIssue</v>
      </c>
    </row>
    <row r="797" ht="15.75" customHeight="1">
      <c r="A797" s="28">
        <v>26.0</v>
      </c>
      <c r="B797" s="29" t="s">
        <v>47</v>
      </c>
      <c r="C797" s="30">
        <v>32.92</v>
      </c>
      <c r="D797" s="3"/>
      <c r="E797" s="3"/>
      <c r="F797" s="3"/>
      <c r="G797" s="3"/>
      <c r="H797" s="3"/>
      <c r="I797" s="3"/>
      <c r="J797" s="3" t="str">
        <f t="shared" si="105"/>
        <v>0</v>
      </c>
      <c r="K797" s="27" t="str">
        <f t="shared" si="106"/>
        <v> No Issue</v>
      </c>
      <c r="L797" s="3" t="str">
        <f t="shared" si="107"/>
        <v>No Issue</v>
      </c>
      <c r="M797" s="3" t="str">
        <f t="shared" si="108"/>
        <v>No Issue</v>
      </c>
      <c r="N797" s="3" t="str">
        <f t="shared" si="109"/>
        <v>No Issue</v>
      </c>
      <c r="O797" s="3" t="str">
        <f t="shared" si="110"/>
        <v>No Issue</v>
      </c>
      <c r="P797" s="3" t="str">
        <f t="shared" si="111"/>
        <v>NoIssue</v>
      </c>
    </row>
    <row r="798" ht="15.75" customHeight="1">
      <c r="A798" s="28">
        <v>27.0</v>
      </c>
      <c r="B798" s="29" t="s">
        <v>48</v>
      </c>
      <c r="C798" s="30">
        <v>116.68</v>
      </c>
      <c r="D798" s="3"/>
      <c r="E798" s="3"/>
      <c r="F798" s="3"/>
      <c r="G798" s="3"/>
      <c r="H798" s="3"/>
      <c r="I798" s="3"/>
      <c r="J798" s="3" t="str">
        <f t="shared" si="105"/>
        <v>0</v>
      </c>
      <c r="K798" s="27" t="str">
        <f t="shared" si="106"/>
        <v> No Issue</v>
      </c>
      <c r="L798" s="3" t="str">
        <f t="shared" si="107"/>
        <v>No Issue</v>
      </c>
      <c r="M798" s="3" t="str">
        <f t="shared" si="108"/>
        <v>No Issue</v>
      </c>
      <c r="N798" s="3" t="str">
        <f t="shared" si="109"/>
        <v>No Issue</v>
      </c>
      <c r="O798" s="3" t="str">
        <f t="shared" si="110"/>
        <v>No Issue</v>
      </c>
      <c r="P798" s="3" t="str">
        <f t="shared" si="111"/>
        <v>NoIssue</v>
      </c>
    </row>
    <row r="799" ht="15.75" customHeight="1">
      <c r="A799" s="28">
        <v>28.0</v>
      </c>
      <c r="B799" s="29" t="s">
        <v>49</v>
      </c>
      <c r="C799" s="30">
        <v>107.96</v>
      </c>
      <c r="D799" s="3"/>
      <c r="E799" s="3"/>
      <c r="F799" s="3"/>
      <c r="G799" s="3"/>
      <c r="H799" s="3"/>
      <c r="I799" s="3"/>
      <c r="J799" s="3" t="str">
        <f t="shared" si="105"/>
        <v>0</v>
      </c>
      <c r="K799" s="27" t="str">
        <f t="shared" si="106"/>
        <v> No Issue</v>
      </c>
      <c r="L799" s="3" t="str">
        <f t="shared" si="107"/>
        <v>No Issue</v>
      </c>
      <c r="M799" s="3" t="str">
        <f t="shared" si="108"/>
        <v>No Issue</v>
      </c>
      <c r="N799" s="3" t="str">
        <f t="shared" si="109"/>
        <v>No Issue</v>
      </c>
      <c r="O799" s="3" t="str">
        <f t="shared" si="110"/>
        <v>No Issue</v>
      </c>
      <c r="P799" s="3" t="str">
        <f t="shared" si="111"/>
        <v>NoIssue</v>
      </c>
    </row>
    <row r="800" ht="15.75" customHeight="1">
      <c r="A800" s="28">
        <v>29.0</v>
      </c>
      <c r="B800" s="29" t="s">
        <v>50</v>
      </c>
      <c r="C800" s="30">
        <v>248.89</v>
      </c>
      <c r="D800" s="3"/>
      <c r="E800" s="3"/>
      <c r="F800" s="3"/>
      <c r="G800" s="3"/>
      <c r="H800" s="3"/>
      <c r="I800" s="3"/>
      <c r="J800" s="3" t="str">
        <f t="shared" si="105"/>
        <v>0</v>
      </c>
      <c r="K800" s="27" t="str">
        <f t="shared" si="106"/>
        <v> No Issue</v>
      </c>
      <c r="L800" s="3" t="str">
        <f t="shared" si="107"/>
        <v>No Issue</v>
      </c>
      <c r="M800" s="3" t="str">
        <f t="shared" si="108"/>
        <v>No Issue</v>
      </c>
      <c r="N800" s="3" t="str">
        <f t="shared" si="109"/>
        <v>No Issue</v>
      </c>
      <c r="O800" s="3" t="str">
        <f t="shared" si="110"/>
        <v>No Issue</v>
      </c>
      <c r="P800" s="3" t="str">
        <f t="shared" si="111"/>
        <v>NoIssue</v>
      </c>
    </row>
    <row r="801" ht="15.75" customHeight="1">
      <c r="A801" s="28">
        <v>30.0</v>
      </c>
      <c r="B801" s="29" t="s">
        <v>51</v>
      </c>
      <c r="C801" s="30">
        <v>80.36</v>
      </c>
      <c r="D801" s="3"/>
      <c r="E801" s="3"/>
      <c r="F801" s="27"/>
      <c r="G801" s="27"/>
      <c r="H801" s="27"/>
      <c r="I801" s="3"/>
      <c r="J801" s="3" t="str">
        <f t="shared" si="105"/>
        <v>0</v>
      </c>
      <c r="K801" s="27" t="str">
        <f t="shared" si="106"/>
        <v> No Issue</v>
      </c>
      <c r="L801" s="3" t="str">
        <f t="shared" si="107"/>
        <v>No Issue</v>
      </c>
      <c r="M801" s="3" t="str">
        <f t="shared" si="108"/>
        <v>No Issue</v>
      </c>
      <c r="N801" s="3" t="str">
        <f t="shared" si="109"/>
        <v>No Issue</v>
      </c>
      <c r="O801" s="3" t="str">
        <f t="shared" si="110"/>
        <v>No Issue</v>
      </c>
      <c r="P801" s="3" t="str">
        <f t="shared" si="111"/>
        <v>NoIssue</v>
      </c>
    </row>
    <row r="802" ht="15.75" customHeight="1">
      <c r="A802" s="28">
        <v>31.0</v>
      </c>
      <c r="B802" s="29" t="s">
        <v>52</v>
      </c>
      <c r="C802" s="30">
        <v>52.46</v>
      </c>
      <c r="D802" s="3"/>
      <c r="E802" s="3"/>
      <c r="F802" s="27"/>
      <c r="G802" s="27"/>
      <c r="H802" s="27"/>
      <c r="I802" s="3"/>
      <c r="J802" s="3" t="str">
        <f t="shared" si="105"/>
        <v>0</v>
      </c>
      <c r="K802" s="27" t="str">
        <f t="shared" si="106"/>
        <v> No Issue</v>
      </c>
      <c r="L802" s="3" t="str">
        <f t="shared" si="107"/>
        <v>No Issue</v>
      </c>
      <c r="M802" s="3" t="str">
        <f t="shared" si="108"/>
        <v>No Issue</v>
      </c>
      <c r="N802" s="3" t="str">
        <f t="shared" si="109"/>
        <v>No Issue</v>
      </c>
      <c r="O802" s="3" t="str">
        <f t="shared" si="110"/>
        <v>No Issue</v>
      </c>
      <c r="P802" s="3" t="str">
        <f t="shared" si="111"/>
        <v>NoIssue</v>
      </c>
    </row>
    <row r="803" ht="15.75" customHeight="1">
      <c r="A803" s="28">
        <v>32.0</v>
      </c>
      <c r="B803" s="29" t="s">
        <v>53</v>
      </c>
      <c r="C803" s="30">
        <v>71.21</v>
      </c>
      <c r="D803" s="3"/>
      <c r="E803" s="3"/>
      <c r="F803" s="27"/>
      <c r="G803" s="27"/>
      <c r="H803" s="27"/>
      <c r="I803" s="3"/>
      <c r="J803" s="3" t="str">
        <f t="shared" si="105"/>
        <v>0</v>
      </c>
      <c r="K803" s="27" t="str">
        <f t="shared" si="106"/>
        <v> No Issue</v>
      </c>
      <c r="L803" s="3" t="str">
        <f t="shared" si="107"/>
        <v>No Issue</v>
      </c>
      <c r="M803" s="3" t="str">
        <f t="shared" si="108"/>
        <v>No Issue</v>
      </c>
      <c r="N803" s="3" t="str">
        <f t="shared" si="109"/>
        <v>No Issue</v>
      </c>
      <c r="O803" s="3" t="str">
        <f t="shared" si="110"/>
        <v>No Issue</v>
      </c>
      <c r="P803" s="3" t="str">
        <f t="shared" si="111"/>
        <v>NoIssue</v>
      </c>
    </row>
    <row r="804" ht="15.75" customHeight="1">
      <c r="A804" s="28">
        <v>33.0</v>
      </c>
      <c r="B804" s="29" t="s">
        <v>54</v>
      </c>
      <c r="C804" s="30">
        <v>80.35</v>
      </c>
      <c r="D804" s="3"/>
      <c r="E804" s="3"/>
      <c r="F804" s="27"/>
      <c r="G804" s="27"/>
      <c r="H804" s="27"/>
      <c r="I804" s="3"/>
      <c r="J804" s="3" t="str">
        <f t="shared" si="105"/>
        <v>0</v>
      </c>
      <c r="K804" s="27" t="str">
        <f t="shared" si="106"/>
        <v> No Issue</v>
      </c>
      <c r="L804" s="3" t="str">
        <f t="shared" si="107"/>
        <v>No Issue</v>
      </c>
      <c r="M804" s="3" t="str">
        <f t="shared" si="108"/>
        <v>No Issue</v>
      </c>
      <c r="N804" s="3" t="str">
        <f t="shared" si="109"/>
        <v>No Issue</v>
      </c>
      <c r="O804" s="3" t="str">
        <f t="shared" si="110"/>
        <v>No Issue</v>
      </c>
      <c r="P804" s="3" t="str">
        <f t="shared" si="111"/>
        <v>NoIssue</v>
      </c>
    </row>
    <row r="805" ht="15.75" customHeight="1">
      <c r="A805" s="28">
        <v>34.0</v>
      </c>
      <c r="B805" s="29" t="s">
        <v>55</v>
      </c>
      <c r="C805" s="30">
        <v>64.18</v>
      </c>
      <c r="D805" s="3"/>
      <c r="E805" s="3"/>
      <c r="F805" s="27"/>
      <c r="G805" s="27"/>
      <c r="H805" s="27"/>
      <c r="I805" s="3"/>
      <c r="J805" s="3" t="str">
        <f t="shared" si="105"/>
        <v>0</v>
      </c>
      <c r="K805" s="27" t="str">
        <f t="shared" si="106"/>
        <v> No Issue</v>
      </c>
      <c r="L805" s="3" t="str">
        <f t="shared" si="107"/>
        <v>No Issue</v>
      </c>
      <c r="M805" s="3" t="str">
        <f t="shared" si="108"/>
        <v>No Issue</v>
      </c>
      <c r="N805" s="3" t="str">
        <f t="shared" si="109"/>
        <v>No Issue</v>
      </c>
      <c r="O805" s="3" t="str">
        <f t="shared" si="110"/>
        <v>No Issue</v>
      </c>
      <c r="P805" s="3" t="str">
        <f t="shared" si="111"/>
        <v>NoIssue</v>
      </c>
    </row>
    <row r="806" ht="15.75" customHeight="1">
      <c r="A806" s="28">
        <v>35.0</v>
      </c>
      <c r="B806" s="29" t="s">
        <v>56</v>
      </c>
      <c r="C806" s="30">
        <v>36.9</v>
      </c>
      <c r="D806" s="3"/>
      <c r="E806" s="3"/>
      <c r="F806" s="27"/>
      <c r="G806" s="27"/>
      <c r="H806" s="27"/>
      <c r="I806" s="3"/>
      <c r="J806" s="3" t="str">
        <f t="shared" si="105"/>
        <v>0</v>
      </c>
      <c r="K806" s="27" t="str">
        <f t="shared" si="106"/>
        <v> No Issue</v>
      </c>
      <c r="L806" s="3" t="str">
        <f t="shared" si="107"/>
        <v>No Issue</v>
      </c>
      <c r="M806" s="3" t="str">
        <f t="shared" si="108"/>
        <v>No Issue</v>
      </c>
      <c r="N806" s="3" t="str">
        <f t="shared" si="109"/>
        <v>No Issue</v>
      </c>
      <c r="O806" s="3" t="str">
        <f t="shared" si="110"/>
        <v>No Issue</v>
      </c>
      <c r="P806" s="3" t="str">
        <f t="shared" si="111"/>
        <v>NoIssue</v>
      </c>
    </row>
    <row r="807" ht="15.75" customHeight="1">
      <c r="A807" s="28">
        <v>36.0</v>
      </c>
      <c r="B807" s="29" t="s">
        <v>57</v>
      </c>
      <c r="C807" s="30">
        <v>101.54</v>
      </c>
      <c r="D807" s="3"/>
      <c r="E807" s="3"/>
      <c r="F807" s="27"/>
      <c r="G807" s="27"/>
      <c r="H807" s="27"/>
      <c r="I807" s="3"/>
      <c r="J807" s="3" t="str">
        <f t="shared" si="105"/>
        <v>0</v>
      </c>
      <c r="K807" s="27" t="str">
        <f t="shared" si="106"/>
        <v> No Issue</v>
      </c>
      <c r="L807" s="3" t="str">
        <f t="shared" si="107"/>
        <v>No Issue</v>
      </c>
      <c r="M807" s="3" t="str">
        <f t="shared" si="108"/>
        <v>No Issue</v>
      </c>
      <c r="N807" s="3" t="str">
        <f t="shared" si="109"/>
        <v>No Issue</v>
      </c>
      <c r="O807" s="3" t="str">
        <f t="shared" si="110"/>
        <v>No Issue</v>
      </c>
      <c r="P807" s="3" t="str">
        <f t="shared" si="111"/>
        <v>NoIssue</v>
      </c>
    </row>
    <row r="808" ht="15.75" customHeight="1">
      <c r="A808" s="28">
        <v>37.0</v>
      </c>
      <c r="B808" s="29" t="s">
        <v>58</v>
      </c>
      <c r="C808" s="30">
        <v>40.5</v>
      </c>
      <c r="D808" s="3"/>
      <c r="E808" s="3"/>
      <c r="F808" s="27"/>
      <c r="G808" s="27"/>
      <c r="H808" s="27"/>
      <c r="I808" s="3"/>
      <c r="J808" s="3" t="str">
        <f t="shared" si="105"/>
        <v>0</v>
      </c>
      <c r="K808" s="27" t="str">
        <f t="shared" si="106"/>
        <v> No Issue</v>
      </c>
      <c r="L808" s="3" t="str">
        <f t="shared" si="107"/>
        <v>No Issue</v>
      </c>
      <c r="M808" s="3" t="str">
        <f t="shared" si="108"/>
        <v>No Issue</v>
      </c>
      <c r="N808" s="3" t="str">
        <f t="shared" si="109"/>
        <v>No Issue</v>
      </c>
      <c r="O808" s="3" t="str">
        <f t="shared" si="110"/>
        <v>No Issue</v>
      </c>
      <c r="P808" s="3" t="str">
        <f t="shared" si="111"/>
        <v>NoIssue</v>
      </c>
    </row>
    <row r="809" ht="15.75" customHeight="1">
      <c r="A809" s="28">
        <v>38.0</v>
      </c>
      <c r="B809" s="29" t="s">
        <v>59</v>
      </c>
      <c r="C809" s="30">
        <v>66.69</v>
      </c>
      <c r="D809" s="3"/>
      <c r="E809" s="3"/>
      <c r="F809" s="27"/>
      <c r="G809" s="27"/>
      <c r="H809" s="27"/>
      <c r="I809" s="3"/>
      <c r="J809" s="3" t="str">
        <f t="shared" si="105"/>
        <v>0</v>
      </c>
      <c r="K809" s="27" t="str">
        <f t="shared" si="106"/>
        <v> No Issue</v>
      </c>
      <c r="L809" s="3" t="str">
        <f t="shared" si="107"/>
        <v>No Issue</v>
      </c>
      <c r="M809" s="3" t="str">
        <f t="shared" si="108"/>
        <v>No Issue</v>
      </c>
      <c r="N809" s="3" t="str">
        <f t="shared" si="109"/>
        <v>No Issue</v>
      </c>
      <c r="O809" s="3" t="str">
        <f t="shared" si="110"/>
        <v>No Issue</v>
      </c>
      <c r="P809" s="3" t="str">
        <f t="shared" si="111"/>
        <v>NoIssue</v>
      </c>
    </row>
    <row r="810" ht="15.75" customHeight="1">
      <c r="A810" s="28">
        <v>39.0</v>
      </c>
      <c r="B810" s="29" t="s">
        <v>60</v>
      </c>
      <c r="C810" s="29">
        <v>150.85999999999999</v>
      </c>
      <c r="D810" s="3"/>
      <c r="E810" s="3"/>
      <c r="F810" s="27"/>
      <c r="G810" s="27"/>
      <c r="H810" s="27"/>
      <c r="I810" s="3"/>
      <c r="J810" s="3" t="str">
        <f t="shared" si="105"/>
        <v>0</v>
      </c>
      <c r="K810" s="27" t="str">
        <f t="shared" si="106"/>
        <v> No Issue</v>
      </c>
      <c r="L810" s="3" t="str">
        <f t="shared" si="107"/>
        <v>No Issue</v>
      </c>
      <c r="M810" s="3" t="str">
        <f t="shared" si="108"/>
        <v>No Issue</v>
      </c>
      <c r="N810" s="3" t="str">
        <f t="shared" si="109"/>
        <v>No Issue</v>
      </c>
      <c r="O810" s="3" t="str">
        <f t="shared" si="110"/>
        <v>No Issue</v>
      </c>
      <c r="P810" s="3" t="str">
        <f t="shared" si="111"/>
        <v>NoIssue</v>
      </c>
    </row>
    <row r="811" ht="15.75" customHeight="1">
      <c r="A811" s="28">
        <v>40.0</v>
      </c>
      <c r="B811" s="33" t="s">
        <v>61</v>
      </c>
      <c r="C811" s="30">
        <v>180.0</v>
      </c>
      <c r="D811" s="3"/>
      <c r="E811" s="3"/>
      <c r="F811" s="27"/>
      <c r="G811" s="27"/>
      <c r="H811" s="27"/>
      <c r="I811" s="3"/>
      <c r="J811" s="3" t="str">
        <f t="shared" si="105"/>
        <v>0</v>
      </c>
      <c r="K811" s="27" t="str">
        <f t="shared" si="106"/>
        <v> No Issue</v>
      </c>
      <c r="L811" s="3" t="str">
        <f t="shared" si="107"/>
        <v>No Issue</v>
      </c>
      <c r="M811" s="3" t="str">
        <f t="shared" si="108"/>
        <v>No Issue</v>
      </c>
      <c r="N811" s="3" t="str">
        <f t="shared" si="109"/>
        <v>No Issue</v>
      </c>
      <c r="O811" s="3" t="str">
        <f t="shared" si="110"/>
        <v>No Issue</v>
      </c>
      <c r="P811" s="3" t="str">
        <f t="shared" si="111"/>
        <v>NoIssue</v>
      </c>
    </row>
    <row r="812" ht="15.75" customHeight="1">
      <c r="A812" s="28">
        <v>41.0</v>
      </c>
      <c r="B812" s="33" t="s">
        <v>62</v>
      </c>
      <c r="C812" s="29">
        <v>128.57</v>
      </c>
      <c r="D812" s="3"/>
      <c r="E812" s="3"/>
      <c r="F812" s="27"/>
      <c r="G812" s="27"/>
      <c r="H812" s="27"/>
      <c r="I812" s="3"/>
      <c r="J812" s="3" t="str">
        <f t="shared" si="105"/>
        <v>0</v>
      </c>
      <c r="K812" s="27" t="str">
        <f t="shared" si="106"/>
        <v> No Issue</v>
      </c>
      <c r="L812" s="3" t="str">
        <f t="shared" si="107"/>
        <v>No Issue</v>
      </c>
      <c r="M812" s="3" t="str">
        <f t="shared" si="108"/>
        <v>No Issue</v>
      </c>
      <c r="N812" s="3" t="str">
        <f t="shared" si="109"/>
        <v>No Issue</v>
      </c>
      <c r="O812" s="3" t="str">
        <f t="shared" si="110"/>
        <v>No Issue</v>
      </c>
      <c r="P812" s="3" t="str">
        <f t="shared" si="111"/>
        <v>NoIssue</v>
      </c>
    </row>
    <row r="813" ht="15.75" customHeight="1">
      <c r="A813" s="28">
        <v>42.0</v>
      </c>
      <c r="B813" s="29"/>
      <c r="C813" s="29"/>
      <c r="D813" s="3"/>
      <c r="E813" s="3"/>
      <c r="F813" s="27"/>
      <c r="G813" s="27"/>
      <c r="H813" s="27"/>
      <c r="I813" s="3"/>
      <c r="J813" s="3" t="str">
        <f t="shared" si="105"/>
        <v>0</v>
      </c>
      <c r="K813" s="27" t="str">
        <f t="shared" si="106"/>
        <v> No Issue</v>
      </c>
      <c r="L813" s="3" t="str">
        <f t="shared" si="107"/>
        <v>No Issue</v>
      </c>
      <c r="M813" s="3" t="str">
        <f t="shared" si="108"/>
        <v>No Issue</v>
      </c>
      <c r="N813" s="3" t="str">
        <f t="shared" si="109"/>
        <v>No Issue</v>
      </c>
      <c r="O813" s="3" t="str">
        <f t="shared" si="110"/>
        <v>No Issue</v>
      </c>
      <c r="P813" s="3" t="str">
        <f t="shared" si="111"/>
        <v>NoIssue</v>
      </c>
    </row>
    <row r="814" ht="15.75" customHeight="1">
      <c r="A814" s="28">
        <v>43.0</v>
      </c>
      <c r="B814" s="34"/>
      <c r="C814" s="34"/>
      <c r="D814" s="3"/>
      <c r="E814" s="3"/>
      <c r="F814" s="27"/>
      <c r="G814" s="27"/>
      <c r="H814" s="27"/>
      <c r="I814" s="3"/>
      <c r="J814" s="3" t="str">
        <f t="shared" si="105"/>
        <v>0</v>
      </c>
      <c r="K814" s="27" t="str">
        <f t="shared" si="106"/>
        <v> No Issue</v>
      </c>
      <c r="L814" s="3" t="str">
        <f t="shared" si="107"/>
        <v>No Issue</v>
      </c>
      <c r="M814" s="3" t="str">
        <f t="shared" si="108"/>
        <v>No Issue</v>
      </c>
      <c r="N814" s="3" t="str">
        <f t="shared" si="109"/>
        <v>No Issue</v>
      </c>
      <c r="O814" s="3" t="str">
        <f t="shared" si="110"/>
        <v>No Issue</v>
      </c>
      <c r="P814" s="3" t="str">
        <f t="shared" si="111"/>
        <v>NoIssue</v>
      </c>
    </row>
    <row r="815" ht="15.75" customHeight="1">
      <c r="A815" s="28">
        <v>44.0</v>
      </c>
      <c r="B815" s="34"/>
      <c r="C815" s="34"/>
      <c r="D815" s="3"/>
      <c r="E815" s="3"/>
      <c r="F815" s="27"/>
      <c r="G815" s="27"/>
      <c r="H815" s="27"/>
      <c r="I815" s="3"/>
      <c r="J815" s="3" t="str">
        <f t="shared" si="105"/>
        <v>0</v>
      </c>
      <c r="K815" s="27" t="str">
        <f t="shared" si="106"/>
        <v> No Issue</v>
      </c>
      <c r="L815" s="3" t="str">
        <f t="shared" si="107"/>
        <v>No Issue</v>
      </c>
      <c r="M815" s="3" t="str">
        <f t="shared" si="108"/>
        <v>No Issue</v>
      </c>
      <c r="N815" s="3" t="str">
        <f t="shared" si="109"/>
        <v>No Issue</v>
      </c>
      <c r="O815" s="3" t="str">
        <f t="shared" si="110"/>
        <v>No Issue</v>
      </c>
      <c r="P815" s="3" t="str">
        <f t="shared" si="111"/>
        <v>NoIssue</v>
      </c>
    </row>
    <row r="816" ht="15.75" customHeight="1">
      <c r="A816" s="28">
        <v>45.0</v>
      </c>
      <c r="B816" s="34"/>
      <c r="C816" s="34"/>
      <c r="D816" s="3"/>
      <c r="E816" s="3"/>
      <c r="F816" s="27"/>
      <c r="G816" s="27"/>
      <c r="H816" s="27"/>
      <c r="I816" s="3"/>
      <c r="J816" s="3" t="str">
        <f t="shared" si="105"/>
        <v>0</v>
      </c>
      <c r="K816" s="27" t="str">
        <f t="shared" si="106"/>
        <v> No Issue</v>
      </c>
      <c r="L816" s="3" t="str">
        <f t="shared" si="107"/>
        <v>No Issue</v>
      </c>
      <c r="M816" s="3" t="str">
        <f t="shared" si="108"/>
        <v>No Issue</v>
      </c>
      <c r="N816" s="3" t="str">
        <f t="shared" si="109"/>
        <v>No Issue</v>
      </c>
      <c r="O816" s="3" t="str">
        <f t="shared" si="110"/>
        <v>No Issue</v>
      </c>
      <c r="P816" s="3" t="str">
        <f t="shared" si="111"/>
        <v>NoIssue</v>
      </c>
    </row>
    <row r="817" ht="15.75" customHeight="1">
      <c r="A817" s="28">
        <v>46.0</v>
      </c>
      <c r="B817" s="34"/>
      <c r="C817" s="34"/>
      <c r="D817" s="3"/>
      <c r="E817" s="3"/>
      <c r="F817" s="27"/>
      <c r="G817" s="27"/>
      <c r="H817" s="27"/>
      <c r="I817" s="3"/>
      <c r="J817" s="3" t="str">
        <f t="shared" si="105"/>
        <v>0</v>
      </c>
      <c r="K817" s="27" t="str">
        <f t="shared" si="106"/>
        <v> No Issue</v>
      </c>
      <c r="L817" s="3" t="str">
        <f t="shared" si="107"/>
        <v>No Issue</v>
      </c>
      <c r="M817" s="3" t="str">
        <f t="shared" si="108"/>
        <v>No Issue</v>
      </c>
      <c r="N817" s="3" t="str">
        <f t="shared" si="109"/>
        <v>No Issue</v>
      </c>
      <c r="O817" s="3" t="str">
        <f t="shared" si="110"/>
        <v>No Issue</v>
      </c>
      <c r="P817" s="3" t="str">
        <f t="shared" si="111"/>
        <v>NoIssue</v>
      </c>
    </row>
    <row r="818" ht="15.75" customHeight="1">
      <c r="A818" s="28">
        <v>47.0</v>
      </c>
      <c r="B818" s="35"/>
      <c r="C818" s="36"/>
      <c r="D818" s="3"/>
      <c r="E818" s="3"/>
      <c r="F818" s="27"/>
      <c r="G818" s="27"/>
      <c r="H818" s="27"/>
      <c r="I818" s="3"/>
      <c r="J818" s="3" t="str">
        <f t="shared" si="105"/>
        <v>0</v>
      </c>
      <c r="K818" s="27" t="str">
        <f t="shared" si="106"/>
        <v> No Issue</v>
      </c>
      <c r="L818" s="3" t="str">
        <f t="shared" si="107"/>
        <v>No Issue</v>
      </c>
      <c r="M818" s="3" t="str">
        <f t="shared" si="108"/>
        <v>No Issue</v>
      </c>
      <c r="N818" s="3" t="str">
        <f t="shared" si="109"/>
        <v>No Issue</v>
      </c>
      <c r="O818" s="3" t="str">
        <f t="shared" si="110"/>
        <v>No Issue</v>
      </c>
      <c r="P818" s="3" t="str">
        <f t="shared" si="111"/>
        <v>NoIssue</v>
      </c>
    </row>
    <row r="819" ht="15.75" customHeight="1">
      <c r="A819" s="28">
        <v>48.0</v>
      </c>
      <c r="B819" s="35"/>
      <c r="C819" s="36"/>
      <c r="D819" s="3"/>
      <c r="E819" s="3"/>
      <c r="F819" s="27"/>
      <c r="G819" s="27"/>
      <c r="H819" s="27"/>
      <c r="I819" s="3"/>
      <c r="J819" s="3" t="str">
        <f t="shared" si="105"/>
        <v>0</v>
      </c>
      <c r="K819" s="27" t="str">
        <f t="shared" si="106"/>
        <v> No Issue</v>
      </c>
      <c r="L819" s="3" t="str">
        <f t="shared" si="107"/>
        <v>No Issue</v>
      </c>
      <c r="M819" s="3" t="str">
        <f t="shared" si="108"/>
        <v>No Issue</v>
      </c>
      <c r="N819" s="3" t="str">
        <f t="shared" si="109"/>
        <v>No Issue</v>
      </c>
      <c r="O819" s="3" t="str">
        <f t="shared" si="110"/>
        <v>No Issue</v>
      </c>
      <c r="P819" s="3" t="str">
        <f t="shared" si="111"/>
        <v>NoIssue</v>
      </c>
    </row>
    <row r="820" ht="15.75" customHeight="1">
      <c r="A820" s="28">
        <v>49.0</v>
      </c>
      <c r="B820" s="35"/>
      <c r="C820" s="36"/>
      <c r="D820" s="3"/>
      <c r="E820" s="3"/>
      <c r="F820" s="27"/>
      <c r="G820" s="27"/>
      <c r="H820" s="27"/>
      <c r="I820" s="3"/>
      <c r="J820" s="3" t="str">
        <f t="shared" si="105"/>
        <v>0</v>
      </c>
      <c r="K820" s="27" t="str">
        <f t="shared" si="106"/>
        <v> No Issue</v>
      </c>
      <c r="L820" s="3" t="str">
        <f t="shared" si="107"/>
        <v>No Issue</v>
      </c>
      <c r="M820" s="3" t="str">
        <f t="shared" si="108"/>
        <v>No Issue</v>
      </c>
      <c r="N820" s="3" t="str">
        <f t="shared" si="109"/>
        <v>No Issue</v>
      </c>
      <c r="O820" s="3" t="str">
        <f t="shared" si="110"/>
        <v>No Issue</v>
      </c>
      <c r="P820" s="3" t="str">
        <f t="shared" si="111"/>
        <v>NoIssue</v>
      </c>
    </row>
    <row r="821" ht="15.75" customHeight="1">
      <c r="A821" s="28">
        <v>50.0</v>
      </c>
      <c r="B821" s="35"/>
      <c r="C821" s="36"/>
      <c r="D821" s="3"/>
      <c r="E821" s="3"/>
      <c r="F821" s="27"/>
      <c r="G821" s="27"/>
      <c r="H821" s="27"/>
      <c r="I821" s="3"/>
      <c r="J821" s="3" t="str">
        <f t="shared" si="105"/>
        <v>0</v>
      </c>
      <c r="K821" s="27" t="str">
        <f t="shared" si="106"/>
        <v> No Issue</v>
      </c>
      <c r="L821" s="3" t="str">
        <f t="shared" si="107"/>
        <v>No Issue</v>
      </c>
      <c r="M821" s="3" t="str">
        <f t="shared" si="108"/>
        <v>No Issue</v>
      </c>
      <c r="N821" s="3" t="str">
        <f t="shared" si="109"/>
        <v>No Issue</v>
      </c>
      <c r="O821" s="3" t="str">
        <f t="shared" si="110"/>
        <v>No Issue</v>
      </c>
      <c r="P821" s="3" t="str">
        <f t="shared" si="111"/>
        <v>NoIssue</v>
      </c>
    </row>
    <row r="822" ht="15.75" customHeight="1">
      <c r="A822" s="28">
        <v>51.0</v>
      </c>
      <c r="B822" s="35"/>
      <c r="C822" s="36"/>
      <c r="D822" s="3"/>
      <c r="E822" s="3"/>
      <c r="F822" s="27"/>
      <c r="G822" s="27"/>
      <c r="H822" s="27"/>
      <c r="I822" s="3"/>
      <c r="J822" s="3" t="str">
        <f t="shared" si="105"/>
        <v>0</v>
      </c>
      <c r="K822" s="27" t="str">
        <f t="shared" si="106"/>
        <v> No Issue</v>
      </c>
      <c r="L822" s="3" t="str">
        <f t="shared" si="107"/>
        <v>No Issue</v>
      </c>
      <c r="M822" s="3" t="str">
        <f t="shared" si="108"/>
        <v>No Issue</v>
      </c>
      <c r="N822" s="3" t="str">
        <f t="shared" si="109"/>
        <v>No Issue</v>
      </c>
      <c r="O822" s="3" t="str">
        <f t="shared" si="110"/>
        <v>No Issue</v>
      </c>
      <c r="P822" s="3" t="str">
        <f t="shared" si="111"/>
        <v>NoIssue</v>
      </c>
    </row>
    <row r="823" ht="15.75" customHeight="1">
      <c r="A823" s="28">
        <v>52.0</v>
      </c>
      <c r="B823" s="35"/>
      <c r="C823" s="36"/>
      <c r="D823" s="3"/>
      <c r="E823" s="3"/>
      <c r="F823" s="27"/>
      <c r="G823" s="27"/>
      <c r="H823" s="27"/>
      <c r="I823" s="3"/>
      <c r="J823" s="3" t="str">
        <f t="shared" si="105"/>
        <v>0</v>
      </c>
      <c r="K823" s="27" t="str">
        <f t="shared" si="106"/>
        <v> No Issue</v>
      </c>
      <c r="L823" s="3" t="str">
        <f t="shared" si="107"/>
        <v>No Issue</v>
      </c>
      <c r="M823" s="3" t="str">
        <f t="shared" si="108"/>
        <v>No Issue</v>
      </c>
      <c r="N823" s="3" t="str">
        <f t="shared" si="109"/>
        <v>No Issue</v>
      </c>
      <c r="O823" s="3" t="str">
        <f t="shared" si="110"/>
        <v>No Issue</v>
      </c>
      <c r="P823" s="3" t="str">
        <f t="shared" si="111"/>
        <v>NoIssue</v>
      </c>
    </row>
    <row r="824" ht="15.75" customHeight="1">
      <c r="A824" s="28">
        <v>53.0</v>
      </c>
      <c r="B824" s="35"/>
      <c r="C824" s="36"/>
      <c r="D824" s="3"/>
      <c r="E824" s="3"/>
      <c r="F824" s="27"/>
      <c r="G824" s="27"/>
      <c r="H824" s="27"/>
      <c r="I824" s="3"/>
      <c r="J824" s="3" t="str">
        <f t="shared" si="105"/>
        <v>0</v>
      </c>
      <c r="K824" s="27" t="str">
        <f t="shared" si="106"/>
        <v> No Issue</v>
      </c>
      <c r="L824" s="3" t="str">
        <f t="shared" si="107"/>
        <v>No Issue</v>
      </c>
      <c r="M824" s="3" t="str">
        <f t="shared" si="108"/>
        <v>No Issue</v>
      </c>
      <c r="N824" s="3" t="str">
        <f t="shared" si="109"/>
        <v>No Issue</v>
      </c>
      <c r="O824" s="3" t="str">
        <f t="shared" si="110"/>
        <v>No Issue</v>
      </c>
      <c r="P824" s="3" t="str">
        <f t="shared" si="111"/>
        <v>NoIssue</v>
      </c>
    </row>
    <row r="825" ht="15.75" customHeight="1">
      <c r="A825" s="28">
        <v>54.0</v>
      </c>
      <c r="B825" s="34"/>
      <c r="C825" s="34"/>
      <c r="D825" s="3"/>
      <c r="E825" s="3"/>
      <c r="F825" s="27"/>
      <c r="G825" s="27"/>
      <c r="H825" s="27"/>
      <c r="I825" s="3"/>
      <c r="J825" s="3" t="str">
        <f t="shared" si="105"/>
        <v>0</v>
      </c>
      <c r="K825" s="27" t="str">
        <f t="shared" si="106"/>
        <v> No Issue</v>
      </c>
      <c r="L825" s="3" t="str">
        <f t="shared" si="107"/>
        <v>No Issue</v>
      </c>
      <c r="M825" s="3" t="str">
        <f t="shared" si="108"/>
        <v>No Issue</v>
      </c>
      <c r="N825" s="3" t="str">
        <f t="shared" si="109"/>
        <v>No Issue</v>
      </c>
      <c r="O825" s="3" t="str">
        <f t="shared" si="110"/>
        <v>No Issue</v>
      </c>
      <c r="P825" s="3" t="str">
        <f t="shared" si="111"/>
        <v>NoIssue</v>
      </c>
    </row>
    <row r="826" ht="15.75" customHeight="1">
      <c r="A826" s="28">
        <v>55.0</v>
      </c>
      <c r="B826" s="35"/>
      <c r="C826" s="36"/>
      <c r="D826" s="3"/>
      <c r="E826" s="3"/>
      <c r="F826" s="27"/>
      <c r="G826" s="27"/>
      <c r="H826" s="27"/>
      <c r="I826" s="3"/>
      <c r="J826" s="3" t="str">
        <f t="shared" si="105"/>
        <v>0</v>
      </c>
      <c r="K826" s="27" t="str">
        <f t="shared" si="106"/>
        <v> No Issue</v>
      </c>
      <c r="L826" s="3" t="str">
        <f t="shared" si="107"/>
        <v>No Issue</v>
      </c>
      <c r="M826" s="3" t="str">
        <f t="shared" si="108"/>
        <v>No Issue</v>
      </c>
      <c r="N826" s="3" t="str">
        <f t="shared" si="109"/>
        <v>No Issue</v>
      </c>
      <c r="O826" s="3" t="str">
        <f t="shared" si="110"/>
        <v>No Issue</v>
      </c>
      <c r="P826" s="3" t="str">
        <f t="shared" si="111"/>
        <v>NoIssue</v>
      </c>
    </row>
    <row r="827" ht="15.75" customHeight="1">
      <c r="A827" s="28">
        <v>56.0</v>
      </c>
      <c r="B827" s="35"/>
      <c r="C827" s="36"/>
      <c r="D827" s="3"/>
      <c r="E827" s="3"/>
      <c r="F827" s="27"/>
      <c r="G827" s="27"/>
      <c r="H827" s="27"/>
      <c r="I827" s="3"/>
      <c r="J827" s="3" t="str">
        <f t="shared" si="105"/>
        <v>0</v>
      </c>
      <c r="K827" s="27" t="str">
        <f t="shared" si="106"/>
        <v> No Issue</v>
      </c>
      <c r="L827" s="3" t="str">
        <f t="shared" si="107"/>
        <v>No Issue</v>
      </c>
      <c r="M827" s="3" t="str">
        <f t="shared" si="108"/>
        <v>No Issue</v>
      </c>
      <c r="N827" s="3" t="str">
        <f t="shared" si="109"/>
        <v>No Issue</v>
      </c>
      <c r="O827" s="3" t="str">
        <f t="shared" si="110"/>
        <v>No Issue</v>
      </c>
      <c r="P827" s="3" t="str">
        <f t="shared" si="111"/>
        <v>NoIssue</v>
      </c>
    </row>
    <row r="828" ht="15.75" customHeight="1">
      <c r="A828" s="28"/>
      <c r="B828" s="3" t="s">
        <v>64</v>
      </c>
      <c r="C828" s="35"/>
      <c r="D828" s="3" t="str">
        <f t="shared" ref="D828:I828" si="112">SUMPRODUCT(D772:D827,$C772:$C827)</f>
        <v>0</v>
      </c>
      <c r="E828" s="3" t="str">
        <f t="shared" si="112"/>
        <v>0</v>
      </c>
      <c r="F828" s="3" t="str">
        <f t="shared" si="112"/>
        <v>0</v>
      </c>
      <c r="G828" s="3" t="str">
        <f t="shared" si="112"/>
        <v>0</v>
      </c>
      <c r="H828" s="3" t="str">
        <f t="shared" si="112"/>
        <v>0</v>
      </c>
      <c r="I828" s="3" t="str">
        <f t="shared" si="112"/>
        <v>0</v>
      </c>
      <c r="J828" s="3" t="str">
        <f t="shared" si="105"/>
        <v>0</v>
      </c>
      <c r="K828" s="27" t="str">
        <f t="shared" si="106"/>
        <v> No Issue</v>
      </c>
      <c r="L828" s="3" t="str">
        <f t="shared" si="107"/>
        <v>No Issue</v>
      </c>
      <c r="M828" s="3" t="str">
        <f t="shared" si="108"/>
        <v>No Issue</v>
      </c>
      <c r="N828" s="3" t="str">
        <f t="shared" si="109"/>
        <v>No Issue</v>
      </c>
      <c r="O828" s="3" t="str">
        <f t="shared" si="110"/>
        <v>No Issue</v>
      </c>
      <c r="P828" s="3" t="str">
        <f t="shared" si="111"/>
        <v>NoIssue</v>
      </c>
    </row>
    <row r="829" ht="15.75" customHeight="1">
      <c r="A829" s="10"/>
      <c r="B829" s="11" t="s">
        <v>3</v>
      </c>
      <c r="C829" s="39"/>
      <c r="D829" s="13"/>
      <c r="E829" s="11"/>
      <c r="F829" s="15"/>
      <c r="G829" s="16"/>
      <c r="H829" s="17"/>
      <c r="I829" s="15"/>
      <c r="J829" s="18"/>
      <c r="K829" s="19" t="s">
        <v>5</v>
      </c>
      <c r="L829" s="20"/>
      <c r="M829" s="20"/>
      <c r="N829" s="20"/>
      <c r="O829" s="20"/>
      <c r="P829" s="21"/>
    </row>
    <row r="830" ht="15.75" customHeight="1">
      <c r="A830" s="40" t="s">
        <v>6</v>
      </c>
      <c r="B830" s="27" t="s">
        <v>7</v>
      </c>
      <c r="C830" s="27" t="s">
        <v>8</v>
      </c>
      <c r="D830" s="26" t="s">
        <v>9</v>
      </c>
      <c r="E830" s="26" t="s">
        <v>10</v>
      </c>
      <c r="F830" s="26" t="s">
        <v>11</v>
      </c>
      <c r="G830" s="26" t="s">
        <v>12</v>
      </c>
      <c r="H830" s="26" t="s">
        <v>13</v>
      </c>
      <c r="I830" s="26" t="s">
        <v>14</v>
      </c>
      <c r="J830" s="26" t="s">
        <v>15</v>
      </c>
      <c r="K830" s="27" t="s">
        <v>16</v>
      </c>
      <c r="L830" s="27" t="s">
        <v>17</v>
      </c>
      <c r="M830" s="27" t="s">
        <v>18</v>
      </c>
      <c r="N830" s="27" t="s">
        <v>19</v>
      </c>
      <c r="O830" s="27" t="s">
        <v>20</v>
      </c>
      <c r="P830" s="27" t="s">
        <v>21</v>
      </c>
    </row>
    <row r="831" ht="15.75" customHeight="1">
      <c r="A831" s="28">
        <v>1.0</v>
      </c>
      <c r="B831" s="29" t="s">
        <v>22</v>
      </c>
      <c r="C831" s="30">
        <v>192.17</v>
      </c>
      <c r="D831" s="3"/>
      <c r="E831" s="3"/>
      <c r="F831" s="3"/>
      <c r="G831" s="3"/>
      <c r="H831" s="3"/>
      <c r="I831" s="3"/>
      <c r="J831" s="3" t="str">
        <f t="shared" ref="J831:J887" si="113">D831+E831-F831-G831+H831</f>
        <v>0</v>
      </c>
      <c r="K831" s="27" t="str">
        <f t="shared" ref="K831:K887" si="114">IF(I831&lt;&gt;(D831+E831-F831-G831+H831),"Closing stock Not Correct-Problem"," No Issue")</f>
        <v> No Issue</v>
      </c>
      <c r="L831" s="3" t="str">
        <f t="shared" ref="L831:L887" si="115">IF((D831+E831)&lt;F831,"High Sale and Less Stock-Problem","No Issue")</f>
        <v>No Issue</v>
      </c>
      <c r="M831" s="3" t="str">
        <f t="shared" ref="M831:M887" si="116">IF(AND((D831+E831+I831)=0,F831&gt;0),"No Stock Sale Present Problem","No Issue")</f>
        <v>No Issue</v>
      </c>
      <c r="N831" s="3" t="str">
        <f t="shared" ref="N831:N887" si="117">IF(AND(SUM(D831:H831)=0,I831&gt;0),"Only Closing Entered Other Parameters No Entired Problem","No Issue")</f>
        <v>No Issue</v>
      </c>
      <c r="O831" s="3" t="str">
        <f t="shared" ref="O831:O887" si="118">IF(F831&gt;5000,"Check Once Sales quantity or Value Problem","No Issue")</f>
        <v>No Issue</v>
      </c>
      <c r="P831" s="3" t="str">
        <f t="shared" ref="P831:P887" si="119">IF(I831&gt;5000,"Check Once Closing quantity or Value Problem","NoIssue")</f>
        <v>NoIssue</v>
      </c>
    </row>
    <row r="832" ht="15.75" customHeight="1">
      <c r="A832" s="28">
        <v>2.0</v>
      </c>
      <c r="B832" s="29" t="s">
        <v>23</v>
      </c>
      <c r="C832" s="30">
        <v>9.26</v>
      </c>
      <c r="D832" s="3"/>
      <c r="E832" s="3"/>
      <c r="F832" s="3"/>
      <c r="G832" s="3"/>
      <c r="H832" s="3"/>
      <c r="I832" s="3"/>
      <c r="J832" s="3" t="str">
        <f t="shared" si="113"/>
        <v>0</v>
      </c>
      <c r="K832" s="27" t="str">
        <f t="shared" si="114"/>
        <v> No Issue</v>
      </c>
      <c r="L832" s="3" t="str">
        <f t="shared" si="115"/>
        <v>No Issue</v>
      </c>
      <c r="M832" s="3" t="str">
        <f t="shared" si="116"/>
        <v>No Issue</v>
      </c>
      <c r="N832" s="3" t="str">
        <f t="shared" si="117"/>
        <v>No Issue</v>
      </c>
      <c r="O832" s="3" t="str">
        <f t="shared" si="118"/>
        <v>No Issue</v>
      </c>
      <c r="P832" s="3" t="str">
        <f t="shared" si="119"/>
        <v>NoIssue</v>
      </c>
    </row>
    <row r="833" ht="15.75" customHeight="1">
      <c r="A833" s="28">
        <v>3.0</v>
      </c>
      <c r="B833" s="29" t="s">
        <v>24</v>
      </c>
      <c r="C833" s="30">
        <v>87.79</v>
      </c>
      <c r="D833" s="3"/>
      <c r="E833" s="3"/>
      <c r="F833" s="3"/>
      <c r="G833" s="3"/>
      <c r="H833" s="3"/>
      <c r="I833" s="3"/>
      <c r="J833" s="3" t="str">
        <f t="shared" si="113"/>
        <v>0</v>
      </c>
      <c r="K833" s="27" t="str">
        <f t="shared" si="114"/>
        <v> No Issue</v>
      </c>
      <c r="L833" s="3" t="str">
        <f t="shared" si="115"/>
        <v>No Issue</v>
      </c>
      <c r="M833" s="3" t="str">
        <f t="shared" si="116"/>
        <v>No Issue</v>
      </c>
      <c r="N833" s="3" t="str">
        <f t="shared" si="117"/>
        <v>No Issue</v>
      </c>
      <c r="O833" s="3" t="str">
        <f t="shared" si="118"/>
        <v>No Issue</v>
      </c>
      <c r="P833" s="3" t="str">
        <f t="shared" si="119"/>
        <v>NoIssue</v>
      </c>
    </row>
    <row r="834" ht="15.75" customHeight="1">
      <c r="A834" s="28">
        <v>4.0</v>
      </c>
      <c r="B834" s="29" t="s">
        <v>25</v>
      </c>
      <c r="C834" s="30">
        <v>55.55</v>
      </c>
      <c r="D834" s="3"/>
      <c r="E834" s="3"/>
      <c r="F834" s="3"/>
      <c r="G834" s="3"/>
      <c r="H834" s="3"/>
      <c r="I834" s="3"/>
      <c r="J834" s="3" t="str">
        <f t="shared" si="113"/>
        <v>0</v>
      </c>
      <c r="K834" s="27" t="str">
        <f t="shared" si="114"/>
        <v> No Issue</v>
      </c>
      <c r="L834" s="3" t="str">
        <f t="shared" si="115"/>
        <v>No Issue</v>
      </c>
      <c r="M834" s="3" t="str">
        <f t="shared" si="116"/>
        <v>No Issue</v>
      </c>
      <c r="N834" s="3" t="str">
        <f t="shared" si="117"/>
        <v>No Issue</v>
      </c>
      <c r="O834" s="3" t="str">
        <f t="shared" si="118"/>
        <v>No Issue</v>
      </c>
      <c r="P834" s="3" t="str">
        <f t="shared" si="119"/>
        <v>NoIssue</v>
      </c>
    </row>
    <row r="835" ht="15.75" customHeight="1">
      <c r="A835" s="28">
        <v>5.0</v>
      </c>
      <c r="B835" s="29" t="s">
        <v>26</v>
      </c>
      <c r="C835" s="30">
        <v>70.01</v>
      </c>
      <c r="D835" s="3"/>
      <c r="E835" s="3"/>
      <c r="F835" s="3"/>
      <c r="G835" s="3"/>
      <c r="H835" s="3"/>
      <c r="I835" s="3"/>
      <c r="J835" s="3" t="str">
        <f t="shared" si="113"/>
        <v>0</v>
      </c>
      <c r="K835" s="27" t="str">
        <f t="shared" si="114"/>
        <v> No Issue</v>
      </c>
      <c r="L835" s="3" t="str">
        <f t="shared" si="115"/>
        <v>No Issue</v>
      </c>
      <c r="M835" s="3" t="str">
        <f t="shared" si="116"/>
        <v>No Issue</v>
      </c>
      <c r="N835" s="3" t="str">
        <f t="shared" si="117"/>
        <v>No Issue</v>
      </c>
      <c r="O835" s="3" t="str">
        <f t="shared" si="118"/>
        <v>No Issue</v>
      </c>
      <c r="P835" s="3" t="str">
        <f t="shared" si="119"/>
        <v>NoIssue</v>
      </c>
    </row>
    <row r="836" ht="15.75" customHeight="1">
      <c r="A836" s="28">
        <v>6.0</v>
      </c>
      <c r="B836" s="29" t="s">
        <v>27</v>
      </c>
      <c r="C836" s="30">
        <v>73.92999999999999</v>
      </c>
      <c r="D836" s="3"/>
      <c r="E836" s="3"/>
      <c r="F836" s="3"/>
      <c r="G836" s="3"/>
      <c r="H836" s="3"/>
      <c r="I836" s="3"/>
      <c r="J836" s="3" t="str">
        <f t="shared" si="113"/>
        <v>0</v>
      </c>
      <c r="K836" s="27" t="str">
        <f t="shared" si="114"/>
        <v> No Issue</v>
      </c>
      <c r="L836" s="3" t="str">
        <f t="shared" si="115"/>
        <v>No Issue</v>
      </c>
      <c r="M836" s="3" t="str">
        <f t="shared" si="116"/>
        <v>No Issue</v>
      </c>
      <c r="N836" s="3" t="str">
        <f t="shared" si="117"/>
        <v>No Issue</v>
      </c>
      <c r="O836" s="3" t="str">
        <f t="shared" si="118"/>
        <v>No Issue</v>
      </c>
      <c r="P836" s="3" t="str">
        <f t="shared" si="119"/>
        <v>NoIssue</v>
      </c>
    </row>
    <row r="837" ht="15.75" customHeight="1">
      <c r="A837" s="28">
        <v>7.0</v>
      </c>
      <c r="B837" s="29" t="s">
        <v>28</v>
      </c>
      <c r="C837" s="30">
        <v>13.91</v>
      </c>
      <c r="D837" s="3"/>
      <c r="E837" s="3"/>
      <c r="F837" s="3"/>
      <c r="G837" s="3"/>
      <c r="H837" s="3"/>
      <c r="I837" s="3"/>
      <c r="J837" s="3" t="str">
        <f t="shared" si="113"/>
        <v>0</v>
      </c>
      <c r="K837" s="27" t="str">
        <f t="shared" si="114"/>
        <v> No Issue</v>
      </c>
      <c r="L837" s="3" t="str">
        <f t="shared" si="115"/>
        <v>No Issue</v>
      </c>
      <c r="M837" s="3" t="str">
        <f t="shared" si="116"/>
        <v>No Issue</v>
      </c>
      <c r="N837" s="3" t="str">
        <f t="shared" si="117"/>
        <v>No Issue</v>
      </c>
      <c r="O837" s="3" t="str">
        <f t="shared" si="118"/>
        <v>No Issue</v>
      </c>
      <c r="P837" s="3" t="str">
        <f t="shared" si="119"/>
        <v>NoIssue</v>
      </c>
    </row>
    <row r="838" ht="15.75" customHeight="1">
      <c r="A838" s="28">
        <v>8.0</v>
      </c>
      <c r="B838" s="29" t="s">
        <v>29</v>
      </c>
      <c r="C838" s="30">
        <v>19.5</v>
      </c>
      <c r="D838" s="3"/>
      <c r="E838" s="3"/>
      <c r="F838" s="3"/>
      <c r="G838" s="3"/>
      <c r="H838" s="3"/>
      <c r="I838" s="3"/>
      <c r="J838" s="3" t="str">
        <f t="shared" si="113"/>
        <v>0</v>
      </c>
      <c r="K838" s="27" t="str">
        <f t="shared" si="114"/>
        <v> No Issue</v>
      </c>
      <c r="L838" s="3" t="str">
        <f t="shared" si="115"/>
        <v>No Issue</v>
      </c>
      <c r="M838" s="3" t="str">
        <f t="shared" si="116"/>
        <v>No Issue</v>
      </c>
      <c r="N838" s="3" t="str">
        <f t="shared" si="117"/>
        <v>No Issue</v>
      </c>
      <c r="O838" s="3" t="str">
        <f t="shared" si="118"/>
        <v>No Issue</v>
      </c>
      <c r="P838" s="3" t="str">
        <f t="shared" si="119"/>
        <v>NoIssue</v>
      </c>
    </row>
    <row r="839" ht="15.75" customHeight="1">
      <c r="A839" s="28">
        <v>9.0</v>
      </c>
      <c r="B839" s="29" t="s">
        <v>30</v>
      </c>
      <c r="C839" s="30">
        <v>28.83</v>
      </c>
      <c r="D839" s="3"/>
      <c r="E839" s="3"/>
      <c r="F839" s="3"/>
      <c r="G839" s="3"/>
      <c r="H839" s="3"/>
      <c r="I839" s="3"/>
      <c r="J839" s="3" t="str">
        <f t="shared" si="113"/>
        <v>0</v>
      </c>
      <c r="K839" s="27" t="str">
        <f t="shared" si="114"/>
        <v> No Issue</v>
      </c>
      <c r="L839" s="3" t="str">
        <f t="shared" si="115"/>
        <v>No Issue</v>
      </c>
      <c r="M839" s="3" t="str">
        <f t="shared" si="116"/>
        <v>No Issue</v>
      </c>
      <c r="N839" s="3" t="str">
        <f t="shared" si="117"/>
        <v>No Issue</v>
      </c>
      <c r="O839" s="3" t="str">
        <f t="shared" si="118"/>
        <v>No Issue</v>
      </c>
      <c r="P839" s="3" t="str">
        <f t="shared" si="119"/>
        <v>NoIssue</v>
      </c>
    </row>
    <row r="840" ht="15.75" customHeight="1">
      <c r="A840" s="28">
        <v>10.0</v>
      </c>
      <c r="B840" s="29" t="s">
        <v>31</v>
      </c>
      <c r="C840" s="30">
        <v>8.51</v>
      </c>
      <c r="D840" s="3"/>
      <c r="E840" s="3"/>
      <c r="F840" s="3"/>
      <c r="G840" s="3"/>
      <c r="H840" s="3"/>
      <c r="I840" s="3"/>
      <c r="J840" s="3" t="str">
        <f t="shared" si="113"/>
        <v>0</v>
      </c>
      <c r="K840" s="27" t="str">
        <f t="shared" si="114"/>
        <v> No Issue</v>
      </c>
      <c r="L840" s="3" t="str">
        <f t="shared" si="115"/>
        <v>No Issue</v>
      </c>
      <c r="M840" s="3" t="str">
        <f t="shared" si="116"/>
        <v>No Issue</v>
      </c>
      <c r="N840" s="3" t="str">
        <f t="shared" si="117"/>
        <v>No Issue</v>
      </c>
      <c r="O840" s="3" t="str">
        <f t="shared" si="118"/>
        <v>No Issue</v>
      </c>
      <c r="P840" s="3" t="str">
        <f t="shared" si="119"/>
        <v>NoIssue</v>
      </c>
    </row>
    <row r="841" ht="15.75" customHeight="1">
      <c r="A841" s="28">
        <v>11.0</v>
      </c>
      <c r="B841" s="29" t="s">
        <v>32</v>
      </c>
      <c r="C841" s="30">
        <v>102.17</v>
      </c>
      <c r="D841" s="3"/>
      <c r="E841" s="3"/>
      <c r="F841" s="3"/>
      <c r="G841" s="3"/>
      <c r="H841" s="3"/>
      <c r="I841" s="3"/>
      <c r="J841" s="3" t="str">
        <f t="shared" si="113"/>
        <v>0</v>
      </c>
      <c r="K841" s="27" t="str">
        <f t="shared" si="114"/>
        <v> No Issue</v>
      </c>
      <c r="L841" s="3" t="str">
        <f t="shared" si="115"/>
        <v>No Issue</v>
      </c>
      <c r="M841" s="3" t="str">
        <f t="shared" si="116"/>
        <v>No Issue</v>
      </c>
      <c r="N841" s="3" t="str">
        <f t="shared" si="117"/>
        <v>No Issue</v>
      </c>
      <c r="O841" s="3" t="str">
        <f t="shared" si="118"/>
        <v>No Issue</v>
      </c>
      <c r="P841" s="3" t="str">
        <f t="shared" si="119"/>
        <v>NoIssue</v>
      </c>
    </row>
    <row r="842" ht="15.75" customHeight="1">
      <c r="A842" s="28">
        <v>12.0</v>
      </c>
      <c r="B842" s="29" t="s">
        <v>33</v>
      </c>
      <c r="C842" s="30">
        <v>59.93</v>
      </c>
      <c r="D842" s="3"/>
      <c r="E842" s="3"/>
      <c r="F842" s="3"/>
      <c r="G842" s="3"/>
      <c r="H842" s="3"/>
      <c r="I842" s="3"/>
      <c r="J842" s="3" t="str">
        <f t="shared" si="113"/>
        <v>0</v>
      </c>
      <c r="K842" s="27" t="str">
        <f t="shared" si="114"/>
        <v> No Issue</v>
      </c>
      <c r="L842" s="3" t="str">
        <f t="shared" si="115"/>
        <v>No Issue</v>
      </c>
      <c r="M842" s="3" t="str">
        <f t="shared" si="116"/>
        <v>No Issue</v>
      </c>
      <c r="N842" s="3" t="str">
        <f t="shared" si="117"/>
        <v>No Issue</v>
      </c>
      <c r="O842" s="3" t="str">
        <f t="shared" si="118"/>
        <v>No Issue</v>
      </c>
      <c r="P842" s="3" t="str">
        <f t="shared" si="119"/>
        <v>NoIssue</v>
      </c>
    </row>
    <row r="843" ht="15.75" customHeight="1">
      <c r="A843" s="28">
        <v>13.0</v>
      </c>
      <c r="B843" s="29" t="s">
        <v>34</v>
      </c>
      <c r="C843" s="30">
        <v>118.0</v>
      </c>
      <c r="D843" s="3"/>
      <c r="E843" s="3"/>
      <c r="F843" s="3"/>
      <c r="G843" s="3"/>
      <c r="H843" s="3"/>
      <c r="I843" s="3"/>
      <c r="J843" s="3" t="str">
        <f t="shared" si="113"/>
        <v>0</v>
      </c>
      <c r="K843" s="27" t="str">
        <f t="shared" si="114"/>
        <v> No Issue</v>
      </c>
      <c r="L843" s="3" t="str">
        <f t="shared" si="115"/>
        <v>No Issue</v>
      </c>
      <c r="M843" s="3" t="str">
        <f t="shared" si="116"/>
        <v>No Issue</v>
      </c>
      <c r="N843" s="3" t="str">
        <f t="shared" si="117"/>
        <v>No Issue</v>
      </c>
      <c r="O843" s="3" t="str">
        <f t="shared" si="118"/>
        <v>No Issue</v>
      </c>
      <c r="P843" s="3" t="str">
        <f t="shared" si="119"/>
        <v>NoIssue</v>
      </c>
    </row>
    <row r="844" ht="15.75" customHeight="1">
      <c r="A844" s="28">
        <v>14.0</v>
      </c>
      <c r="B844" s="29" t="s">
        <v>35</v>
      </c>
      <c r="C844" s="30">
        <v>52.83</v>
      </c>
      <c r="D844" s="3"/>
      <c r="E844" s="3"/>
      <c r="F844" s="3"/>
      <c r="G844" s="3"/>
      <c r="H844" s="3"/>
      <c r="I844" s="3"/>
      <c r="J844" s="3" t="str">
        <f t="shared" si="113"/>
        <v>0</v>
      </c>
      <c r="K844" s="27" t="str">
        <f t="shared" si="114"/>
        <v> No Issue</v>
      </c>
      <c r="L844" s="3" t="str">
        <f t="shared" si="115"/>
        <v>No Issue</v>
      </c>
      <c r="M844" s="3" t="str">
        <f t="shared" si="116"/>
        <v>No Issue</v>
      </c>
      <c r="N844" s="3" t="str">
        <f t="shared" si="117"/>
        <v>No Issue</v>
      </c>
      <c r="O844" s="3" t="str">
        <f t="shared" si="118"/>
        <v>No Issue</v>
      </c>
      <c r="P844" s="3" t="str">
        <f t="shared" si="119"/>
        <v>NoIssue</v>
      </c>
    </row>
    <row r="845" ht="15.75" customHeight="1">
      <c r="A845" s="28">
        <v>15.0</v>
      </c>
      <c r="B845" s="29" t="s">
        <v>36</v>
      </c>
      <c r="C845" s="30">
        <v>93.2</v>
      </c>
      <c r="D845" s="3"/>
      <c r="E845" s="3"/>
      <c r="F845" s="3"/>
      <c r="G845" s="3"/>
      <c r="H845" s="3"/>
      <c r="I845" s="3"/>
      <c r="J845" s="3" t="str">
        <f t="shared" si="113"/>
        <v>0</v>
      </c>
      <c r="K845" s="27" t="str">
        <f t="shared" si="114"/>
        <v> No Issue</v>
      </c>
      <c r="L845" s="3" t="str">
        <f t="shared" si="115"/>
        <v>No Issue</v>
      </c>
      <c r="M845" s="3" t="str">
        <f t="shared" si="116"/>
        <v>No Issue</v>
      </c>
      <c r="N845" s="3" t="str">
        <f t="shared" si="117"/>
        <v>No Issue</v>
      </c>
      <c r="O845" s="3" t="str">
        <f t="shared" si="118"/>
        <v>No Issue</v>
      </c>
      <c r="P845" s="3" t="str">
        <f t="shared" si="119"/>
        <v>NoIssue</v>
      </c>
    </row>
    <row r="846" ht="15.75" customHeight="1">
      <c r="A846" s="28">
        <v>16.0</v>
      </c>
      <c r="B846" s="29" t="s">
        <v>37</v>
      </c>
      <c r="C846" s="30">
        <v>61.02</v>
      </c>
      <c r="D846" s="3"/>
      <c r="E846" s="3"/>
      <c r="F846" s="3"/>
      <c r="G846" s="3"/>
      <c r="H846" s="3"/>
      <c r="I846" s="3"/>
      <c r="J846" s="3" t="str">
        <f t="shared" si="113"/>
        <v>0</v>
      </c>
      <c r="K846" s="27" t="str">
        <f t="shared" si="114"/>
        <v> No Issue</v>
      </c>
      <c r="L846" s="3" t="str">
        <f t="shared" si="115"/>
        <v>No Issue</v>
      </c>
      <c r="M846" s="3" t="str">
        <f t="shared" si="116"/>
        <v>No Issue</v>
      </c>
      <c r="N846" s="3" t="str">
        <f t="shared" si="117"/>
        <v>No Issue</v>
      </c>
      <c r="O846" s="3" t="str">
        <f t="shared" si="118"/>
        <v>No Issue</v>
      </c>
      <c r="P846" s="3" t="str">
        <f t="shared" si="119"/>
        <v>NoIssue</v>
      </c>
    </row>
    <row r="847" ht="15.75" customHeight="1">
      <c r="A847" s="28">
        <v>17.0</v>
      </c>
      <c r="B847" s="29" t="s">
        <v>38</v>
      </c>
      <c r="C847" s="30">
        <v>36.62</v>
      </c>
      <c r="D847" s="3"/>
      <c r="E847" s="3"/>
      <c r="F847" s="3"/>
      <c r="G847" s="3"/>
      <c r="H847" s="3"/>
      <c r="I847" s="3"/>
      <c r="J847" s="3" t="str">
        <f t="shared" si="113"/>
        <v>0</v>
      </c>
      <c r="K847" s="27" t="str">
        <f t="shared" si="114"/>
        <v> No Issue</v>
      </c>
      <c r="L847" s="3" t="str">
        <f t="shared" si="115"/>
        <v>No Issue</v>
      </c>
      <c r="M847" s="3" t="str">
        <f t="shared" si="116"/>
        <v>No Issue</v>
      </c>
      <c r="N847" s="3" t="str">
        <f t="shared" si="117"/>
        <v>No Issue</v>
      </c>
      <c r="O847" s="3" t="str">
        <f t="shared" si="118"/>
        <v>No Issue</v>
      </c>
      <c r="P847" s="3" t="str">
        <f t="shared" si="119"/>
        <v>NoIssue</v>
      </c>
    </row>
    <row r="848" ht="15.75" customHeight="1">
      <c r="A848" s="28">
        <v>18.0</v>
      </c>
      <c r="B848" s="29" t="s">
        <v>39</v>
      </c>
      <c r="C848" s="30">
        <v>80.36</v>
      </c>
      <c r="D848" s="3"/>
      <c r="E848" s="3"/>
      <c r="F848" s="3"/>
      <c r="G848" s="3"/>
      <c r="H848" s="3"/>
      <c r="I848" s="3"/>
      <c r="J848" s="3" t="str">
        <f t="shared" si="113"/>
        <v>0</v>
      </c>
      <c r="K848" s="27" t="str">
        <f t="shared" si="114"/>
        <v> No Issue</v>
      </c>
      <c r="L848" s="3" t="str">
        <f t="shared" si="115"/>
        <v>No Issue</v>
      </c>
      <c r="M848" s="3" t="str">
        <f t="shared" si="116"/>
        <v>No Issue</v>
      </c>
      <c r="N848" s="3" t="str">
        <f t="shared" si="117"/>
        <v>No Issue</v>
      </c>
      <c r="O848" s="3" t="str">
        <f t="shared" si="118"/>
        <v>No Issue</v>
      </c>
      <c r="P848" s="3" t="str">
        <f t="shared" si="119"/>
        <v>NoIssue</v>
      </c>
    </row>
    <row r="849" ht="15.75" customHeight="1">
      <c r="A849" s="28">
        <v>19.0</v>
      </c>
      <c r="B849" s="29" t="s">
        <v>40</v>
      </c>
      <c r="C849" s="30">
        <v>160.56</v>
      </c>
      <c r="D849" s="3"/>
      <c r="E849" s="3"/>
      <c r="F849" s="3"/>
      <c r="G849" s="3"/>
      <c r="H849" s="3"/>
      <c r="I849" s="3"/>
      <c r="J849" s="3" t="str">
        <f t="shared" si="113"/>
        <v>0</v>
      </c>
      <c r="K849" s="27" t="str">
        <f t="shared" si="114"/>
        <v> No Issue</v>
      </c>
      <c r="L849" s="3" t="str">
        <f t="shared" si="115"/>
        <v>No Issue</v>
      </c>
      <c r="M849" s="3" t="str">
        <f t="shared" si="116"/>
        <v>No Issue</v>
      </c>
      <c r="N849" s="3" t="str">
        <f t="shared" si="117"/>
        <v>No Issue</v>
      </c>
      <c r="O849" s="3" t="str">
        <f t="shared" si="118"/>
        <v>No Issue</v>
      </c>
      <c r="P849" s="3" t="str">
        <f t="shared" si="119"/>
        <v>NoIssue</v>
      </c>
    </row>
    <row r="850" ht="15.75" customHeight="1">
      <c r="A850" s="28">
        <v>20.0</v>
      </c>
      <c r="B850" s="29" t="s">
        <v>41</v>
      </c>
      <c r="C850" s="30">
        <v>186.44</v>
      </c>
      <c r="D850" s="3"/>
      <c r="E850" s="3"/>
      <c r="F850" s="3"/>
      <c r="G850" s="3"/>
      <c r="H850" s="3"/>
      <c r="I850" s="3"/>
      <c r="J850" s="3" t="str">
        <f t="shared" si="113"/>
        <v>0</v>
      </c>
      <c r="K850" s="27" t="str">
        <f t="shared" si="114"/>
        <v> No Issue</v>
      </c>
      <c r="L850" s="3" t="str">
        <f t="shared" si="115"/>
        <v>No Issue</v>
      </c>
      <c r="M850" s="3" t="str">
        <f t="shared" si="116"/>
        <v>No Issue</v>
      </c>
      <c r="N850" s="3" t="str">
        <f t="shared" si="117"/>
        <v>No Issue</v>
      </c>
      <c r="O850" s="3" t="str">
        <f t="shared" si="118"/>
        <v>No Issue</v>
      </c>
      <c r="P850" s="3" t="str">
        <f t="shared" si="119"/>
        <v>NoIssue</v>
      </c>
    </row>
    <row r="851" ht="15.75" customHeight="1">
      <c r="A851" s="28">
        <v>21.0</v>
      </c>
      <c r="B851" s="29" t="s">
        <v>42</v>
      </c>
      <c r="C851" s="30">
        <v>92.59</v>
      </c>
      <c r="D851" s="3"/>
      <c r="E851" s="3"/>
      <c r="F851" s="3"/>
      <c r="G851" s="3"/>
      <c r="H851" s="3"/>
      <c r="I851" s="3"/>
      <c r="J851" s="3" t="str">
        <f t="shared" si="113"/>
        <v>0</v>
      </c>
      <c r="K851" s="27" t="str">
        <f t="shared" si="114"/>
        <v> No Issue</v>
      </c>
      <c r="L851" s="3" t="str">
        <f t="shared" si="115"/>
        <v>No Issue</v>
      </c>
      <c r="M851" s="3" t="str">
        <f t="shared" si="116"/>
        <v>No Issue</v>
      </c>
      <c r="N851" s="3" t="str">
        <f t="shared" si="117"/>
        <v>No Issue</v>
      </c>
      <c r="O851" s="3" t="str">
        <f t="shared" si="118"/>
        <v>No Issue</v>
      </c>
      <c r="P851" s="3" t="str">
        <f t="shared" si="119"/>
        <v>NoIssue</v>
      </c>
    </row>
    <row r="852" ht="15.75" customHeight="1">
      <c r="A852" s="28">
        <v>22.0</v>
      </c>
      <c r="B852" s="29" t="s">
        <v>43</v>
      </c>
      <c r="C852" s="30">
        <v>95.17</v>
      </c>
      <c r="D852" s="3"/>
      <c r="E852" s="3"/>
      <c r="F852" s="3"/>
      <c r="G852" s="3"/>
      <c r="H852" s="3"/>
      <c r="I852" s="3"/>
      <c r="J852" s="3" t="str">
        <f t="shared" si="113"/>
        <v>0</v>
      </c>
      <c r="K852" s="27" t="str">
        <f t="shared" si="114"/>
        <v> No Issue</v>
      </c>
      <c r="L852" s="3" t="str">
        <f t="shared" si="115"/>
        <v>No Issue</v>
      </c>
      <c r="M852" s="3" t="str">
        <f t="shared" si="116"/>
        <v>No Issue</v>
      </c>
      <c r="N852" s="3" t="str">
        <f t="shared" si="117"/>
        <v>No Issue</v>
      </c>
      <c r="O852" s="3" t="str">
        <f t="shared" si="118"/>
        <v>No Issue</v>
      </c>
      <c r="P852" s="3" t="str">
        <f t="shared" si="119"/>
        <v>NoIssue</v>
      </c>
    </row>
    <row r="853" ht="15.75" customHeight="1">
      <c r="A853" s="28">
        <v>23.0</v>
      </c>
      <c r="B853" s="29" t="s">
        <v>44</v>
      </c>
      <c r="C853" s="30">
        <v>92.94</v>
      </c>
      <c r="D853" s="3"/>
      <c r="E853" s="3"/>
      <c r="F853" s="3"/>
      <c r="G853" s="3"/>
      <c r="H853" s="3"/>
      <c r="I853" s="3"/>
      <c r="J853" s="3" t="str">
        <f t="shared" si="113"/>
        <v>0</v>
      </c>
      <c r="K853" s="27" t="str">
        <f t="shared" si="114"/>
        <v> No Issue</v>
      </c>
      <c r="L853" s="3" t="str">
        <f t="shared" si="115"/>
        <v>No Issue</v>
      </c>
      <c r="M853" s="3" t="str">
        <f t="shared" si="116"/>
        <v>No Issue</v>
      </c>
      <c r="N853" s="3" t="str">
        <f t="shared" si="117"/>
        <v>No Issue</v>
      </c>
      <c r="O853" s="3" t="str">
        <f t="shared" si="118"/>
        <v>No Issue</v>
      </c>
      <c r="P853" s="3" t="str">
        <f t="shared" si="119"/>
        <v>NoIssue</v>
      </c>
    </row>
    <row r="854" ht="15.75" customHeight="1">
      <c r="A854" s="28">
        <v>24.0</v>
      </c>
      <c r="B854" s="29" t="s">
        <v>45</v>
      </c>
      <c r="C854" s="30">
        <v>101.82</v>
      </c>
      <c r="D854" s="3"/>
      <c r="E854" s="3"/>
      <c r="F854" s="3"/>
      <c r="G854" s="3"/>
      <c r="H854" s="3"/>
      <c r="I854" s="3"/>
      <c r="J854" s="3" t="str">
        <f t="shared" si="113"/>
        <v>0</v>
      </c>
      <c r="K854" s="27" t="str">
        <f t="shared" si="114"/>
        <v> No Issue</v>
      </c>
      <c r="L854" s="3" t="str">
        <f t="shared" si="115"/>
        <v>No Issue</v>
      </c>
      <c r="M854" s="3" t="str">
        <f t="shared" si="116"/>
        <v>No Issue</v>
      </c>
      <c r="N854" s="3" t="str">
        <f t="shared" si="117"/>
        <v>No Issue</v>
      </c>
      <c r="O854" s="3" t="str">
        <f t="shared" si="118"/>
        <v>No Issue</v>
      </c>
      <c r="P854" s="3" t="str">
        <f t="shared" si="119"/>
        <v>NoIssue</v>
      </c>
    </row>
    <row r="855" ht="15.75" customHeight="1">
      <c r="A855" s="28">
        <v>25.0</v>
      </c>
      <c r="B855" s="29" t="s">
        <v>46</v>
      </c>
      <c r="C855" s="30">
        <v>53.49</v>
      </c>
      <c r="D855" s="3"/>
      <c r="E855" s="3"/>
      <c r="F855" s="3"/>
      <c r="G855" s="3"/>
      <c r="H855" s="3"/>
      <c r="I855" s="3"/>
      <c r="J855" s="3" t="str">
        <f t="shared" si="113"/>
        <v>0</v>
      </c>
      <c r="K855" s="27" t="str">
        <f t="shared" si="114"/>
        <v> No Issue</v>
      </c>
      <c r="L855" s="3" t="str">
        <f t="shared" si="115"/>
        <v>No Issue</v>
      </c>
      <c r="M855" s="3" t="str">
        <f t="shared" si="116"/>
        <v>No Issue</v>
      </c>
      <c r="N855" s="3" t="str">
        <f t="shared" si="117"/>
        <v>No Issue</v>
      </c>
      <c r="O855" s="3" t="str">
        <f t="shared" si="118"/>
        <v>No Issue</v>
      </c>
      <c r="P855" s="3" t="str">
        <f t="shared" si="119"/>
        <v>NoIssue</v>
      </c>
    </row>
    <row r="856" ht="15.75" customHeight="1">
      <c r="A856" s="28">
        <v>26.0</v>
      </c>
      <c r="B856" s="29" t="s">
        <v>47</v>
      </c>
      <c r="C856" s="30">
        <v>32.92</v>
      </c>
      <c r="D856" s="3"/>
      <c r="E856" s="3"/>
      <c r="F856" s="3"/>
      <c r="G856" s="3"/>
      <c r="H856" s="3"/>
      <c r="I856" s="3"/>
      <c r="J856" s="3" t="str">
        <f t="shared" si="113"/>
        <v>0</v>
      </c>
      <c r="K856" s="27" t="str">
        <f t="shared" si="114"/>
        <v> No Issue</v>
      </c>
      <c r="L856" s="3" t="str">
        <f t="shared" si="115"/>
        <v>No Issue</v>
      </c>
      <c r="M856" s="3" t="str">
        <f t="shared" si="116"/>
        <v>No Issue</v>
      </c>
      <c r="N856" s="3" t="str">
        <f t="shared" si="117"/>
        <v>No Issue</v>
      </c>
      <c r="O856" s="3" t="str">
        <f t="shared" si="118"/>
        <v>No Issue</v>
      </c>
      <c r="P856" s="3" t="str">
        <f t="shared" si="119"/>
        <v>NoIssue</v>
      </c>
    </row>
    <row r="857" ht="15.75" customHeight="1">
      <c r="A857" s="28">
        <v>27.0</v>
      </c>
      <c r="B857" s="29" t="s">
        <v>48</v>
      </c>
      <c r="C857" s="30">
        <v>116.68</v>
      </c>
      <c r="D857" s="3"/>
      <c r="E857" s="3"/>
      <c r="F857" s="3"/>
      <c r="G857" s="3"/>
      <c r="H857" s="3"/>
      <c r="I857" s="3"/>
      <c r="J857" s="3" t="str">
        <f t="shared" si="113"/>
        <v>0</v>
      </c>
      <c r="K857" s="27" t="str">
        <f t="shared" si="114"/>
        <v> No Issue</v>
      </c>
      <c r="L857" s="3" t="str">
        <f t="shared" si="115"/>
        <v>No Issue</v>
      </c>
      <c r="M857" s="3" t="str">
        <f t="shared" si="116"/>
        <v>No Issue</v>
      </c>
      <c r="N857" s="3" t="str">
        <f t="shared" si="117"/>
        <v>No Issue</v>
      </c>
      <c r="O857" s="3" t="str">
        <f t="shared" si="118"/>
        <v>No Issue</v>
      </c>
      <c r="P857" s="3" t="str">
        <f t="shared" si="119"/>
        <v>NoIssue</v>
      </c>
    </row>
    <row r="858" ht="15.75" customHeight="1">
      <c r="A858" s="28">
        <v>28.0</v>
      </c>
      <c r="B858" s="29" t="s">
        <v>49</v>
      </c>
      <c r="C858" s="30">
        <v>107.96</v>
      </c>
      <c r="D858" s="3"/>
      <c r="E858" s="3"/>
      <c r="F858" s="3"/>
      <c r="G858" s="3"/>
      <c r="H858" s="3"/>
      <c r="I858" s="3"/>
      <c r="J858" s="3" t="str">
        <f t="shared" si="113"/>
        <v>0</v>
      </c>
      <c r="K858" s="27" t="str">
        <f t="shared" si="114"/>
        <v> No Issue</v>
      </c>
      <c r="L858" s="3" t="str">
        <f t="shared" si="115"/>
        <v>No Issue</v>
      </c>
      <c r="M858" s="3" t="str">
        <f t="shared" si="116"/>
        <v>No Issue</v>
      </c>
      <c r="N858" s="3" t="str">
        <f t="shared" si="117"/>
        <v>No Issue</v>
      </c>
      <c r="O858" s="3" t="str">
        <f t="shared" si="118"/>
        <v>No Issue</v>
      </c>
      <c r="P858" s="3" t="str">
        <f t="shared" si="119"/>
        <v>NoIssue</v>
      </c>
    </row>
    <row r="859" ht="15.75" customHeight="1">
      <c r="A859" s="28">
        <v>29.0</v>
      </c>
      <c r="B859" s="29" t="s">
        <v>50</v>
      </c>
      <c r="C859" s="30">
        <v>248.89</v>
      </c>
      <c r="D859" s="3"/>
      <c r="E859" s="3"/>
      <c r="F859" s="3"/>
      <c r="G859" s="3"/>
      <c r="H859" s="3"/>
      <c r="I859" s="3"/>
      <c r="J859" s="3" t="str">
        <f t="shared" si="113"/>
        <v>0</v>
      </c>
      <c r="K859" s="27" t="str">
        <f t="shared" si="114"/>
        <v> No Issue</v>
      </c>
      <c r="L859" s="3" t="str">
        <f t="shared" si="115"/>
        <v>No Issue</v>
      </c>
      <c r="M859" s="3" t="str">
        <f t="shared" si="116"/>
        <v>No Issue</v>
      </c>
      <c r="N859" s="3" t="str">
        <f t="shared" si="117"/>
        <v>No Issue</v>
      </c>
      <c r="O859" s="3" t="str">
        <f t="shared" si="118"/>
        <v>No Issue</v>
      </c>
      <c r="P859" s="3" t="str">
        <f t="shared" si="119"/>
        <v>NoIssue</v>
      </c>
    </row>
    <row r="860" ht="15.75" customHeight="1">
      <c r="A860" s="28">
        <v>30.0</v>
      </c>
      <c r="B860" s="29" t="s">
        <v>51</v>
      </c>
      <c r="C860" s="30">
        <v>80.36</v>
      </c>
      <c r="D860" s="3"/>
      <c r="E860" s="3"/>
      <c r="F860" s="27"/>
      <c r="G860" s="27"/>
      <c r="H860" s="27"/>
      <c r="I860" s="3"/>
      <c r="J860" s="3" t="str">
        <f t="shared" si="113"/>
        <v>0</v>
      </c>
      <c r="K860" s="27" t="str">
        <f t="shared" si="114"/>
        <v> No Issue</v>
      </c>
      <c r="L860" s="3" t="str">
        <f t="shared" si="115"/>
        <v>No Issue</v>
      </c>
      <c r="M860" s="3" t="str">
        <f t="shared" si="116"/>
        <v>No Issue</v>
      </c>
      <c r="N860" s="3" t="str">
        <f t="shared" si="117"/>
        <v>No Issue</v>
      </c>
      <c r="O860" s="3" t="str">
        <f t="shared" si="118"/>
        <v>No Issue</v>
      </c>
      <c r="P860" s="3" t="str">
        <f t="shared" si="119"/>
        <v>NoIssue</v>
      </c>
    </row>
    <row r="861" ht="15.75" customHeight="1">
      <c r="A861" s="28">
        <v>31.0</v>
      </c>
      <c r="B861" s="29" t="s">
        <v>52</v>
      </c>
      <c r="C861" s="30">
        <v>52.46</v>
      </c>
      <c r="D861" s="3"/>
      <c r="E861" s="3"/>
      <c r="F861" s="27"/>
      <c r="G861" s="27"/>
      <c r="H861" s="27"/>
      <c r="I861" s="3"/>
      <c r="J861" s="3" t="str">
        <f t="shared" si="113"/>
        <v>0</v>
      </c>
      <c r="K861" s="27" t="str">
        <f t="shared" si="114"/>
        <v> No Issue</v>
      </c>
      <c r="L861" s="3" t="str">
        <f t="shared" si="115"/>
        <v>No Issue</v>
      </c>
      <c r="M861" s="3" t="str">
        <f t="shared" si="116"/>
        <v>No Issue</v>
      </c>
      <c r="N861" s="3" t="str">
        <f t="shared" si="117"/>
        <v>No Issue</v>
      </c>
      <c r="O861" s="3" t="str">
        <f t="shared" si="118"/>
        <v>No Issue</v>
      </c>
      <c r="P861" s="3" t="str">
        <f t="shared" si="119"/>
        <v>NoIssue</v>
      </c>
    </row>
    <row r="862" ht="15.75" customHeight="1">
      <c r="A862" s="28">
        <v>32.0</v>
      </c>
      <c r="B862" s="29" t="s">
        <v>53</v>
      </c>
      <c r="C862" s="30">
        <v>71.21</v>
      </c>
      <c r="D862" s="3"/>
      <c r="E862" s="3"/>
      <c r="F862" s="27"/>
      <c r="G862" s="27"/>
      <c r="H862" s="27"/>
      <c r="I862" s="3"/>
      <c r="J862" s="3" t="str">
        <f t="shared" si="113"/>
        <v>0</v>
      </c>
      <c r="K862" s="27" t="str">
        <f t="shared" si="114"/>
        <v> No Issue</v>
      </c>
      <c r="L862" s="3" t="str">
        <f t="shared" si="115"/>
        <v>No Issue</v>
      </c>
      <c r="M862" s="3" t="str">
        <f t="shared" si="116"/>
        <v>No Issue</v>
      </c>
      <c r="N862" s="3" t="str">
        <f t="shared" si="117"/>
        <v>No Issue</v>
      </c>
      <c r="O862" s="3" t="str">
        <f t="shared" si="118"/>
        <v>No Issue</v>
      </c>
      <c r="P862" s="3" t="str">
        <f t="shared" si="119"/>
        <v>NoIssue</v>
      </c>
    </row>
    <row r="863" ht="15.75" customHeight="1">
      <c r="A863" s="28">
        <v>33.0</v>
      </c>
      <c r="B863" s="29" t="s">
        <v>54</v>
      </c>
      <c r="C863" s="30">
        <v>80.35</v>
      </c>
      <c r="D863" s="3"/>
      <c r="E863" s="3"/>
      <c r="F863" s="27"/>
      <c r="G863" s="27"/>
      <c r="H863" s="27"/>
      <c r="I863" s="3"/>
      <c r="J863" s="3" t="str">
        <f t="shared" si="113"/>
        <v>0</v>
      </c>
      <c r="K863" s="27" t="str">
        <f t="shared" si="114"/>
        <v> No Issue</v>
      </c>
      <c r="L863" s="3" t="str">
        <f t="shared" si="115"/>
        <v>No Issue</v>
      </c>
      <c r="M863" s="3" t="str">
        <f t="shared" si="116"/>
        <v>No Issue</v>
      </c>
      <c r="N863" s="3" t="str">
        <f t="shared" si="117"/>
        <v>No Issue</v>
      </c>
      <c r="O863" s="3" t="str">
        <f t="shared" si="118"/>
        <v>No Issue</v>
      </c>
      <c r="P863" s="3" t="str">
        <f t="shared" si="119"/>
        <v>NoIssue</v>
      </c>
    </row>
    <row r="864" ht="15.75" customHeight="1">
      <c r="A864" s="28">
        <v>34.0</v>
      </c>
      <c r="B864" s="29" t="s">
        <v>55</v>
      </c>
      <c r="C864" s="30">
        <v>64.18</v>
      </c>
      <c r="D864" s="3"/>
      <c r="E864" s="3"/>
      <c r="F864" s="27"/>
      <c r="G864" s="27"/>
      <c r="H864" s="27"/>
      <c r="I864" s="3"/>
      <c r="J864" s="3" t="str">
        <f t="shared" si="113"/>
        <v>0</v>
      </c>
      <c r="K864" s="27" t="str">
        <f t="shared" si="114"/>
        <v> No Issue</v>
      </c>
      <c r="L864" s="3" t="str">
        <f t="shared" si="115"/>
        <v>No Issue</v>
      </c>
      <c r="M864" s="3" t="str">
        <f t="shared" si="116"/>
        <v>No Issue</v>
      </c>
      <c r="N864" s="3" t="str">
        <f t="shared" si="117"/>
        <v>No Issue</v>
      </c>
      <c r="O864" s="3" t="str">
        <f t="shared" si="118"/>
        <v>No Issue</v>
      </c>
      <c r="P864" s="3" t="str">
        <f t="shared" si="119"/>
        <v>NoIssue</v>
      </c>
    </row>
    <row r="865" ht="15.75" customHeight="1">
      <c r="A865" s="28">
        <v>35.0</v>
      </c>
      <c r="B865" s="29" t="s">
        <v>56</v>
      </c>
      <c r="C865" s="30">
        <v>36.9</v>
      </c>
      <c r="D865" s="3"/>
      <c r="E865" s="3"/>
      <c r="F865" s="27"/>
      <c r="G865" s="27"/>
      <c r="H865" s="27"/>
      <c r="I865" s="3"/>
      <c r="J865" s="3" t="str">
        <f t="shared" si="113"/>
        <v>0</v>
      </c>
      <c r="K865" s="27" t="str">
        <f t="shared" si="114"/>
        <v> No Issue</v>
      </c>
      <c r="L865" s="3" t="str">
        <f t="shared" si="115"/>
        <v>No Issue</v>
      </c>
      <c r="M865" s="3" t="str">
        <f t="shared" si="116"/>
        <v>No Issue</v>
      </c>
      <c r="N865" s="3" t="str">
        <f t="shared" si="117"/>
        <v>No Issue</v>
      </c>
      <c r="O865" s="3" t="str">
        <f t="shared" si="118"/>
        <v>No Issue</v>
      </c>
      <c r="P865" s="3" t="str">
        <f t="shared" si="119"/>
        <v>NoIssue</v>
      </c>
    </row>
    <row r="866" ht="15.75" customHeight="1">
      <c r="A866" s="28">
        <v>36.0</v>
      </c>
      <c r="B866" s="29" t="s">
        <v>57</v>
      </c>
      <c r="C866" s="30">
        <v>101.54</v>
      </c>
      <c r="D866" s="3"/>
      <c r="E866" s="3"/>
      <c r="F866" s="27"/>
      <c r="G866" s="27"/>
      <c r="H866" s="27"/>
      <c r="I866" s="3"/>
      <c r="J866" s="3" t="str">
        <f t="shared" si="113"/>
        <v>0</v>
      </c>
      <c r="K866" s="27" t="str">
        <f t="shared" si="114"/>
        <v> No Issue</v>
      </c>
      <c r="L866" s="3" t="str">
        <f t="shared" si="115"/>
        <v>No Issue</v>
      </c>
      <c r="M866" s="3" t="str">
        <f t="shared" si="116"/>
        <v>No Issue</v>
      </c>
      <c r="N866" s="3" t="str">
        <f t="shared" si="117"/>
        <v>No Issue</v>
      </c>
      <c r="O866" s="3" t="str">
        <f t="shared" si="118"/>
        <v>No Issue</v>
      </c>
      <c r="P866" s="3" t="str">
        <f t="shared" si="119"/>
        <v>NoIssue</v>
      </c>
    </row>
    <row r="867" ht="15.75" customHeight="1">
      <c r="A867" s="28">
        <v>37.0</v>
      </c>
      <c r="B867" s="29" t="s">
        <v>58</v>
      </c>
      <c r="C867" s="30">
        <v>40.5</v>
      </c>
      <c r="D867" s="3"/>
      <c r="E867" s="3"/>
      <c r="F867" s="27"/>
      <c r="G867" s="27"/>
      <c r="H867" s="27"/>
      <c r="I867" s="3"/>
      <c r="J867" s="3" t="str">
        <f t="shared" si="113"/>
        <v>0</v>
      </c>
      <c r="K867" s="27" t="str">
        <f t="shared" si="114"/>
        <v> No Issue</v>
      </c>
      <c r="L867" s="3" t="str">
        <f t="shared" si="115"/>
        <v>No Issue</v>
      </c>
      <c r="M867" s="3" t="str">
        <f t="shared" si="116"/>
        <v>No Issue</v>
      </c>
      <c r="N867" s="3" t="str">
        <f t="shared" si="117"/>
        <v>No Issue</v>
      </c>
      <c r="O867" s="3" t="str">
        <f t="shared" si="118"/>
        <v>No Issue</v>
      </c>
      <c r="P867" s="3" t="str">
        <f t="shared" si="119"/>
        <v>NoIssue</v>
      </c>
    </row>
    <row r="868" ht="15.75" customHeight="1">
      <c r="A868" s="28">
        <v>38.0</v>
      </c>
      <c r="B868" s="29" t="s">
        <v>59</v>
      </c>
      <c r="C868" s="30">
        <v>66.69</v>
      </c>
      <c r="D868" s="3"/>
      <c r="E868" s="3"/>
      <c r="F868" s="27"/>
      <c r="G868" s="27"/>
      <c r="H868" s="27"/>
      <c r="I868" s="3"/>
      <c r="J868" s="3" t="str">
        <f t="shared" si="113"/>
        <v>0</v>
      </c>
      <c r="K868" s="27" t="str">
        <f t="shared" si="114"/>
        <v> No Issue</v>
      </c>
      <c r="L868" s="3" t="str">
        <f t="shared" si="115"/>
        <v>No Issue</v>
      </c>
      <c r="M868" s="3" t="str">
        <f t="shared" si="116"/>
        <v>No Issue</v>
      </c>
      <c r="N868" s="3" t="str">
        <f t="shared" si="117"/>
        <v>No Issue</v>
      </c>
      <c r="O868" s="3" t="str">
        <f t="shared" si="118"/>
        <v>No Issue</v>
      </c>
      <c r="P868" s="3" t="str">
        <f t="shared" si="119"/>
        <v>NoIssue</v>
      </c>
    </row>
    <row r="869" ht="15.75" customHeight="1">
      <c r="A869" s="28">
        <v>39.0</v>
      </c>
      <c r="B869" s="29" t="s">
        <v>60</v>
      </c>
      <c r="C869" s="29">
        <v>150.85999999999999</v>
      </c>
      <c r="D869" s="3"/>
      <c r="E869" s="3"/>
      <c r="F869" s="27"/>
      <c r="G869" s="27"/>
      <c r="H869" s="27"/>
      <c r="I869" s="3"/>
      <c r="J869" s="3" t="str">
        <f t="shared" si="113"/>
        <v>0</v>
      </c>
      <c r="K869" s="27" t="str">
        <f t="shared" si="114"/>
        <v> No Issue</v>
      </c>
      <c r="L869" s="3" t="str">
        <f t="shared" si="115"/>
        <v>No Issue</v>
      </c>
      <c r="M869" s="3" t="str">
        <f t="shared" si="116"/>
        <v>No Issue</v>
      </c>
      <c r="N869" s="3" t="str">
        <f t="shared" si="117"/>
        <v>No Issue</v>
      </c>
      <c r="O869" s="3" t="str">
        <f t="shared" si="118"/>
        <v>No Issue</v>
      </c>
      <c r="P869" s="3" t="str">
        <f t="shared" si="119"/>
        <v>NoIssue</v>
      </c>
    </row>
    <row r="870" ht="15.75" customHeight="1">
      <c r="A870" s="28">
        <v>40.0</v>
      </c>
      <c r="B870" s="33" t="s">
        <v>61</v>
      </c>
      <c r="C870" s="30">
        <v>180.0</v>
      </c>
      <c r="D870" s="3"/>
      <c r="E870" s="3"/>
      <c r="F870" s="27"/>
      <c r="G870" s="27"/>
      <c r="H870" s="27"/>
      <c r="I870" s="3"/>
      <c r="J870" s="3" t="str">
        <f t="shared" si="113"/>
        <v>0</v>
      </c>
      <c r="K870" s="27" t="str">
        <f t="shared" si="114"/>
        <v> No Issue</v>
      </c>
      <c r="L870" s="3" t="str">
        <f t="shared" si="115"/>
        <v>No Issue</v>
      </c>
      <c r="M870" s="3" t="str">
        <f t="shared" si="116"/>
        <v>No Issue</v>
      </c>
      <c r="N870" s="3" t="str">
        <f t="shared" si="117"/>
        <v>No Issue</v>
      </c>
      <c r="O870" s="3" t="str">
        <f t="shared" si="118"/>
        <v>No Issue</v>
      </c>
      <c r="P870" s="3" t="str">
        <f t="shared" si="119"/>
        <v>NoIssue</v>
      </c>
    </row>
    <row r="871" ht="15.75" customHeight="1">
      <c r="A871" s="28">
        <v>41.0</v>
      </c>
      <c r="B871" s="33" t="s">
        <v>62</v>
      </c>
      <c r="C871" s="29">
        <v>128.57</v>
      </c>
      <c r="D871" s="3"/>
      <c r="E871" s="3"/>
      <c r="F871" s="27"/>
      <c r="G871" s="27"/>
      <c r="H871" s="27"/>
      <c r="I871" s="3"/>
      <c r="J871" s="3" t="str">
        <f t="shared" si="113"/>
        <v>0</v>
      </c>
      <c r="K871" s="27" t="str">
        <f t="shared" si="114"/>
        <v> No Issue</v>
      </c>
      <c r="L871" s="3" t="str">
        <f t="shared" si="115"/>
        <v>No Issue</v>
      </c>
      <c r="M871" s="3" t="str">
        <f t="shared" si="116"/>
        <v>No Issue</v>
      </c>
      <c r="N871" s="3" t="str">
        <f t="shared" si="117"/>
        <v>No Issue</v>
      </c>
      <c r="O871" s="3" t="str">
        <f t="shared" si="118"/>
        <v>No Issue</v>
      </c>
      <c r="P871" s="3" t="str">
        <f t="shared" si="119"/>
        <v>NoIssue</v>
      </c>
    </row>
    <row r="872" ht="15.75" customHeight="1">
      <c r="A872" s="28">
        <v>42.0</v>
      </c>
      <c r="B872" s="29"/>
      <c r="C872" s="29"/>
      <c r="D872" s="3"/>
      <c r="E872" s="3"/>
      <c r="F872" s="27"/>
      <c r="G872" s="27"/>
      <c r="H872" s="27"/>
      <c r="I872" s="3"/>
      <c r="J872" s="3" t="str">
        <f t="shared" si="113"/>
        <v>0</v>
      </c>
      <c r="K872" s="27" t="str">
        <f t="shared" si="114"/>
        <v> No Issue</v>
      </c>
      <c r="L872" s="3" t="str">
        <f t="shared" si="115"/>
        <v>No Issue</v>
      </c>
      <c r="M872" s="3" t="str">
        <f t="shared" si="116"/>
        <v>No Issue</v>
      </c>
      <c r="N872" s="3" t="str">
        <f t="shared" si="117"/>
        <v>No Issue</v>
      </c>
      <c r="O872" s="3" t="str">
        <f t="shared" si="118"/>
        <v>No Issue</v>
      </c>
      <c r="P872" s="3" t="str">
        <f t="shared" si="119"/>
        <v>NoIssue</v>
      </c>
    </row>
    <row r="873" ht="15.75" customHeight="1">
      <c r="A873" s="28">
        <v>43.0</v>
      </c>
      <c r="B873" s="34"/>
      <c r="C873" s="34"/>
      <c r="D873" s="3"/>
      <c r="E873" s="3"/>
      <c r="F873" s="27"/>
      <c r="G873" s="27"/>
      <c r="H873" s="27"/>
      <c r="I873" s="3"/>
      <c r="J873" s="3" t="str">
        <f t="shared" si="113"/>
        <v>0</v>
      </c>
      <c r="K873" s="27" t="str">
        <f t="shared" si="114"/>
        <v> No Issue</v>
      </c>
      <c r="L873" s="3" t="str">
        <f t="shared" si="115"/>
        <v>No Issue</v>
      </c>
      <c r="M873" s="3" t="str">
        <f t="shared" si="116"/>
        <v>No Issue</v>
      </c>
      <c r="N873" s="3" t="str">
        <f t="shared" si="117"/>
        <v>No Issue</v>
      </c>
      <c r="O873" s="3" t="str">
        <f t="shared" si="118"/>
        <v>No Issue</v>
      </c>
      <c r="P873" s="3" t="str">
        <f t="shared" si="119"/>
        <v>NoIssue</v>
      </c>
    </row>
    <row r="874" ht="15.75" customHeight="1">
      <c r="A874" s="28">
        <v>44.0</v>
      </c>
      <c r="B874" s="34"/>
      <c r="C874" s="34"/>
      <c r="D874" s="3"/>
      <c r="E874" s="3"/>
      <c r="F874" s="27"/>
      <c r="G874" s="27"/>
      <c r="H874" s="27"/>
      <c r="I874" s="3"/>
      <c r="J874" s="3" t="str">
        <f t="shared" si="113"/>
        <v>0</v>
      </c>
      <c r="K874" s="27" t="str">
        <f t="shared" si="114"/>
        <v> No Issue</v>
      </c>
      <c r="L874" s="3" t="str">
        <f t="shared" si="115"/>
        <v>No Issue</v>
      </c>
      <c r="M874" s="3" t="str">
        <f t="shared" si="116"/>
        <v>No Issue</v>
      </c>
      <c r="N874" s="3" t="str">
        <f t="shared" si="117"/>
        <v>No Issue</v>
      </c>
      <c r="O874" s="3" t="str">
        <f t="shared" si="118"/>
        <v>No Issue</v>
      </c>
      <c r="P874" s="3" t="str">
        <f t="shared" si="119"/>
        <v>NoIssue</v>
      </c>
    </row>
    <row r="875" ht="15.75" customHeight="1">
      <c r="A875" s="28">
        <v>45.0</v>
      </c>
      <c r="B875" s="34"/>
      <c r="C875" s="34"/>
      <c r="D875" s="3"/>
      <c r="E875" s="3"/>
      <c r="F875" s="27"/>
      <c r="G875" s="27"/>
      <c r="H875" s="27"/>
      <c r="I875" s="3"/>
      <c r="J875" s="3" t="str">
        <f t="shared" si="113"/>
        <v>0</v>
      </c>
      <c r="K875" s="27" t="str">
        <f t="shared" si="114"/>
        <v> No Issue</v>
      </c>
      <c r="L875" s="3" t="str">
        <f t="shared" si="115"/>
        <v>No Issue</v>
      </c>
      <c r="M875" s="3" t="str">
        <f t="shared" si="116"/>
        <v>No Issue</v>
      </c>
      <c r="N875" s="3" t="str">
        <f t="shared" si="117"/>
        <v>No Issue</v>
      </c>
      <c r="O875" s="3" t="str">
        <f t="shared" si="118"/>
        <v>No Issue</v>
      </c>
      <c r="P875" s="3" t="str">
        <f t="shared" si="119"/>
        <v>NoIssue</v>
      </c>
    </row>
    <row r="876" ht="15.75" customHeight="1">
      <c r="A876" s="28">
        <v>46.0</v>
      </c>
      <c r="B876" s="34"/>
      <c r="C876" s="34"/>
      <c r="D876" s="3"/>
      <c r="E876" s="3"/>
      <c r="F876" s="27"/>
      <c r="G876" s="27"/>
      <c r="H876" s="27"/>
      <c r="I876" s="3"/>
      <c r="J876" s="3" t="str">
        <f t="shared" si="113"/>
        <v>0</v>
      </c>
      <c r="K876" s="27" t="str">
        <f t="shared" si="114"/>
        <v> No Issue</v>
      </c>
      <c r="L876" s="3" t="str">
        <f t="shared" si="115"/>
        <v>No Issue</v>
      </c>
      <c r="M876" s="3" t="str">
        <f t="shared" si="116"/>
        <v>No Issue</v>
      </c>
      <c r="N876" s="3" t="str">
        <f t="shared" si="117"/>
        <v>No Issue</v>
      </c>
      <c r="O876" s="3" t="str">
        <f t="shared" si="118"/>
        <v>No Issue</v>
      </c>
      <c r="P876" s="3" t="str">
        <f t="shared" si="119"/>
        <v>NoIssue</v>
      </c>
    </row>
    <row r="877" ht="15.75" customHeight="1">
      <c r="A877" s="28">
        <v>47.0</v>
      </c>
      <c r="B877" s="35"/>
      <c r="C877" s="36"/>
      <c r="D877" s="3"/>
      <c r="E877" s="3"/>
      <c r="F877" s="27"/>
      <c r="G877" s="27"/>
      <c r="H877" s="27"/>
      <c r="I877" s="3"/>
      <c r="J877" s="3" t="str">
        <f t="shared" si="113"/>
        <v>0</v>
      </c>
      <c r="K877" s="27" t="str">
        <f t="shared" si="114"/>
        <v> No Issue</v>
      </c>
      <c r="L877" s="3" t="str">
        <f t="shared" si="115"/>
        <v>No Issue</v>
      </c>
      <c r="M877" s="3" t="str">
        <f t="shared" si="116"/>
        <v>No Issue</v>
      </c>
      <c r="N877" s="3" t="str">
        <f t="shared" si="117"/>
        <v>No Issue</v>
      </c>
      <c r="O877" s="3" t="str">
        <f t="shared" si="118"/>
        <v>No Issue</v>
      </c>
      <c r="P877" s="3" t="str">
        <f t="shared" si="119"/>
        <v>NoIssue</v>
      </c>
    </row>
    <row r="878" ht="15.75" customHeight="1">
      <c r="A878" s="28">
        <v>48.0</v>
      </c>
      <c r="B878" s="35"/>
      <c r="C878" s="36"/>
      <c r="D878" s="3"/>
      <c r="E878" s="3"/>
      <c r="F878" s="27"/>
      <c r="G878" s="27"/>
      <c r="H878" s="27"/>
      <c r="I878" s="3"/>
      <c r="J878" s="3" t="str">
        <f t="shared" si="113"/>
        <v>0</v>
      </c>
      <c r="K878" s="27" t="str">
        <f t="shared" si="114"/>
        <v> No Issue</v>
      </c>
      <c r="L878" s="3" t="str">
        <f t="shared" si="115"/>
        <v>No Issue</v>
      </c>
      <c r="M878" s="3" t="str">
        <f t="shared" si="116"/>
        <v>No Issue</v>
      </c>
      <c r="N878" s="3" t="str">
        <f t="shared" si="117"/>
        <v>No Issue</v>
      </c>
      <c r="O878" s="3" t="str">
        <f t="shared" si="118"/>
        <v>No Issue</v>
      </c>
      <c r="P878" s="3" t="str">
        <f t="shared" si="119"/>
        <v>NoIssue</v>
      </c>
    </row>
    <row r="879" ht="15.75" customHeight="1">
      <c r="A879" s="28">
        <v>49.0</v>
      </c>
      <c r="B879" s="35"/>
      <c r="C879" s="36"/>
      <c r="D879" s="3"/>
      <c r="E879" s="3"/>
      <c r="F879" s="27"/>
      <c r="G879" s="27"/>
      <c r="H879" s="27"/>
      <c r="I879" s="3"/>
      <c r="J879" s="3" t="str">
        <f t="shared" si="113"/>
        <v>0</v>
      </c>
      <c r="K879" s="27" t="str">
        <f t="shared" si="114"/>
        <v> No Issue</v>
      </c>
      <c r="L879" s="3" t="str">
        <f t="shared" si="115"/>
        <v>No Issue</v>
      </c>
      <c r="M879" s="3" t="str">
        <f t="shared" si="116"/>
        <v>No Issue</v>
      </c>
      <c r="N879" s="3" t="str">
        <f t="shared" si="117"/>
        <v>No Issue</v>
      </c>
      <c r="O879" s="3" t="str">
        <f t="shared" si="118"/>
        <v>No Issue</v>
      </c>
      <c r="P879" s="3" t="str">
        <f t="shared" si="119"/>
        <v>NoIssue</v>
      </c>
    </row>
    <row r="880" ht="15.75" customHeight="1">
      <c r="A880" s="28">
        <v>50.0</v>
      </c>
      <c r="B880" s="35"/>
      <c r="C880" s="36"/>
      <c r="D880" s="3"/>
      <c r="E880" s="3"/>
      <c r="F880" s="27"/>
      <c r="G880" s="27"/>
      <c r="H880" s="27"/>
      <c r="I880" s="3"/>
      <c r="J880" s="3" t="str">
        <f t="shared" si="113"/>
        <v>0</v>
      </c>
      <c r="K880" s="27" t="str">
        <f t="shared" si="114"/>
        <v> No Issue</v>
      </c>
      <c r="L880" s="3" t="str">
        <f t="shared" si="115"/>
        <v>No Issue</v>
      </c>
      <c r="M880" s="3" t="str">
        <f t="shared" si="116"/>
        <v>No Issue</v>
      </c>
      <c r="N880" s="3" t="str">
        <f t="shared" si="117"/>
        <v>No Issue</v>
      </c>
      <c r="O880" s="3" t="str">
        <f t="shared" si="118"/>
        <v>No Issue</v>
      </c>
      <c r="P880" s="3" t="str">
        <f t="shared" si="119"/>
        <v>NoIssue</v>
      </c>
    </row>
    <row r="881" ht="15.75" customHeight="1">
      <c r="A881" s="28">
        <v>51.0</v>
      </c>
      <c r="B881" s="35"/>
      <c r="C881" s="36"/>
      <c r="D881" s="3"/>
      <c r="E881" s="3"/>
      <c r="F881" s="27"/>
      <c r="G881" s="27"/>
      <c r="H881" s="27"/>
      <c r="I881" s="3"/>
      <c r="J881" s="3" t="str">
        <f t="shared" si="113"/>
        <v>0</v>
      </c>
      <c r="K881" s="27" t="str">
        <f t="shared" si="114"/>
        <v> No Issue</v>
      </c>
      <c r="L881" s="3" t="str">
        <f t="shared" si="115"/>
        <v>No Issue</v>
      </c>
      <c r="M881" s="3" t="str">
        <f t="shared" si="116"/>
        <v>No Issue</v>
      </c>
      <c r="N881" s="3" t="str">
        <f t="shared" si="117"/>
        <v>No Issue</v>
      </c>
      <c r="O881" s="3" t="str">
        <f t="shared" si="118"/>
        <v>No Issue</v>
      </c>
      <c r="P881" s="3" t="str">
        <f t="shared" si="119"/>
        <v>NoIssue</v>
      </c>
    </row>
    <row r="882" ht="15.75" customHeight="1">
      <c r="A882" s="28">
        <v>52.0</v>
      </c>
      <c r="B882" s="35"/>
      <c r="C882" s="36"/>
      <c r="D882" s="3"/>
      <c r="E882" s="3"/>
      <c r="F882" s="27"/>
      <c r="G882" s="27"/>
      <c r="H882" s="27"/>
      <c r="I882" s="3"/>
      <c r="J882" s="3" t="str">
        <f t="shared" si="113"/>
        <v>0</v>
      </c>
      <c r="K882" s="27" t="str">
        <f t="shared" si="114"/>
        <v> No Issue</v>
      </c>
      <c r="L882" s="3" t="str">
        <f t="shared" si="115"/>
        <v>No Issue</v>
      </c>
      <c r="M882" s="3" t="str">
        <f t="shared" si="116"/>
        <v>No Issue</v>
      </c>
      <c r="N882" s="3" t="str">
        <f t="shared" si="117"/>
        <v>No Issue</v>
      </c>
      <c r="O882" s="3" t="str">
        <f t="shared" si="118"/>
        <v>No Issue</v>
      </c>
      <c r="P882" s="3" t="str">
        <f t="shared" si="119"/>
        <v>NoIssue</v>
      </c>
    </row>
    <row r="883" ht="15.75" customHeight="1">
      <c r="A883" s="28">
        <v>53.0</v>
      </c>
      <c r="B883" s="35"/>
      <c r="C883" s="36"/>
      <c r="D883" s="3"/>
      <c r="E883" s="3"/>
      <c r="F883" s="27"/>
      <c r="G883" s="27"/>
      <c r="H883" s="27"/>
      <c r="I883" s="3"/>
      <c r="J883" s="3" t="str">
        <f t="shared" si="113"/>
        <v>0</v>
      </c>
      <c r="K883" s="27" t="str">
        <f t="shared" si="114"/>
        <v> No Issue</v>
      </c>
      <c r="L883" s="3" t="str">
        <f t="shared" si="115"/>
        <v>No Issue</v>
      </c>
      <c r="M883" s="3" t="str">
        <f t="shared" si="116"/>
        <v>No Issue</v>
      </c>
      <c r="N883" s="3" t="str">
        <f t="shared" si="117"/>
        <v>No Issue</v>
      </c>
      <c r="O883" s="3" t="str">
        <f t="shared" si="118"/>
        <v>No Issue</v>
      </c>
      <c r="P883" s="3" t="str">
        <f t="shared" si="119"/>
        <v>NoIssue</v>
      </c>
    </row>
    <row r="884" ht="15.75" customHeight="1">
      <c r="A884" s="28">
        <v>54.0</v>
      </c>
      <c r="B884" s="34"/>
      <c r="C884" s="34"/>
      <c r="D884" s="3"/>
      <c r="E884" s="3"/>
      <c r="F884" s="27"/>
      <c r="G884" s="27"/>
      <c r="H884" s="27"/>
      <c r="I884" s="3"/>
      <c r="J884" s="3" t="str">
        <f t="shared" si="113"/>
        <v>0</v>
      </c>
      <c r="K884" s="27" t="str">
        <f t="shared" si="114"/>
        <v> No Issue</v>
      </c>
      <c r="L884" s="3" t="str">
        <f t="shared" si="115"/>
        <v>No Issue</v>
      </c>
      <c r="M884" s="3" t="str">
        <f t="shared" si="116"/>
        <v>No Issue</v>
      </c>
      <c r="N884" s="3" t="str">
        <f t="shared" si="117"/>
        <v>No Issue</v>
      </c>
      <c r="O884" s="3" t="str">
        <f t="shared" si="118"/>
        <v>No Issue</v>
      </c>
      <c r="P884" s="3" t="str">
        <f t="shared" si="119"/>
        <v>NoIssue</v>
      </c>
    </row>
    <row r="885" ht="15.75" customHeight="1">
      <c r="A885" s="28">
        <v>55.0</v>
      </c>
      <c r="B885" s="35"/>
      <c r="C885" s="36"/>
      <c r="D885" s="3"/>
      <c r="E885" s="3"/>
      <c r="F885" s="27"/>
      <c r="G885" s="27"/>
      <c r="H885" s="27"/>
      <c r="I885" s="3"/>
      <c r="J885" s="3" t="str">
        <f t="shared" si="113"/>
        <v>0</v>
      </c>
      <c r="K885" s="27" t="str">
        <f t="shared" si="114"/>
        <v> No Issue</v>
      </c>
      <c r="L885" s="3" t="str">
        <f t="shared" si="115"/>
        <v>No Issue</v>
      </c>
      <c r="M885" s="3" t="str">
        <f t="shared" si="116"/>
        <v>No Issue</v>
      </c>
      <c r="N885" s="3" t="str">
        <f t="shared" si="117"/>
        <v>No Issue</v>
      </c>
      <c r="O885" s="3" t="str">
        <f t="shared" si="118"/>
        <v>No Issue</v>
      </c>
      <c r="P885" s="3" t="str">
        <f t="shared" si="119"/>
        <v>NoIssue</v>
      </c>
    </row>
    <row r="886" ht="15.75" customHeight="1">
      <c r="A886" s="28">
        <v>56.0</v>
      </c>
      <c r="B886" s="35"/>
      <c r="C886" s="36"/>
      <c r="D886" s="3"/>
      <c r="E886" s="3"/>
      <c r="F886" s="27"/>
      <c r="G886" s="27"/>
      <c r="H886" s="27"/>
      <c r="I886" s="3"/>
      <c r="J886" s="3" t="str">
        <f t="shared" si="113"/>
        <v>0</v>
      </c>
      <c r="K886" s="27" t="str">
        <f t="shared" si="114"/>
        <v> No Issue</v>
      </c>
      <c r="L886" s="3" t="str">
        <f t="shared" si="115"/>
        <v>No Issue</v>
      </c>
      <c r="M886" s="3" t="str">
        <f t="shared" si="116"/>
        <v>No Issue</v>
      </c>
      <c r="N886" s="3" t="str">
        <f t="shared" si="117"/>
        <v>No Issue</v>
      </c>
      <c r="O886" s="3" t="str">
        <f t="shared" si="118"/>
        <v>No Issue</v>
      </c>
      <c r="P886" s="3" t="str">
        <f t="shared" si="119"/>
        <v>NoIssue</v>
      </c>
    </row>
    <row r="887" ht="15.75" customHeight="1">
      <c r="A887" s="28"/>
      <c r="B887" s="42" t="s">
        <v>64</v>
      </c>
      <c r="C887" s="35"/>
      <c r="D887" s="3" t="str">
        <f t="shared" ref="D887:I887" si="120">SUMPRODUCT(D831:D886,$C831:$C886)</f>
        <v>0</v>
      </c>
      <c r="E887" s="3" t="str">
        <f t="shared" si="120"/>
        <v>0</v>
      </c>
      <c r="F887" s="3" t="str">
        <f t="shared" si="120"/>
        <v>0</v>
      </c>
      <c r="G887" s="3" t="str">
        <f t="shared" si="120"/>
        <v>0</v>
      </c>
      <c r="H887" s="3" t="str">
        <f t="shared" si="120"/>
        <v>0</v>
      </c>
      <c r="I887" s="3" t="str">
        <f t="shared" si="120"/>
        <v>0</v>
      </c>
      <c r="J887" s="3" t="str">
        <f t="shared" si="113"/>
        <v>0</v>
      </c>
      <c r="K887" s="27" t="str">
        <f t="shared" si="114"/>
        <v> No Issue</v>
      </c>
      <c r="L887" s="3" t="str">
        <f t="shared" si="115"/>
        <v>No Issue</v>
      </c>
      <c r="M887" s="3" t="str">
        <f t="shared" si="116"/>
        <v>No Issue</v>
      </c>
      <c r="N887" s="3" t="str">
        <f t="shared" si="117"/>
        <v>No Issue</v>
      </c>
      <c r="O887" s="3" t="str">
        <f t="shared" si="118"/>
        <v>No Issue</v>
      </c>
      <c r="P887" s="3" t="str">
        <f t="shared" si="119"/>
        <v>NoIssue</v>
      </c>
    </row>
    <row r="888" ht="15.75" customHeight="1">
      <c r="A888" s="43"/>
      <c r="B888" s="44" t="s">
        <v>74</v>
      </c>
      <c r="C888" s="45"/>
      <c r="D888" s="46"/>
      <c r="E888" s="47"/>
      <c r="F888" s="48"/>
      <c r="G888" s="49"/>
      <c r="H888" s="17"/>
      <c r="I888" s="48"/>
      <c r="J888" s="50"/>
      <c r="K888" s="51" t="s">
        <v>5</v>
      </c>
      <c r="L888" s="20"/>
      <c r="M888" s="20"/>
      <c r="N888" s="20"/>
      <c r="O888" s="20"/>
      <c r="P888" s="21"/>
    </row>
    <row r="889" ht="15.75" customHeight="1">
      <c r="A889" s="40" t="s">
        <v>6</v>
      </c>
      <c r="B889" s="52" t="s">
        <v>7</v>
      </c>
      <c r="C889" s="27" t="s">
        <v>8</v>
      </c>
      <c r="D889" s="26" t="s">
        <v>9</v>
      </c>
      <c r="E889" s="26" t="s">
        <v>10</v>
      </c>
      <c r="F889" s="26" t="s">
        <v>11</v>
      </c>
      <c r="G889" s="26" t="s">
        <v>12</v>
      </c>
      <c r="H889" s="26" t="s">
        <v>13</v>
      </c>
      <c r="I889" s="26" t="s">
        <v>14</v>
      </c>
      <c r="J889" s="26" t="s">
        <v>15</v>
      </c>
      <c r="K889" s="27" t="s">
        <v>16</v>
      </c>
      <c r="L889" s="27" t="s">
        <v>17</v>
      </c>
      <c r="M889" s="27" t="s">
        <v>18</v>
      </c>
      <c r="N889" s="27" t="s">
        <v>19</v>
      </c>
      <c r="O889" s="27" t="s">
        <v>20</v>
      </c>
      <c r="P889" s="27" t="s">
        <v>21</v>
      </c>
    </row>
    <row r="890" ht="15.75" customHeight="1">
      <c r="A890" s="28">
        <v>1.0</v>
      </c>
      <c r="B890" s="29" t="s">
        <v>22</v>
      </c>
      <c r="C890" s="30">
        <v>192.17</v>
      </c>
      <c r="D890" s="3" t="str">
        <f t="shared" ref="D890:I890" si="121">(D831+D772+D713+D654+D595+D536+D477+D418+D359+D300+D241+D182+D123+D64+D5)</f>
        <v>0</v>
      </c>
      <c r="E890" s="3" t="str">
        <f t="shared" si="121"/>
        <v>0</v>
      </c>
      <c r="F890" s="3" t="str">
        <f t="shared" si="121"/>
        <v>0</v>
      </c>
      <c r="G890" s="3" t="str">
        <f t="shared" si="121"/>
        <v>0</v>
      </c>
      <c r="H890" s="3" t="str">
        <f t="shared" si="121"/>
        <v>0</v>
      </c>
      <c r="I890" s="3" t="str">
        <f t="shared" si="121"/>
        <v>0</v>
      </c>
      <c r="J890" s="3" t="str">
        <f t="shared" ref="J890:J946" si="123">D890+E890-F890-G890+H890</f>
        <v>0</v>
      </c>
      <c r="K890" s="27" t="str">
        <f t="shared" ref="K890:K946" si="124">IF(I890&lt;&gt;(D890+E890-F890-G890+H890),"Closing stock Not Correct-Problem"," No Issue")</f>
        <v> No Issue</v>
      </c>
      <c r="L890" s="3" t="str">
        <f t="shared" ref="L890:L946" si="125">IF((D890+E890)&lt;F890,"High Sale and Less Stock-Problem","No Issue")</f>
        <v>No Issue</v>
      </c>
      <c r="M890" s="3" t="str">
        <f t="shared" ref="M890:M946" si="126">IF(AND((D890+E890+I890)=0,F890&gt;0),"No Stock Sale Present Problem","No Issue")</f>
        <v>No Issue</v>
      </c>
      <c r="N890" s="3" t="str">
        <f t="shared" ref="N890:N946" si="127">IF(AND(SUM(D890:H890)=0,I890&gt;0),"Only Closing Entered Other Parameters No Entired Problem","No Issue")</f>
        <v>No Issue</v>
      </c>
      <c r="O890" s="3" t="str">
        <f t="shared" ref="O890:O946" si="128">IF(F890&gt;5000,"Check Once Sales quantity or Value Problem","No Issue")</f>
        <v>No Issue</v>
      </c>
      <c r="P890" s="3" t="str">
        <f t="shared" ref="P890:P946" si="129">IF(I890&gt;5000,"Check Once Closing quantity or Value Problem","NoIssue")</f>
        <v>NoIssue</v>
      </c>
    </row>
    <row r="891" ht="15.75" customHeight="1">
      <c r="A891" s="28">
        <v>2.0</v>
      </c>
      <c r="B891" s="29" t="s">
        <v>23</v>
      </c>
      <c r="C891" s="30">
        <v>9.26</v>
      </c>
      <c r="D891" s="3" t="str">
        <f t="shared" ref="D891:I891" si="122">(D832+D773+D714+D655+D596+D537+D478+D419+D360+D301+D242+D183+D124+D65+D6)</f>
        <v>0</v>
      </c>
      <c r="E891" s="3" t="str">
        <f t="shared" si="122"/>
        <v>0</v>
      </c>
      <c r="F891" s="3" t="str">
        <f t="shared" si="122"/>
        <v>0</v>
      </c>
      <c r="G891" s="3" t="str">
        <f t="shared" si="122"/>
        <v>0</v>
      </c>
      <c r="H891" s="3" t="str">
        <f t="shared" si="122"/>
        <v>0</v>
      </c>
      <c r="I891" s="3" t="str">
        <f t="shared" si="122"/>
        <v>0</v>
      </c>
      <c r="J891" s="3" t="str">
        <f t="shared" si="123"/>
        <v>0</v>
      </c>
      <c r="K891" s="27" t="str">
        <f t="shared" si="124"/>
        <v> No Issue</v>
      </c>
      <c r="L891" s="3" t="str">
        <f t="shared" si="125"/>
        <v>No Issue</v>
      </c>
      <c r="M891" s="3" t="str">
        <f t="shared" si="126"/>
        <v>No Issue</v>
      </c>
      <c r="N891" s="3" t="str">
        <f t="shared" si="127"/>
        <v>No Issue</v>
      </c>
      <c r="O891" s="3" t="str">
        <f t="shared" si="128"/>
        <v>No Issue</v>
      </c>
      <c r="P891" s="3" t="str">
        <f t="shared" si="129"/>
        <v>NoIssue</v>
      </c>
    </row>
    <row r="892" ht="15.75" customHeight="1">
      <c r="A892" s="28">
        <v>3.0</v>
      </c>
      <c r="B892" s="29" t="s">
        <v>24</v>
      </c>
      <c r="C892" s="30">
        <v>87.79</v>
      </c>
      <c r="D892" s="3" t="str">
        <f t="shared" ref="D892:I892" si="130">(D833+D774+D715+D656+D597+D538+D479+D420+D361+D302+D243+D184+D125+D66+D7)</f>
        <v>0</v>
      </c>
      <c r="E892" s="3" t="str">
        <f t="shared" si="130"/>
        <v>0</v>
      </c>
      <c r="F892" s="3" t="str">
        <f t="shared" si="130"/>
        <v>0</v>
      </c>
      <c r="G892" s="3" t="str">
        <f t="shared" si="130"/>
        <v>0</v>
      </c>
      <c r="H892" s="3" t="str">
        <f t="shared" si="130"/>
        <v>0</v>
      </c>
      <c r="I892" s="3" t="str">
        <f t="shared" si="130"/>
        <v>0</v>
      </c>
      <c r="J892" s="3" t="str">
        <f t="shared" si="123"/>
        <v>0</v>
      </c>
      <c r="K892" s="27" t="str">
        <f t="shared" si="124"/>
        <v> No Issue</v>
      </c>
      <c r="L892" s="3" t="str">
        <f t="shared" si="125"/>
        <v>No Issue</v>
      </c>
      <c r="M892" s="3" t="str">
        <f t="shared" si="126"/>
        <v>No Issue</v>
      </c>
      <c r="N892" s="3" t="str">
        <f t="shared" si="127"/>
        <v>No Issue</v>
      </c>
      <c r="O892" s="3" t="str">
        <f t="shared" si="128"/>
        <v>No Issue</v>
      </c>
      <c r="P892" s="3" t="str">
        <f t="shared" si="129"/>
        <v>NoIssue</v>
      </c>
    </row>
    <row r="893" ht="15.75" customHeight="1">
      <c r="A893" s="28">
        <v>4.0</v>
      </c>
      <c r="B893" s="29" t="s">
        <v>25</v>
      </c>
      <c r="C893" s="30">
        <v>55.55</v>
      </c>
      <c r="D893" s="3" t="str">
        <f t="shared" ref="D893:I893" si="131">(D834+D775+D716+D657+D598+D539+D480+D421+D362+D303+D244+D185+D126+D67+D8)</f>
        <v>0</v>
      </c>
      <c r="E893" s="3" t="str">
        <f t="shared" si="131"/>
        <v>0</v>
      </c>
      <c r="F893" s="3" t="str">
        <f t="shared" si="131"/>
        <v>0</v>
      </c>
      <c r="G893" s="3" t="str">
        <f t="shared" si="131"/>
        <v>0</v>
      </c>
      <c r="H893" s="3" t="str">
        <f t="shared" si="131"/>
        <v>0</v>
      </c>
      <c r="I893" s="3" t="str">
        <f t="shared" si="131"/>
        <v>0</v>
      </c>
      <c r="J893" s="3" t="str">
        <f t="shared" si="123"/>
        <v>0</v>
      </c>
      <c r="K893" s="27" t="str">
        <f t="shared" si="124"/>
        <v> No Issue</v>
      </c>
      <c r="L893" s="3" t="str">
        <f t="shared" si="125"/>
        <v>No Issue</v>
      </c>
      <c r="M893" s="3" t="str">
        <f t="shared" si="126"/>
        <v>No Issue</v>
      </c>
      <c r="N893" s="3" t="str">
        <f t="shared" si="127"/>
        <v>No Issue</v>
      </c>
      <c r="O893" s="3" t="str">
        <f t="shared" si="128"/>
        <v>No Issue</v>
      </c>
      <c r="P893" s="3" t="str">
        <f t="shared" si="129"/>
        <v>NoIssue</v>
      </c>
    </row>
    <row r="894" ht="15.75" customHeight="1">
      <c r="A894" s="28">
        <v>5.0</v>
      </c>
      <c r="B894" s="29" t="s">
        <v>26</v>
      </c>
      <c r="C894" s="30">
        <v>70.01</v>
      </c>
      <c r="D894" s="3" t="str">
        <f t="shared" ref="D894:I894" si="132">(D835+D776+D717+D658+D599+D540+D481+D422+D363+D304+D245+D186+D127+D68+D9)</f>
        <v>0</v>
      </c>
      <c r="E894" s="3" t="str">
        <f t="shared" si="132"/>
        <v>0</v>
      </c>
      <c r="F894" s="3" t="str">
        <f t="shared" si="132"/>
        <v>0</v>
      </c>
      <c r="G894" s="3" t="str">
        <f t="shared" si="132"/>
        <v>0</v>
      </c>
      <c r="H894" s="3" t="str">
        <f t="shared" si="132"/>
        <v>0</v>
      </c>
      <c r="I894" s="3" t="str">
        <f t="shared" si="132"/>
        <v>0</v>
      </c>
      <c r="J894" s="3" t="str">
        <f t="shared" si="123"/>
        <v>0</v>
      </c>
      <c r="K894" s="27" t="str">
        <f t="shared" si="124"/>
        <v> No Issue</v>
      </c>
      <c r="L894" s="3" t="str">
        <f t="shared" si="125"/>
        <v>No Issue</v>
      </c>
      <c r="M894" s="3" t="str">
        <f t="shared" si="126"/>
        <v>No Issue</v>
      </c>
      <c r="N894" s="3" t="str">
        <f t="shared" si="127"/>
        <v>No Issue</v>
      </c>
      <c r="O894" s="3" t="str">
        <f t="shared" si="128"/>
        <v>No Issue</v>
      </c>
      <c r="P894" s="3" t="str">
        <f t="shared" si="129"/>
        <v>NoIssue</v>
      </c>
    </row>
    <row r="895" ht="15.75" customHeight="1">
      <c r="A895" s="28">
        <v>6.0</v>
      </c>
      <c r="B895" s="29" t="s">
        <v>27</v>
      </c>
      <c r="C895" s="30">
        <v>73.92999999999999</v>
      </c>
      <c r="D895" s="3" t="str">
        <f t="shared" ref="D895:I895" si="133">(D836+D777+D718+D659+D600+D541+D482+D423+D364+D305+D246+D187+D128+D69+D10)</f>
        <v>0</v>
      </c>
      <c r="E895" s="3" t="str">
        <f t="shared" si="133"/>
        <v>0</v>
      </c>
      <c r="F895" s="3" t="str">
        <f t="shared" si="133"/>
        <v>0</v>
      </c>
      <c r="G895" s="3" t="str">
        <f t="shared" si="133"/>
        <v>0</v>
      </c>
      <c r="H895" s="3" t="str">
        <f t="shared" si="133"/>
        <v>0</v>
      </c>
      <c r="I895" s="3" t="str">
        <f t="shared" si="133"/>
        <v>0</v>
      </c>
      <c r="J895" s="3" t="str">
        <f t="shared" si="123"/>
        <v>0</v>
      </c>
      <c r="K895" s="27" t="str">
        <f t="shared" si="124"/>
        <v> No Issue</v>
      </c>
      <c r="L895" s="3" t="str">
        <f t="shared" si="125"/>
        <v>No Issue</v>
      </c>
      <c r="M895" s="3" t="str">
        <f t="shared" si="126"/>
        <v>No Issue</v>
      </c>
      <c r="N895" s="3" t="str">
        <f t="shared" si="127"/>
        <v>No Issue</v>
      </c>
      <c r="O895" s="3" t="str">
        <f t="shared" si="128"/>
        <v>No Issue</v>
      </c>
      <c r="P895" s="3" t="str">
        <f t="shared" si="129"/>
        <v>NoIssue</v>
      </c>
    </row>
    <row r="896" ht="15.75" customHeight="1">
      <c r="A896" s="28">
        <v>7.0</v>
      </c>
      <c r="B896" s="29" t="s">
        <v>28</v>
      </c>
      <c r="C896" s="30">
        <v>13.91</v>
      </c>
      <c r="D896" s="3" t="str">
        <f t="shared" ref="D896:I896" si="134">(D837+D778+D719+D660+D601+D542+D483+D424+D365+D306+D247+D188+D129+D70+D11)</f>
        <v>0</v>
      </c>
      <c r="E896" s="3" t="str">
        <f t="shared" si="134"/>
        <v>0</v>
      </c>
      <c r="F896" s="3" t="str">
        <f t="shared" si="134"/>
        <v>0</v>
      </c>
      <c r="G896" s="3" t="str">
        <f t="shared" si="134"/>
        <v>0</v>
      </c>
      <c r="H896" s="3" t="str">
        <f t="shared" si="134"/>
        <v>0</v>
      </c>
      <c r="I896" s="3" t="str">
        <f t="shared" si="134"/>
        <v>0</v>
      </c>
      <c r="J896" s="3" t="str">
        <f t="shared" si="123"/>
        <v>0</v>
      </c>
      <c r="K896" s="27" t="str">
        <f t="shared" si="124"/>
        <v> No Issue</v>
      </c>
      <c r="L896" s="3" t="str">
        <f t="shared" si="125"/>
        <v>No Issue</v>
      </c>
      <c r="M896" s="3" t="str">
        <f t="shared" si="126"/>
        <v>No Issue</v>
      </c>
      <c r="N896" s="3" t="str">
        <f t="shared" si="127"/>
        <v>No Issue</v>
      </c>
      <c r="O896" s="3" t="str">
        <f t="shared" si="128"/>
        <v>No Issue</v>
      </c>
      <c r="P896" s="3" t="str">
        <f t="shared" si="129"/>
        <v>NoIssue</v>
      </c>
    </row>
    <row r="897" ht="15.75" customHeight="1">
      <c r="A897" s="28">
        <v>8.0</v>
      </c>
      <c r="B897" s="29" t="s">
        <v>29</v>
      </c>
      <c r="C897" s="30">
        <v>19.5</v>
      </c>
      <c r="D897" s="3" t="str">
        <f t="shared" ref="D897:I897" si="135">(D838+D779+D720+D661+D602+D543+D484+D425+D366+D307+D248+D189+D130+D71+D12)</f>
        <v>0</v>
      </c>
      <c r="E897" s="3" t="str">
        <f t="shared" si="135"/>
        <v>0</v>
      </c>
      <c r="F897" s="3" t="str">
        <f t="shared" si="135"/>
        <v>0</v>
      </c>
      <c r="G897" s="3" t="str">
        <f t="shared" si="135"/>
        <v>0</v>
      </c>
      <c r="H897" s="3" t="str">
        <f t="shared" si="135"/>
        <v>0</v>
      </c>
      <c r="I897" s="3" t="str">
        <f t="shared" si="135"/>
        <v>0</v>
      </c>
      <c r="J897" s="3" t="str">
        <f t="shared" si="123"/>
        <v>0</v>
      </c>
      <c r="K897" s="27" t="str">
        <f t="shared" si="124"/>
        <v> No Issue</v>
      </c>
      <c r="L897" s="3" t="str">
        <f t="shared" si="125"/>
        <v>No Issue</v>
      </c>
      <c r="M897" s="3" t="str">
        <f t="shared" si="126"/>
        <v>No Issue</v>
      </c>
      <c r="N897" s="3" t="str">
        <f t="shared" si="127"/>
        <v>No Issue</v>
      </c>
      <c r="O897" s="3" t="str">
        <f t="shared" si="128"/>
        <v>No Issue</v>
      </c>
      <c r="P897" s="3" t="str">
        <f t="shared" si="129"/>
        <v>NoIssue</v>
      </c>
    </row>
    <row r="898" ht="15.75" customHeight="1">
      <c r="A898" s="28">
        <v>9.0</v>
      </c>
      <c r="B898" s="29" t="s">
        <v>30</v>
      </c>
      <c r="C898" s="30">
        <v>28.83</v>
      </c>
      <c r="D898" s="3" t="str">
        <f t="shared" ref="D898:I898" si="136">(D839+D780+D721+D662+D603+D544+D485+D426+D367+D308+D249+D190+D131+D72+D13)</f>
        <v>0</v>
      </c>
      <c r="E898" s="3" t="str">
        <f t="shared" si="136"/>
        <v>0</v>
      </c>
      <c r="F898" s="3" t="str">
        <f t="shared" si="136"/>
        <v>0</v>
      </c>
      <c r="G898" s="3" t="str">
        <f t="shared" si="136"/>
        <v>0</v>
      </c>
      <c r="H898" s="3" t="str">
        <f t="shared" si="136"/>
        <v>0</v>
      </c>
      <c r="I898" s="3" t="str">
        <f t="shared" si="136"/>
        <v>0</v>
      </c>
      <c r="J898" s="3" t="str">
        <f t="shared" si="123"/>
        <v>0</v>
      </c>
      <c r="K898" s="27" t="str">
        <f t="shared" si="124"/>
        <v> No Issue</v>
      </c>
      <c r="L898" s="3" t="str">
        <f t="shared" si="125"/>
        <v>No Issue</v>
      </c>
      <c r="M898" s="3" t="str">
        <f t="shared" si="126"/>
        <v>No Issue</v>
      </c>
      <c r="N898" s="3" t="str">
        <f t="shared" si="127"/>
        <v>No Issue</v>
      </c>
      <c r="O898" s="3" t="str">
        <f t="shared" si="128"/>
        <v>No Issue</v>
      </c>
      <c r="P898" s="3" t="str">
        <f t="shared" si="129"/>
        <v>NoIssue</v>
      </c>
    </row>
    <row r="899" ht="15.75" customHeight="1">
      <c r="A899" s="28">
        <v>10.0</v>
      </c>
      <c r="B899" s="29" t="s">
        <v>31</v>
      </c>
      <c r="C899" s="30">
        <v>8.51</v>
      </c>
      <c r="D899" s="3" t="str">
        <f t="shared" ref="D899:I899" si="137">(D840+D781+D722+D663+D604+D545+D486+D427+D368+D309+D250+D191+D132+D73+D14)</f>
        <v>0</v>
      </c>
      <c r="E899" s="3" t="str">
        <f t="shared" si="137"/>
        <v>0</v>
      </c>
      <c r="F899" s="3" t="str">
        <f t="shared" si="137"/>
        <v>0</v>
      </c>
      <c r="G899" s="3" t="str">
        <f t="shared" si="137"/>
        <v>0</v>
      </c>
      <c r="H899" s="3" t="str">
        <f t="shared" si="137"/>
        <v>0</v>
      </c>
      <c r="I899" s="3" t="str">
        <f t="shared" si="137"/>
        <v>0</v>
      </c>
      <c r="J899" s="3" t="str">
        <f t="shared" si="123"/>
        <v>0</v>
      </c>
      <c r="K899" s="27" t="str">
        <f t="shared" si="124"/>
        <v> No Issue</v>
      </c>
      <c r="L899" s="3" t="str">
        <f t="shared" si="125"/>
        <v>No Issue</v>
      </c>
      <c r="M899" s="3" t="str">
        <f t="shared" si="126"/>
        <v>No Issue</v>
      </c>
      <c r="N899" s="3" t="str">
        <f t="shared" si="127"/>
        <v>No Issue</v>
      </c>
      <c r="O899" s="3" t="str">
        <f t="shared" si="128"/>
        <v>No Issue</v>
      </c>
      <c r="P899" s="3" t="str">
        <f t="shared" si="129"/>
        <v>NoIssue</v>
      </c>
    </row>
    <row r="900" ht="15.75" customHeight="1">
      <c r="A900" s="28">
        <v>11.0</v>
      </c>
      <c r="B900" s="29" t="s">
        <v>32</v>
      </c>
      <c r="C900" s="30">
        <v>102.17</v>
      </c>
      <c r="D900" s="3" t="str">
        <f t="shared" ref="D900:I900" si="138">(D841+D782+D723+D664+D605+D546+D487+D428+D369+D310+D251+D192+D133+D74+D15)</f>
        <v>0</v>
      </c>
      <c r="E900" s="3" t="str">
        <f t="shared" si="138"/>
        <v>0</v>
      </c>
      <c r="F900" s="3" t="str">
        <f t="shared" si="138"/>
        <v>0</v>
      </c>
      <c r="G900" s="3" t="str">
        <f t="shared" si="138"/>
        <v>0</v>
      </c>
      <c r="H900" s="3" t="str">
        <f t="shared" si="138"/>
        <v>0</v>
      </c>
      <c r="I900" s="3" t="str">
        <f t="shared" si="138"/>
        <v>0</v>
      </c>
      <c r="J900" s="3" t="str">
        <f t="shared" si="123"/>
        <v>0</v>
      </c>
      <c r="K900" s="27" t="str">
        <f t="shared" si="124"/>
        <v> No Issue</v>
      </c>
      <c r="L900" s="3" t="str">
        <f t="shared" si="125"/>
        <v>No Issue</v>
      </c>
      <c r="M900" s="3" t="str">
        <f t="shared" si="126"/>
        <v>No Issue</v>
      </c>
      <c r="N900" s="3" t="str">
        <f t="shared" si="127"/>
        <v>No Issue</v>
      </c>
      <c r="O900" s="3" t="str">
        <f t="shared" si="128"/>
        <v>No Issue</v>
      </c>
      <c r="P900" s="3" t="str">
        <f t="shared" si="129"/>
        <v>NoIssue</v>
      </c>
    </row>
    <row r="901" ht="15.75" customHeight="1">
      <c r="A901" s="28">
        <v>12.0</v>
      </c>
      <c r="B901" s="29" t="s">
        <v>33</v>
      </c>
      <c r="C901" s="30">
        <v>59.93</v>
      </c>
      <c r="D901" s="3" t="str">
        <f t="shared" ref="D901:I901" si="139">(D842+D783+D724+D665+D606+D547+D488+D429+D370+D311+D252+D193+D134+D75+D16)</f>
        <v>0</v>
      </c>
      <c r="E901" s="3" t="str">
        <f t="shared" si="139"/>
        <v>0</v>
      </c>
      <c r="F901" s="3" t="str">
        <f t="shared" si="139"/>
        <v>0</v>
      </c>
      <c r="G901" s="3" t="str">
        <f t="shared" si="139"/>
        <v>0</v>
      </c>
      <c r="H901" s="3" t="str">
        <f t="shared" si="139"/>
        <v>0</v>
      </c>
      <c r="I901" s="3" t="str">
        <f t="shared" si="139"/>
        <v>0</v>
      </c>
      <c r="J901" s="3" t="str">
        <f t="shared" si="123"/>
        <v>0</v>
      </c>
      <c r="K901" s="27" t="str">
        <f t="shared" si="124"/>
        <v> No Issue</v>
      </c>
      <c r="L901" s="3" t="str">
        <f t="shared" si="125"/>
        <v>No Issue</v>
      </c>
      <c r="M901" s="3" t="str">
        <f t="shared" si="126"/>
        <v>No Issue</v>
      </c>
      <c r="N901" s="3" t="str">
        <f t="shared" si="127"/>
        <v>No Issue</v>
      </c>
      <c r="O901" s="3" t="str">
        <f t="shared" si="128"/>
        <v>No Issue</v>
      </c>
      <c r="P901" s="3" t="str">
        <f t="shared" si="129"/>
        <v>NoIssue</v>
      </c>
    </row>
    <row r="902" ht="15.75" customHeight="1">
      <c r="A902" s="28">
        <v>13.0</v>
      </c>
      <c r="B902" s="29" t="s">
        <v>34</v>
      </c>
      <c r="C902" s="30">
        <v>118.0</v>
      </c>
      <c r="D902" s="3" t="str">
        <f t="shared" ref="D902:I902" si="140">(D843+D784+D725+D666+D607+D548+D489+D430+D371+D312+D253+D194+D135+D76+D17)</f>
        <v>0</v>
      </c>
      <c r="E902" s="3" t="str">
        <f t="shared" si="140"/>
        <v>0</v>
      </c>
      <c r="F902" s="3" t="str">
        <f t="shared" si="140"/>
        <v>0</v>
      </c>
      <c r="G902" s="3" t="str">
        <f t="shared" si="140"/>
        <v>0</v>
      </c>
      <c r="H902" s="3" t="str">
        <f t="shared" si="140"/>
        <v>0</v>
      </c>
      <c r="I902" s="3" t="str">
        <f t="shared" si="140"/>
        <v>0</v>
      </c>
      <c r="J902" s="3" t="str">
        <f t="shared" si="123"/>
        <v>0</v>
      </c>
      <c r="K902" s="27" t="str">
        <f t="shared" si="124"/>
        <v> No Issue</v>
      </c>
      <c r="L902" s="3" t="str">
        <f t="shared" si="125"/>
        <v>No Issue</v>
      </c>
      <c r="M902" s="3" t="str">
        <f t="shared" si="126"/>
        <v>No Issue</v>
      </c>
      <c r="N902" s="3" t="str">
        <f t="shared" si="127"/>
        <v>No Issue</v>
      </c>
      <c r="O902" s="3" t="str">
        <f t="shared" si="128"/>
        <v>No Issue</v>
      </c>
      <c r="P902" s="3" t="str">
        <f t="shared" si="129"/>
        <v>NoIssue</v>
      </c>
    </row>
    <row r="903" ht="15.75" customHeight="1">
      <c r="A903" s="28">
        <v>14.0</v>
      </c>
      <c r="B903" s="29" t="s">
        <v>35</v>
      </c>
      <c r="C903" s="30">
        <v>52.83</v>
      </c>
      <c r="D903" s="3" t="str">
        <f t="shared" ref="D903:I903" si="141">(D844+D785+D726+D667+D608+D549+D490+D431+D372+D313+D254+D195+D136+D77+D18)</f>
        <v>0</v>
      </c>
      <c r="E903" s="3" t="str">
        <f t="shared" si="141"/>
        <v>0</v>
      </c>
      <c r="F903" s="3" t="str">
        <f t="shared" si="141"/>
        <v>0</v>
      </c>
      <c r="G903" s="3" t="str">
        <f t="shared" si="141"/>
        <v>0</v>
      </c>
      <c r="H903" s="3" t="str">
        <f t="shared" si="141"/>
        <v>0</v>
      </c>
      <c r="I903" s="3" t="str">
        <f t="shared" si="141"/>
        <v>0</v>
      </c>
      <c r="J903" s="3" t="str">
        <f t="shared" si="123"/>
        <v>0</v>
      </c>
      <c r="K903" s="27" t="str">
        <f t="shared" si="124"/>
        <v> No Issue</v>
      </c>
      <c r="L903" s="3" t="str">
        <f t="shared" si="125"/>
        <v>No Issue</v>
      </c>
      <c r="M903" s="3" t="str">
        <f t="shared" si="126"/>
        <v>No Issue</v>
      </c>
      <c r="N903" s="3" t="str">
        <f t="shared" si="127"/>
        <v>No Issue</v>
      </c>
      <c r="O903" s="3" t="str">
        <f t="shared" si="128"/>
        <v>No Issue</v>
      </c>
      <c r="P903" s="3" t="str">
        <f t="shared" si="129"/>
        <v>NoIssue</v>
      </c>
    </row>
    <row r="904" ht="15.75" customHeight="1">
      <c r="A904" s="28">
        <v>15.0</v>
      </c>
      <c r="B904" s="29" t="s">
        <v>36</v>
      </c>
      <c r="C904" s="30">
        <v>93.2</v>
      </c>
      <c r="D904" s="3" t="str">
        <f t="shared" ref="D904:I904" si="142">(D845+D786+D727+D668+D609+D550+D491+D432+D373+D314+D255+D196+D137+D78+D19)</f>
        <v>0</v>
      </c>
      <c r="E904" s="3" t="str">
        <f t="shared" si="142"/>
        <v>0</v>
      </c>
      <c r="F904" s="3" t="str">
        <f t="shared" si="142"/>
        <v>0</v>
      </c>
      <c r="G904" s="3" t="str">
        <f t="shared" si="142"/>
        <v>0</v>
      </c>
      <c r="H904" s="3" t="str">
        <f t="shared" si="142"/>
        <v>0</v>
      </c>
      <c r="I904" s="3" t="str">
        <f t="shared" si="142"/>
        <v>0</v>
      </c>
      <c r="J904" s="3" t="str">
        <f t="shared" si="123"/>
        <v>0</v>
      </c>
      <c r="K904" s="27" t="str">
        <f t="shared" si="124"/>
        <v> No Issue</v>
      </c>
      <c r="L904" s="3" t="str">
        <f t="shared" si="125"/>
        <v>No Issue</v>
      </c>
      <c r="M904" s="3" t="str">
        <f t="shared" si="126"/>
        <v>No Issue</v>
      </c>
      <c r="N904" s="3" t="str">
        <f t="shared" si="127"/>
        <v>No Issue</v>
      </c>
      <c r="O904" s="3" t="str">
        <f t="shared" si="128"/>
        <v>No Issue</v>
      </c>
      <c r="P904" s="3" t="str">
        <f t="shared" si="129"/>
        <v>NoIssue</v>
      </c>
    </row>
    <row r="905" ht="15.75" customHeight="1">
      <c r="A905" s="28">
        <v>16.0</v>
      </c>
      <c r="B905" s="29" t="s">
        <v>37</v>
      </c>
      <c r="C905" s="30">
        <v>61.02</v>
      </c>
      <c r="D905" s="3" t="str">
        <f t="shared" ref="D905:I905" si="143">(D846+D787+D728+D669+D610+D551+D492+D433+D374+D315+D256+D197+D138+D79+D20)</f>
        <v>0</v>
      </c>
      <c r="E905" s="3" t="str">
        <f t="shared" si="143"/>
        <v>0</v>
      </c>
      <c r="F905" s="3" t="str">
        <f t="shared" si="143"/>
        <v>0</v>
      </c>
      <c r="G905" s="3" t="str">
        <f t="shared" si="143"/>
        <v>0</v>
      </c>
      <c r="H905" s="3" t="str">
        <f t="shared" si="143"/>
        <v>0</v>
      </c>
      <c r="I905" s="3" t="str">
        <f t="shared" si="143"/>
        <v>0</v>
      </c>
      <c r="J905" s="3" t="str">
        <f t="shared" si="123"/>
        <v>0</v>
      </c>
      <c r="K905" s="27" t="str">
        <f t="shared" si="124"/>
        <v> No Issue</v>
      </c>
      <c r="L905" s="3" t="str">
        <f t="shared" si="125"/>
        <v>No Issue</v>
      </c>
      <c r="M905" s="3" t="str">
        <f t="shared" si="126"/>
        <v>No Issue</v>
      </c>
      <c r="N905" s="3" t="str">
        <f t="shared" si="127"/>
        <v>No Issue</v>
      </c>
      <c r="O905" s="3" t="str">
        <f t="shared" si="128"/>
        <v>No Issue</v>
      </c>
      <c r="P905" s="3" t="str">
        <f t="shared" si="129"/>
        <v>NoIssue</v>
      </c>
    </row>
    <row r="906" ht="15.75" customHeight="1">
      <c r="A906" s="28">
        <v>17.0</v>
      </c>
      <c r="B906" s="29" t="s">
        <v>38</v>
      </c>
      <c r="C906" s="30">
        <v>36.62</v>
      </c>
      <c r="D906" s="3" t="str">
        <f t="shared" ref="D906:I906" si="144">(D847+D788+D729+D670+D611+D552+D493+D434+D375+D316+D257+D198+D139+D80+D21)</f>
        <v>0</v>
      </c>
      <c r="E906" s="3" t="str">
        <f t="shared" si="144"/>
        <v>0</v>
      </c>
      <c r="F906" s="3" t="str">
        <f t="shared" si="144"/>
        <v>0</v>
      </c>
      <c r="G906" s="3" t="str">
        <f t="shared" si="144"/>
        <v>0</v>
      </c>
      <c r="H906" s="3" t="str">
        <f t="shared" si="144"/>
        <v>0</v>
      </c>
      <c r="I906" s="3" t="str">
        <f t="shared" si="144"/>
        <v>0</v>
      </c>
      <c r="J906" s="3" t="str">
        <f t="shared" si="123"/>
        <v>0</v>
      </c>
      <c r="K906" s="27" t="str">
        <f t="shared" si="124"/>
        <v> No Issue</v>
      </c>
      <c r="L906" s="3" t="str">
        <f t="shared" si="125"/>
        <v>No Issue</v>
      </c>
      <c r="M906" s="3" t="str">
        <f t="shared" si="126"/>
        <v>No Issue</v>
      </c>
      <c r="N906" s="3" t="str">
        <f t="shared" si="127"/>
        <v>No Issue</v>
      </c>
      <c r="O906" s="3" t="str">
        <f t="shared" si="128"/>
        <v>No Issue</v>
      </c>
      <c r="P906" s="3" t="str">
        <f t="shared" si="129"/>
        <v>NoIssue</v>
      </c>
    </row>
    <row r="907" ht="15.75" customHeight="1">
      <c r="A907" s="28">
        <v>18.0</v>
      </c>
      <c r="B907" s="29" t="s">
        <v>39</v>
      </c>
      <c r="C907" s="30">
        <v>80.36</v>
      </c>
      <c r="D907" s="3" t="str">
        <f t="shared" ref="D907:I907" si="145">(D848+D789+D730+D671+D612+D553+D494+D435+D376+D317+D258+D199+D140+D81+D22)</f>
        <v>0</v>
      </c>
      <c r="E907" s="3" t="str">
        <f t="shared" si="145"/>
        <v>0</v>
      </c>
      <c r="F907" s="3" t="str">
        <f t="shared" si="145"/>
        <v>0</v>
      </c>
      <c r="G907" s="3" t="str">
        <f t="shared" si="145"/>
        <v>0</v>
      </c>
      <c r="H907" s="3" t="str">
        <f t="shared" si="145"/>
        <v>0</v>
      </c>
      <c r="I907" s="3" t="str">
        <f t="shared" si="145"/>
        <v>0</v>
      </c>
      <c r="J907" s="3" t="str">
        <f t="shared" si="123"/>
        <v>0</v>
      </c>
      <c r="K907" s="27" t="str">
        <f t="shared" si="124"/>
        <v> No Issue</v>
      </c>
      <c r="L907" s="3" t="str">
        <f t="shared" si="125"/>
        <v>No Issue</v>
      </c>
      <c r="M907" s="3" t="str">
        <f t="shared" si="126"/>
        <v>No Issue</v>
      </c>
      <c r="N907" s="3" t="str">
        <f t="shared" si="127"/>
        <v>No Issue</v>
      </c>
      <c r="O907" s="3" t="str">
        <f t="shared" si="128"/>
        <v>No Issue</v>
      </c>
      <c r="P907" s="3" t="str">
        <f t="shared" si="129"/>
        <v>NoIssue</v>
      </c>
    </row>
    <row r="908" ht="15.75" customHeight="1">
      <c r="A908" s="28">
        <v>19.0</v>
      </c>
      <c r="B908" s="29" t="s">
        <v>40</v>
      </c>
      <c r="C908" s="30">
        <v>160.56</v>
      </c>
      <c r="D908" s="3" t="str">
        <f t="shared" ref="D908:I908" si="146">(D849+D790+D731+D672+D613+D554+D495+D436+D377+D318+D259+D200+D141+D82+D23)</f>
        <v>0</v>
      </c>
      <c r="E908" s="3" t="str">
        <f t="shared" si="146"/>
        <v>0</v>
      </c>
      <c r="F908" s="3" t="str">
        <f t="shared" si="146"/>
        <v>0</v>
      </c>
      <c r="G908" s="3" t="str">
        <f t="shared" si="146"/>
        <v>0</v>
      </c>
      <c r="H908" s="3" t="str">
        <f t="shared" si="146"/>
        <v>0</v>
      </c>
      <c r="I908" s="3" t="str">
        <f t="shared" si="146"/>
        <v>0</v>
      </c>
      <c r="J908" s="3" t="str">
        <f t="shared" si="123"/>
        <v>0</v>
      </c>
      <c r="K908" s="27" t="str">
        <f t="shared" si="124"/>
        <v> No Issue</v>
      </c>
      <c r="L908" s="3" t="str">
        <f t="shared" si="125"/>
        <v>No Issue</v>
      </c>
      <c r="M908" s="3" t="str">
        <f t="shared" si="126"/>
        <v>No Issue</v>
      </c>
      <c r="N908" s="3" t="str">
        <f t="shared" si="127"/>
        <v>No Issue</v>
      </c>
      <c r="O908" s="3" t="str">
        <f t="shared" si="128"/>
        <v>No Issue</v>
      </c>
      <c r="P908" s="3" t="str">
        <f t="shared" si="129"/>
        <v>NoIssue</v>
      </c>
    </row>
    <row r="909" ht="15.75" customHeight="1">
      <c r="A909" s="28">
        <v>20.0</v>
      </c>
      <c r="B909" s="29" t="s">
        <v>41</v>
      </c>
      <c r="C909" s="30">
        <v>186.44</v>
      </c>
      <c r="D909" s="3" t="str">
        <f t="shared" ref="D909:I909" si="147">(D850+D791+D732+D673+D614+D555+D496+D437+D378+D319+D260+D201+D142+D83+D24)</f>
        <v>0</v>
      </c>
      <c r="E909" s="3" t="str">
        <f t="shared" si="147"/>
        <v>0</v>
      </c>
      <c r="F909" s="3" t="str">
        <f t="shared" si="147"/>
        <v>0</v>
      </c>
      <c r="G909" s="3" t="str">
        <f t="shared" si="147"/>
        <v>0</v>
      </c>
      <c r="H909" s="3" t="str">
        <f t="shared" si="147"/>
        <v>0</v>
      </c>
      <c r="I909" s="3" t="str">
        <f t="shared" si="147"/>
        <v>0</v>
      </c>
      <c r="J909" s="3" t="str">
        <f t="shared" si="123"/>
        <v>0</v>
      </c>
      <c r="K909" s="27" t="str">
        <f t="shared" si="124"/>
        <v> No Issue</v>
      </c>
      <c r="L909" s="3" t="str">
        <f t="shared" si="125"/>
        <v>No Issue</v>
      </c>
      <c r="M909" s="3" t="str">
        <f t="shared" si="126"/>
        <v>No Issue</v>
      </c>
      <c r="N909" s="3" t="str">
        <f t="shared" si="127"/>
        <v>No Issue</v>
      </c>
      <c r="O909" s="3" t="str">
        <f t="shared" si="128"/>
        <v>No Issue</v>
      </c>
      <c r="P909" s="3" t="str">
        <f t="shared" si="129"/>
        <v>NoIssue</v>
      </c>
    </row>
    <row r="910" ht="15.75" customHeight="1">
      <c r="A910" s="28">
        <v>21.0</v>
      </c>
      <c r="B910" s="29" t="s">
        <v>42</v>
      </c>
      <c r="C910" s="30">
        <v>92.59</v>
      </c>
      <c r="D910" s="3" t="str">
        <f t="shared" ref="D910:I910" si="148">(D851+D792+D733+D674+D615+D556+D497+D438+D379+D320+D261+D202+D143+D84+D25)</f>
        <v>0</v>
      </c>
      <c r="E910" s="3" t="str">
        <f t="shared" si="148"/>
        <v>0</v>
      </c>
      <c r="F910" s="3" t="str">
        <f t="shared" si="148"/>
        <v>0</v>
      </c>
      <c r="G910" s="3" t="str">
        <f t="shared" si="148"/>
        <v>0</v>
      </c>
      <c r="H910" s="3" t="str">
        <f t="shared" si="148"/>
        <v>0</v>
      </c>
      <c r="I910" s="3" t="str">
        <f t="shared" si="148"/>
        <v>0</v>
      </c>
      <c r="J910" s="3" t="str">
        <f t="shared" si="123"/>
        <v>0</v>
      </c>
      <c r="K910" s="27" t="str">
        <f t="shared" si="124"/>
        <v> No Issue</v>
      </c>
      <c r="L910" s="3" t="str">
        <f t="shared" si="125"/>
        <v>No Issue</v>
      </c>
      <c r="M910" s="3" t="str">
        <f t="shared" si="126"/>
        <v>No Issue</v>
      </c>
      <c r="N910" s="3" t="str">
        <f t="shared" si="127"/>
        <v>No Issue</v>
      </c>
      <c r="O910" s="3" t="str">
        <f t="shared" si="128"/>
        <v>No Issue</v>
      </c>
      <c r="P910" s="3" t="str">
        <f t="shared" si="129"/>
        <v>NoIssue</v>
      </c>
    </row>
    <row r="911" ht="15.75" customHeight="1">
      <c r="A911" s="28">
        <v>22.0</v>
      </c>
      <c r="B911" s="29" t="s">
        <v>43</v>
      </c>
      <c r="C911" s="30">
        <v>95.17</v>
      </c>
      <c r="D911" s="3" t="str">
        <f t="shared" ref="D911:I911" si="149">(D852+D793+D734+D675+D616+D557+D498+D439+D380+D321+D262+D203+D144+D85+D26)</f>
        <v>0</v>
      </c>
      <c r="E911" s="3" t="str">
        <f t="shared" si="149"/>
        <v>0</v>
      </c>
      <c r="F911" s="3" t="str">
        <f t="shared" si="149"/>
        <v>0</v>
      </c>
      <c r="G911" s="3" t="str">
        <f t="shared" si="149"/>
        <v>0</v>
      </c>
      <c r="H911" s="3" t="str">
        <f t="shared" si="149"/>
        <v>0</v>
      </c>
      <c r="I911" s="3" t="str">
        <f t="shared" si="149"/>
        <v>0</v>
      </c>
      <c r="J911" s="3" t="str">
        <f t="shared" si="123"/>
        <v>0</v>
      </c>
      <c r="K911" s="27" t="str">
        <f t="shared" si="124"/>
        <v> No Issue</v>
      </c>
      <c r="L911" s="3" t="str">
        <f t="shared" si="125"/>
        <v>No Issue</v>
      </c>
      <c r="M911" s="3" t="str">
        <f t="shared" si="126"/>
        <v>No Issue</v>
      </c>
      <c r="N911" s="3" t="str">
        <f t="shared" si="127"/>
        <v>No Issue</v>
      </c>
      <c r="O911" s="3" t="str">
        <f t="shared" si="128"/>
        <v>No Issue</v>
      </c>
      <c r="P911" s="3" t="str">
        <f t="shared" si="129"/>
        <v>NoIssue</v>
      </c>
    </row>
    <row r="912" ht="15.75" customHeight="1">
      <c r="A912" s="28">
        <v>23.0</v>
      </c>
      <c r="B912" s="29" t="s">
        <v>44</v>
      </c>
      <c r="C912" s="30">
        <v>92.94</v>
      </c>
      <c r="D912" s="3" t="str">
        <f t="shared" ref="D912:I912" si="150">(D853+D794+D735+D676+D617+D558+D499+D440+D381+D322+D263+D204+D145+D86+D27)</f>
        <v>0</v>
      </c>
      <c r="E912" s="3" t="str">
        <f t="shared" si="150"/>
        <v>0</v>
      </c>
      <c r="F912" s="3" t="str">
        <f t="shared" si="150"/>
        <v>0</v>
      </c>
      <c r="G912" s="3" t="str">
        <f t="shared" si="150"/>
        <v>0</v>
      </c>
      <c r="H912" s="3" t="str">
        <f t="shared" si="150"/>
        <v>0</v>
      </c>
      <c r="I912" s="3" t="str">
        <f t="shared" si="150"/>
        <v>0</v>
      </c>
      <c r="J912" s="3" t="str">
        <f t="shared" si="123"/>
        <v>0</v>
      </c>
      <c r="K912" s="27" t="str">
        <f t="shared" si="124"/>
        <v> No Issue</v>
      </c>
      <c r="L912" s="3" t="str">
        <f t="shared" si="125"/>
        <v>No Issue</v>
      </c>
      <c r="M912" s="3" t="str">
        <f t="shared" si="126"/>
        <v>No Issue</v>
      </c>
      <c r="N912" s="3" t="str">
        <f t="shared" si="127"/>
        <v>No Issue</v>
      </c>
      <c r="O912" s="3" t="str">
        <f t="shared" si="128"/>
        <v>No Issue</v>
      </c>
      <c r="P912" s="3" t="str">
        <f t="shared" si="129"/>
        <v>NoIssue</v>
      </c>
    </row>
    <row r="913" ht="15.75" customHeight="1">
      <c r="A913" s="28">
        <v>24.0</v>
      </c>
      <c r="B913" s="29" t="s">
        <v>45</v>
      </c>
      <c r="C913" s="30">
        <v>101.82</v>
      </c>
      <c r="D913" s="3" t="str">
        <f t="shared" ref="D913:I913" si="151">(D854+D795+D736+D677+D618+D559+D500+D441+D382+D323+D264+D205+D146+D87+D28)</f>
        <v>0</v>
      </c>
      <c r="E913" s="3" t="str">
        <f t="shared" si="151"/>
        <v>0</v>
      </c>
      <c r="F913" s="3" t="str">
        <f t="shared" si="151"/>
        <v>0</v>
      </c>
      <c r="G913" s="3" t="str">
        <f t="shared" si="151"/>
        <v>0</v>
      </c>
      <c r="H913" s="3" t="str">
        <f t="shared" si="151"/>
        <v>0</v>
      </c>
      <c r="I913" s="3" t="str">
        <f t="shared" si="151"/>
        <v>0</v>
      </c>
      <c r="J913" s="3" t="str">
        <f t="shared" si="123"/>
        <v>0</v>
      </c>
      <c r="K913" s="27" t="str">
        <f t="shared" si="124"/>
        <v> No Issue</v>
      </c>
      <c r="L913" s="3" t="str">
        <f t="shared" si="125"/>
        <v>No Issue</v>
      </c>
      <c r="M913" s="3" t="str">
        <f t="shared" si="126"/>
        <v>No Issue</v>
      </c>
      <c r="N913" s="3" t="str">
        <f t="shared" si="127"/>
        <v>No Issue</v>
      </c>
      <c r="O913" s="3" t="str">
        <f t="shared" si="128"/>
        <v>No Issue</v>
      </c>
      <c r="P913" s="3" t="str">
        <f t="shared" si="129"/>
        <v>NoIssue</v>
      </c>
    </row>
    <row r="914" ht="15.75" customHeight="1">
      <c r="A914" s="28">
        <v>25.0</v>
      </c>
      <c r="B914" s="29" t="s">
        <v>46</v>
      </c>
      <c r="C914" s="30">
        <v>53.49</v>
      </c>
      <c r="D914" s="3" t="str">
        <f t="shared" ref="D914:I914" si="152">(D855+D796+D737+D678+D619+D560+D501+D442+D383+D324+D265+D206+D147+D88+D29)</f>
        <v>0</v>
      </c>
      <c r="E914" s="3" t="str">
        <f t="shared" si="152"/>
        <v>0</v>
      </c>
      <c r="F914" s="3" t="str">
        <f t="shared" si="152"/>
        <v>0</v>
      </c>
      <c r="G914" s="3" t="str">
        <f t="shared" si="152"/>
        <v>0</v>
      </c>
      <c r="H914" s="3" t="str">
        <f t="shared" si="152"/>
        <v>0</v>
      </c>
      <c r="I914" s="3" t="str">
        <f t="shared" si="152"/>
        <v>0</v>
      </c>
      <c r="J914" s="3" t="str">
        <f t="shared" si="123"/>
        <v>0</v>
      </c>
      <c r="K914" s="27" t="str">
        <f t="shared" si="124"/>
        <v> No Issue</v>
      </c>
      <c r="L914" s="3" t="str">
        <f t="shared" si="125"/>
        <v>No Issue</v>
      </c>
      <c r="M914" s="3" t="str">
        <f t="shared" si="126"/>
        <v>No Issue</v>
      </c>
      <c r="N914" s="3" t="str">
        <f t="shared" si="127"/>
        <v>No Issue</v>
      </c>
      <c r="O914" s="3" t="str">
        <f t="shared" si="128"/>
        <v>No Issue</v>
      </c>
      <c r="P914" s="3" t="str">
        <f t="shared" si="129"/>
        <v>NoIssue</v>
      </c>
    </row>
    <row r="915" ht="15.75" customHeight="1">
      <c r="A915" s="28">
        <v>26.0</v>
      </c>
      <c r="B915" s="29" t="s">
        <v>47</v>
      </c>
      <c r="C915" s="30">
        <v>32.92</v>
      </c>
      <c r="D915" s="3" t="str">
        <f t="shared" ref="D915:I915" si="153">(D856+D797+D738+D679+D620+D561+D502+D443+D384+D325+D266+D207+D148+D89+D30)</f>
        <v>0</v>
      </c>
      <c r="E915" s="3" t="str">
        <f t="shared" si="153"/>
        <v>0</v>
      </c>
      <c r="F915" s="3" t="str">
        <f t="shared" si="153"/>
        <v>0</v>
      </c>
      <c r="G915" s="3" t="str">
        <f t="shared" si="153"/>
        <v>0</v>
      </c>
      <c r="H915" s="3" t="str">
        <f t="shared" si="153"/>
        <v>0</v>
      </c>
      <c r="I915" s="3" t="str">
        <f t="shared" si="153"/>
        <v>0</v>
      </c>
      <c r="J915" s="3" t="str">
        <f t="shared" si="123"/>
        <v>0</v>
      </c>
      <c r="K915" s="27" t="str">
        <f t="shared" si="124"/>
        <v> No Issue</v>
      </c>
      <c r="L915" s="3" t="str">
        <f t="shared" si="125"/>
        <v>No Issue</v>
      </c>
      <c r="M915" s="3" t="str">
        <f t="shared" si="126"/>
        <v>No Issue</v>
      </c>
      <c r="N915" s="3" t="str">
        <f t="shared" si="127"/>
        <v>No Issue</v>
      </c>
      <c r="O915" s="3" t="str">
        <f t="shared" si="128"/>
        <v>No Issue</v>
      </c>
      <c r="P915" s="3" t="str">
        <f t="shared" si="129"/>
        <v>NoIssue</v>
      </c>
    </row>
    <row r="916" ht="15.75" customHeight="1">
      <c r="A916" s="28">
        <v>27.0</v>
      </c>
      <c r="B916" s="29" t="s">
        <v>48</v>
      </c>
      <c r="C916" s="30">
        <v>116.68</v>
      </c>
      <c r="D916" s="3" t="str">
        <f t="shared" ref="D916:I916" si="154">(D857+D798+D739+D680+D621+D562+D503+D444+D385+D326+D267+D208+D149+D90+D31)</f>
        <v>0</v>
      </c>
      <c r="E916" s="3" t="str">
        <f t="shared" si="154"/>
        <v>0</v>
      </c>
      <c r="F916" s="3" t="str">
        <f t="shared" si="154"/>
        <v>0</v>
      </c>
      <c r="G916" s="3" t="str">
        <f t="shared" si="154"/>
        <v>0</v>
      </c>
      <c r="H916" s="3" t="str">
        <f t="shared" si="154"/>
        <v>0</v>
      </c>
      <c r="I916" s="3" t="str">
        <f t="shared" si="154"/>
        <v>0</v>
      </c>
      <c r="J916" s="3" t="str">
        <f t="shared" si="123"/>
        <v>0</v>
      </c>
      <c r="K916" s="27" t="str">
        <f t="shared" si="124"/>
        <v> No Issue</v>
      </c>
      <c r="L916" s="3" t="str">
        <f t="shared" si="125"/>
        <v>No Issue</v>
      </c>
      <c r="M916" s="3" t="str">
        <f t="shared" si="126"/>
        <v>No Issue</v>
      </c>
      <c r="N916" s="3" t="str">
        <f t="shared" si="127"/>
        <v>No Issue</v>
      </c>
      <c r="O916" s="3" t="str">
        <f t="shared" si="128"/>
        <v>No Issue</v>
      </c>
      <c r="P916" s="3" t="str">
        <f t="shared" si="129"/>
        <v>NoIssue</v>
      </c>
    </row>
    <row r="917" ht="15.75" customHeight="1">
      <c r="A917" s="28">
        <v>28.0</v>
      </c>
      <c r="B917" s="29" t="s">
        <v>49</v>
      </c>
      <c r="C917" s="30">
        <v>107.96</v>
      </c>
      <c r="D917" s="3" t="str">
        <f t="shared" ref="D917:I917" si="155">(D858+D799+D740+D681+D622+D563+D504+D445+D386+D327+D268+D209+D150+D91+D32)</f>
        <v>0</v>
      </c>
      <c r="E917" s="3" t="str">
        <f t="shared" si="155"/>
        <v>0</v>
      </c>
      <c r="F917" s="3" t="str">
        <f t="shared" si="155"/>
        <v>0</v>
      </c>
      <c r="G917" s="3" t="str">
        <f t="shared" si="155"/>
        <v>0</v>
      </c>
      <c r="H917" s="3" t="str">
        <f t="shared" si="155"/>
        <v>0</v>
      </c>
      <c r="I917" s="3" t="str">
        <f t="shared" si="155"/>
        <v>0</v>
      </c>
      <c r="J917" s="3" t="str">
        <f t="shared" si="123"/>
        <v>0</v>
      </c>
      <c r="K917" s="27" t="str">
        <f t="shared" si="124"/>
        <v> No Issue</v>
      </c>
      <c r="L917" s="3" t="str">
        <f t="shared" si="125"/>
        <v>No Issue</v>
      </c>
      <c r="M917" s="3" t="str">
        <f t="shared" si="126"/>
        <v>No Issue</v>
      </c>
      <c r="N917" s="3" t="str">
        <f t="shared" si="127"/>
        <v>No Issue</v>
      </c>
      <c r="O917" s="3" t="str">
        <f t="shared" si="128"/>
        <v>No Issue</v>
      </c>
      <c r="P917" s="3" t="str">
        <f t="shared" si="129"/>
        <v>NoIssue</v>
      </c>
    </row>
    <row r="918" ht="15.75" customHeight="1">
      <c r="A918" s="28">
        <v>29.0</v>
      </c>
      <c r="B918" s="29" t="s">
        <v>50</v>
      </c>
      <c r="C918" s="30">
        <v>248.89</v>
      </c>
      <c r="D918" s="3" t="str">
        <f t="shared" ref="D918:I918" si="156">(D859+D800+D741+D682+D623+D564+D505+D446+D387+D328+D269+D210+D151+D92+D33)</f>
        <v>0</v>
      </c>
      <c r="E918" s="3" t="str">
        <f t="shared" si="156"/>
        <v>0</v>
      </c>
      <c r="F918" s="3" t="str">
        <f t="shared" si="156"/>
        <v>0</v>
      </c>
      <c r="G918" s="3" t="str">
        <f t="shared" si="156"/>
        <v>0</v>
      </c>
      <c r="H918" s="3" t="str">
        <f t="shared" si="156"/>
        <v>0</v>
      </c>
      <c r="I918" s="3" t="str">
        <f t="shared" si="156"/>
        <v>0</v>
      </c>
      <c r="J918" s="3" t="str">
        <f t="shared" si="123"/>
        <v>0</v>
      </c>
      <c r="K918" s="27" t="str">
        <f t="shared" si="124"/>
        <v> No Issue</v>
      </c>
      <c r="L918" s="3" t="str">
        <f t="shared" si="125"/>
        <v>No Issue</v>
      </c>
      <c r="M918" s="3" t="str">
        <f t="shared" si="126"/>
        <v>No Issue</v>
      </c>
      <c r="N918" s="3" t="str">
        <f t="shared" si="127"/>
        <v>No Issue</v>
      </c>
      <c r="O918" s="3" t="str">
        <f t="shared" si="128"/>
        <v>No Issue</v>
      </c>
      <c r="P918" s="3" t="str">
        <f t="shared" si="129"/>
        <v>NoIssue</v>
      </c>
    </row>
    <row r="919" ht="15.75" customHeight="1">
      <c r="A919" s="28">
        <v>30.0</v>
      </c>
      <c r="B919" s="29" t="s">
        <v>51</v>
      </c>
      <c r="C919" s="30">
        <v>80.36</v>
      </c>
      <c r="D919" s="3" t="str">
        <f t="shared" ref="D919:I919" si="157">(D860+D801+D742+D683+D624+D565+D506+D447+D388+D329+D270+D211+D152+D93+D34)</f>
        <v>0</v>
      </c>
      <c r="E919" s="3" t="str">
        <f t="shared" si="157"/>
        <v>0</v>
      </c>
      <c r="F919" s="3" t="str">
        <f t="shared" si="157"/>
        <v>0</v>
      </c>
      <c r="G919" s="3" t="str">
        <f t="shared" si="157"/>
        <v>0</v>
      </c>
      <c r="H919" s="3" t="str">
        <f t="shared" si="157"/>
        <v>0</v>
      </c>
      <c r="I919" s="3" t="str">
        <f t="shared" si="157"/>
        <v>0</v>
      </c>
      <c r="J919" s="3" t="str">
        <f t="shared" si="123"/>
        <v>0</v>
      </c>
      <c r="K919" s="27" t="str">
        <f t="shared" si="124"/>
        <v> No Issue</v>
      </c>
      <c r="L919" s="3" t="str">
        <f t="shared" si="125"/>
        <v>No Issue</v>
      </c>
      <c r="M919" s="3" t="str">
        <f t="shared" si="126"/>
        <v>No Issue</v>
      </c>
      <c r="N919" s="3" t="str">
        <f t="shared" si="127"/>
        <v>No Issue</v>
      </c>
      <c r="O919" s="3" t="str">
        <f t="shared" si="128"/>
        <v>No Issue</v>
      </c>
      <c r="P919" s="3" t="str">
        <f t="shared" si="129"/>
        <v>NoIssue</v>
      </c>
    </row>
    <row r="920" ht="15.75" customHeight="1">
      <c r="A920" s="28">
        <v>31.0</v>
      </c>
      <c r="B920" s="29" t="s">
        <v>52</v>
      </c>
      <c r="C920" s="30">
        <v>52.46</v>
      </c>
      <c r="D920" s="3" t="str">
        <f t="shared" ref="D920:I920" si="158">(D861+D802+D743+D684+D625+D566+D507+D448+D389+D330+D271+D212+D153+D94+D35)</f>
        <v>0</v>
      </c>
      <c r="E920" s="3" t="str">
        <f t="shared" si="158"/>
        <v>0</v>
      </c>
      <c r="F920" s="3" t="str">
        <f t="shared" si="158"/>
        <v>0</v>
      </c>
      <c r="G920" s="3" t="str">
        <f t="shared" si="158"/>
        <v>0</v>
      </c>
      <c r="H920" s="3" t="str">
        <f t="shared" si="158"/>
        <v>0</v>
      </c>
      <c r="I920" s="3" t="str">
        <f t="shared" si="158"/>
        <v>0</v>
      </c>
      <c r="J920" s="3" t="str">
        <f t="shared" si="123"/>
        <v>0</v>
      </c>
      <c r="K920" s="27" t="str">
        <f t="shared" si="124"/>
        <v> No Issue</v>
      </c>
      <c r="L920" s="3" t="str">
        <f t="shared" si="125"/>
        <v>No Issue</v>
      </c>
      <c r="M920" s="3" t="str">
        <f t="shared" si="126"/>
        <v>No Issue</v>
      </c>
      <c r="N920" s="3" t="str">
        <f t="shared" si="127"/>
        <v>No Issue</v>
      </c>
      <c r="O920" s="3" t="str">
        <f t="shared" si="128"/>
        <v>No Issue</v>
      </c>
      <c r="P920" s="3" t="str">
        <f t="shared" si="129"/>
        <v>NoIssue</v>
      </c>
    </row>
    <row r="921" ht="15.75" customHeight="1">
      <c r="A921" s="28">
        <v>32.0</v>
      </c>
      <c r="B921" s="29" t="s">
        <v>53</v>
      </c>
      <c r="C921" s="30">
        <v>71.21</v>
      </c>
      <c r="D921" s="3" t="str">
        <f t="shared" ref="D921:I921" si="159">(D862+D803+D744+D685+D626+D567+D508+D449+D390+D331+D272+D213+D154+D95+D36)</f>
        <v>0</v>
      </c>
      <c r="E921" s="3" t="str">
        <f t="shared" si="159"/>
        <v>0</v>
      </c>
      <c r="F921" s="3" t="str">
        <f t="shared" si="159"/>
        <v>0</v>
      </c>
      <c r="G921" s="3" t="str">
        <f t="shared" si="159"/>
        <v>0</v>
      </c>
      <c r="H921" s="3" t="str">
        <f t="shared" si="159"/>
        <v>0</v>
      </c>
      <c r="I921" s="3" t="str">
        <f t="shared" si="159"/>
        <v>0</v>
      </c>
      <c r="J921" s="3" t="str">
        <f t="shared" si="123"/>
        <v>0</v>
      </c>
      <c r="K921" s="27" t="str">
        <f t="shared" si="124"/>
        <v> No Issue</v>
      </c>
      <c r="L921" s="3" t="str">
        <f t="shared" si="125"/>
        <v>No Issue</v>
      </c>
      <c r="M921" s="3" t="str">
        <f t="shared" si="126"/>
        <v>No Issue</v>
      </c>
      <c r="N921" s="3" t="str">
        <f t="shared" si="127"/>
        <v>No Issue</v>
      </c>
      <c r="O921" s="3" t="str">
        <f t="shared" si="128"/>
        <v>No Issue</v>
      </c>
      <c r="P921" s="3" t="str">
        <f t="shared" si="129"/>
        <v>NoIssue</v>
      </c>
    </row>
    <row r="922" ht="15.75" customHeight="1">
      <c r="A922" s="28">
        <v>33.0</v>
      </c>
      <c r="B922" s="29" t="s">
        <v>54</v>
      </c>
      <c r="C922" s="30">
        <v>80.35</v>
      </c>
      <c r="D922" s="3" t="str">
        <f t="shared" ref="D922:I922" si="160">(D863+D804+D745+D686+D627+D568+D509+D450+D391+D332+D273+D214+D155+D96+D37)</f>
        <v>0</v>
      </c>
      <c r="E922" s="3" t="str">
        <f t="shared" si="160"/>
        <v>0</v>
      </c>
      <c r="F922" s="3" t="str">
        <f t="shared" si="160"/>
        <v>0</v>
      </c>
      <c r="G922" s="3" t="str">
        <f t="shared" si="160"/>
        <v>0</v>
      </c>
      <c r="H922" s="3" t="str">
        <f t="shared" si="160"/>
        <v>0</v>
      </c>
      <c r="I922" s="3" t="str">
        <f t="shared" si="160"/>
        <v>0</v>
      </c>
      <c r="J922" s="3" t="str">
        <f t="shared" si="123"/>
        <v>0</v>
      </c>
      <c r="K922" s="27" t="str">
        <f t="shared" si="124"/>
        <v> No Issue</v>
      </c>
      <c r="L922" s="3" t="str">
        <f t="shared" si="125"/>
        <v>No Issue</v>
      </c>
      <c r="M922" s="3" t="str">
        <f t="shared" si="126"/>
        <v>No Issue</v>
      </c>
      <c r="N922" s="3" t="str">
        <f t="shared" si="127"/>
        <v>No Issue</v>
      </c>
      <c r="O922" s="3" t="str">
        <f t="shared" si="128"/>
        <v>No Issue</v>
      </c>
      <c r="P922" s="3" t="str">
        <f t="shared" si="129"/>
        <v>NoIssue</v>
      </c>
    </row>
    <row r="923" ht="15.75" customHeight="1">
      <c r="A923" s="28">
        <v>34.0</v>
      </c>
      <c r="B923" s="29" t="s">
        <v>55</v>
      </c>
      <c r="C923" s="30">
        <v>64.18</v>
      </c>
      <c r="D923" s="3" t="str">
        <f t="shared" ref="D923:I923" si="161">(D864+D805+D746+D687+D628+D569+D510+D451+D392+D333+D274+D215+D156+D97+D38)</f>
        <v>0</v>
      </c>
      <c r="E923" s="3" t="str">
        <f t="shared" si="161"/>
        <v>0</v>
      </c>
      <c r="F923" s="3" t="str">
        <f t="shared" si="161"/>
        <v>0</v>
      </c>
      <c r="G923" s="3" t="str">
        <f t="shared" si="161"/>
        <v>0</v>
      </c>
      <c r="H923" s="3" t="str">
        <f t="shared" si="161"/>
        <v>0</v>
      </c>
      <c r="I923" s="3" t="str">
        <f t="shared" si="161"/>
        <v>0</v>
      </c>
      <c r="J923" s="3" t="str">
        <f t="shared" si="123"/>
        <v>0</v>
      </c>
      <c r="K923" s="27" t="str">
        <f t="shared" si="124"/>
        <v> No Issue</v>
      </c>
      <c r="L923" s="3" t="str">
        <f t="shared" si="125"/>
        <v>No Issue</v>
      </c>
      <c r="M923" s="3" t="str">
        <f t="shared" si="126"/>
        <v>No Issue</v>
      </c>
      <c r="N923" s="3" t="str">
        <f t="shared" si="127"/>
        <v>No Issue</v>
      </c>
      <c r="O923" s="3" t="str">
        <f t="shared" si="128"/>
        <v>No Issue</v>
      </c>
      <c r="P923" s="3" t="str">
        <f t="shared" si="129"/>
        <v>NoIssue</v>
      </c>
    </row>
    <row r="924" ht="15.75" customHeight="1">
      <c r="A924" s="28">
        <v>35.0</v>
      </c>
      <c r="B924" s="29" t="s">
        <v>56</v>
      </c>
      <c r="C924" s="30">
        <v>36.9</v>
      </c>
      <c r="D924" s="3" t="str">
        <f t="shared" ref="D924:I924" si="162">(D865+D806+D747+D688+D629+D570+D511+D452+D393+D334+D275+D216+D157+D98+D39)</f>
        <v>0</v>
      </c>
      <c r="E924" s="3" t="str">
        <f t="shared" si="162"/>
        <v>0</v>
      </c>
      <c r="F924" s="3" t="str">
        <f t="shared" si="162"/>
        <v>0</v>
      </c>
      <c r="G924" s="3" t="str">
        <f t="shared" si="162"/>
        <v>0</v>
      </c>
      <c r="H924" s="3" t="str">
        <f t="shared" si="162"/>
        <v>0</v>
      </c>
      <c r="I924" s="3" t="str">
        <f t="shared" si="162"/>
        <v>0</v>
      </c>
      <c r="J924" s="3" t="str">
        <f t="shared" si="123"/>
        <v>0</v>
      </c>
      <c r="K924" s="27" t="str">
        <f t="shared" si="124"/>
        <v> No Issue</v>
      </c>
      <c r="L924" s="3" t="str">
        <f t="shared" si="125"/>
        <v>No Issue</v>
      </c>
      <c r="M924" s="3" t="str">
        <f t="shared" si="126"/>
        <v>No Issue</v>
      </c>
      <c r="N924" s="3" t="str">
        <f t="shared" si="127"/>
        <v>No Issue</v>
      </c>
      <c r="O924" s="3" t="str">
        <f t="shared" si="128"/>
        <v>No Issue</v>
      </c>
      <c r="P924" s="3" t="str">
        <f t="shared" si="129"/>
        <v>NoIssue</v>
      </c>
    </row>
    <row r="925" ht="15.75" customHeight="1">
      <c r="A925" s="28">
        <v>36.0</v>
      </c>
      <c r="B925" s="29" t="s">
        <v>57</v>
      </c>
      <c r="C925" s="30">
        <v>101.54</v>
      </c>
      <c r="D925" s="3" t="str">
        <f t="shared" ref="D925:I925" si="163">(D866+D807+D748+D689+D630+D571+D512+D453+D394+D335+D276+D217+D158+D99+D40)</f>
        <v>0</v>
      </c>
      <c r="E925" s="3" t="str">
        <f t="shared" si="163"/>
        <v>0</v>
      </c>
      <c r="F925" s="3" t="str">
        <f t="shared" si="163"/>
        <v>0</v>
      </c>
      <c r="G925" s="3" t="str">
        <f t="shared" si="163"/>
        <v>0</v>
      </c>
      <c r="H925" s="3" t="str">
        <f t="shared" si="163"/>
        <v>0</v>
      </c>
      <c r="I925" s="3" t="str">
        <f t="shared" si="163"/>
        <v>0</v>
      </c>
      <c r="J925" s="3" t="str">
        <f t="shared" si="123"/>
        <v>0</v>
      </c>
      <c r="K925" s="27" t="str">
        <f t="shared" si="124"/>
        <v> No Issue</v>
      </c>
      <c r="L925" s="3" t="str">
        <f t="shared" si="125"/>
        <v>No Issue</v>
      </c>
      <c r="M925" s="3" t="str">
        <f t="shared" si="126"/>
        <v>No Issue</v>
      </c>
      <c r="N925" s="3" t="str">
        <f t="shared" si="127"/>
        <v>No Issue</v>
      </c>
      <c r="O925" s="3" t="str">
        <f t="shared" si="128"/>
        <v>No Issue</v>
      </c>
      <c r="P925" s="3" t="str">
        <f t="shared" si="129"/>
        <v>NoIssue</v>
      </c>
    </row>
    <row r="926" ht="15.75" customHeight="1">
      <c r="A926" s="28">
        <v>37.0</v>
      </c>
      <c r="B926" s="29" t="s">
        <v>58</v>
      </c>
      <c r="C926" s="30">
        <v>40.5</v>
      </c>
      <c r="D926" s="3" t="str">
        <f t="shared" ref="D926:I926" si="164">(D867+D808+D749+D690+D631+D572+D513+D454+D395+D336+D277+D218+D159+D100+D41)</f>
        <v>0</v>
      </c>
      <c r="E926" s="3" t="str">
        <f t="shared" si="164"/>
        <v>0</v>
      </c>
      <c r="F926" s="3" t="str">
        <f t="shared" si="164"/>
        <v>0</v>
      </c>
      <c r="G926" s="3" t="str">
        <f t="shared" si="164"/>
        <v>0</v>
      </c>
      <c r="H926" s="3" t="str">
        <f t="shared" si="164"/>
        <v>0</v>
      </c>
      <c r="I926" s="3" t="str">
        <f t="shared" si="164"/>
        <v>0</v>
      </c>
      <c r="J926" s="3" t="str">
        <f t="shared" si="123"/>
        <v>0</v>
      </c>
      <c r="K926" s="27" t="str">
        <f t="shared" si="124"/>
        <v> No Issue</v>
      </c>
      <c r="L926" s="3" t="str">
        <f t="shared" si="125"/>
        <v>No Issue</v>
      </c>
      <c r="M926" s="3" t="str">
        <f t="shared" si="126"/>
        <v>No Issue</v>
      </c>
      <c r="N926" s="3" t="str">
        <f t="shared" si="127"/>
        <v>No Issue</v>
      </c>
      <c r="O926" s="3" t="str">
        <f t="shared" si="128"/>
        <v>No Issue</v>
      </c>
      <c r="P926" s="3" t="str">
        <f t="shared" si="129"/>
        <v>NoIssue</v>
      </c>
    </row>
    <row r="927" ht="15.75" customHeight="1">
      <c r="A927" s="28">
        <v>38.0</v>
      </c>
      <c r="B927" s="29" t="s">
        <v>59</v>
      </c>
      <c r="C927" s="30">
        <v>66.69</v>
      </c>
      <c r="D927" s="3" t="str">
        <f t="shared" ref="D927:I927" si="165">(D868+D809+D750+D691+D632+D573+D514+D455+D396+D337+D278+D219+D160+D101+D42)</f>
        <v>0</v>
      </c>
      <c r="E927" s="3" t="str">
        <f t="shared" si="165"/>
        <v>0</v>
      </c>
      <c r="F927" s="3" t="str">
        <f t="shared" si="165"/>
        <v>0</v>
      </c>
      <c r="G927" s="3" t="str">
        <f t="shared" si="165"/>
        <v>0</v>
      </c>
      <c r="H927" s="3" t="str">
        <f t="shared" si="165"/>
        <v>0</v>
      </c>
      <c r="I927" s="3" t="str">
        <f t="shared" si="165"/>
        <v>0</v>
      </c>
      <c r="J927" s="3" t="str">
        <f t="shared" si="123"/>
        <v>0</v>
      </c>
      <c r="K927" s="27" t="str">
        <f t="shared" si="124"/>
        <v> No Issue</v>
      </c>
      <c r="L927" s="3" t="str">
        <f t="shared" si="125"/>
        <v>No Issue</v>
      </c>
      <c r="M927" s="3" t="str">
        <f t="shared" si="126"/>
        <v>No Issue</v>
      </c>
      <c r="N927" s="3" t="str">
        <f t="shared" si="127"/>
        <v>No Issue</v>
      </c>
      <c r="O927" s="3" t="str">
        <f t="shared" si="128"/>
        <v>No Issue</v>
      </c>
      <c r="P927" s="3" t="str">
        <f t="shared" si="129"/>
        <v>NoIssue</v>
      </c>
    </row>
    <row r="928" ht="15.75" customHeight="1">
      <c r="A928" s="28">
        <v>39.0</v>
      </c>
      <c r="B928" s="29" t="s">
        <v>60</v>
      </c>
      <c r="C928" s="29">
        <v>150.85999999999999</v>
      </c>
      <c r="D928" s="3" t="str">
        <f t="shared" ref="D928:I928" si="166">(D869+D810+D751+D692+D633+D574+D515+D456+D397+D338+D279+D220+D161+D102+D43)</f>
        <v>0</v>
      </c>
      <c r="E928" s="3" t="str">
        <f t="shared" si="166"/>
        <v>0</v>
      </c>
      <c r="F928" s="3" t="str">
        <f t="shared" si="166"/>
        <v>0</v>
      </c>
      <c r="G928" s="3" t="str">
        <f t="shared" si="166"/>
        <v>0</v>
      </c>
      <c r="H928" s="3" t="str">
        <f t="shared" si="166"/>
        <v>0</v>
      </c>
      <c r="I928" s="3" t="str">
        <f t="shared" si="166"/>
        <v>0</v>
      </c>
      <c r="J928" s="3" t="str">
        <f t="shared" si="123"/>
        <v>0</v>
      </c>
      <c r="K928" s="27" t="str">
        <f t="shared" si="124"/>
        <v> No Issue</v>
      </c>
      <c r="L928" s="3" t="str">
        <f t="shared" si="125"/>
        <v>No Issue</v>
      </c>
      <c r="M928" s="3" t="str">
        <f t="shared" si="126"/>
        <v>No Issue</v>
      </c>
      <c r="N928" s="3" t="str">
        <f t="shared" si="127"/>
        <v>No Issue</v>
      </c>
      <c r="O928" s="3" t="str">
        <f t="shared" si="128"/>
        <v>No Issue</v>
      </c>
      <c r="P928" s="3" t="str">
        <f t="shared" si="129"/>
        <v>NoIssue</v>
      </c>
    </row>
    <row r="929" ht="15.75" customHeight="1">
      <c r="A929" s="28">
        <v>40.0</v>
      </c>
      <c r="B929" s="33" t="s">
        <v>61</v>
      </c>
      <c r="C929" s="30">
        <v>180.0</v>
      </c>
      <c r="D929" s="3" t="str">
        <f t="shared" ref="D929:I929" si="167">(D870+D811+D752+D693+D634+D575+D516+D457+D398+D339+D280+D221+D162+D103+D44)</f>
        <v>0</v>
      </c>
      <c r="E929" s="3" t="str">
        <f t="shared" si="167"/>
        <v>0</v>
      </c>
      <c r="F929" s="3" t="str">
        <f t="shared" si="167"/>
        <v>0</v>
      </c>
      <c r="G929" s="3" t="str">
        <f t="shared" si="167"/>
        <v>0</v>
      </c>
      <c r="H929" s="3" t="str">
        <f t="shared" si="167"/>
        <v>0</v>
      </c>
      <c r="I929" s="3" t="str">
        <f t="shared" si="167"/>
        <v>0</v>
      </c>
      <c r="J929" s="3" t="str">
        <f t="shared" si="123"/>
        <v>0</v>
      </c>
      <c r="K929" s="27" t="str">
        <f t="shared" si="124"/>
        <v> No Issue</v>
      </c>
      <c r="L929" s="3" t="str">
        <f t="shared" si="125"/>
        <v>No Issue</v>
      </c>
      <c r="M929" s="3" t="str">
        <f t="shared" si="126"/>
        <v>No Issue</v>
      </c>
      <c r="N929" s="3" t="str">
        <f t="shared" si="127"/>
        <v>No Issue</v>
      </c>
      <c r="O929" s="3" t="str">
        <f t="shared" si="128"/>
        <v>No Issue</v>
      </c>
      <c r="P929" s="3" t="str">
        <f t="shared" si="129"/>
        <v>NoIssue</v>
      </c>
    </row>
    <row r="930" ht="15.75" customHeight="1">
      <c r="A930" s="28">
        <v>41.0</v>
      </c>
      <c r="B930" s="33" t="s">
        <v>62</v>
      </c>
      <c r="C930" s="29">
        <v>128.57</v>
      </c>
      <c r="D930" s="3" t="str">
        <f t="shared" ref="D930:I930" si="168">(D871+D812+D753+D694+D635+D576+D517+D458+D399+D340+D281+D222+D163+D104+D45)</f>
        <v>0</v>
      </c>
      <c r="E930" s="3" t="str">
        <f t="shared" si="168"/>
        <v>0</v>
      </c>
      <c r="F930" s="3" t="str">
        <f t="shared" si="168"/>
        <v>0</v>
      </c>
      <c r="G930" s="3" t="str">
        <f t="shared" si="168"/>
        <v>0</v>
      </c>
      <c r="H930" s="3" t="str">
        <f t="shared" si="168"/>
        <v>0</v>
      </c>
      <c r="I930" s="3" t="str">
        <f t="shared" si="168"/>
        <v>0</v>
      </c>
      <c r="J930" s="3" t="str">
        <f t="shared" si="123"/>
        <v>0</v>
      </c>
      <c r="K930" s="27" t="str">
        <f t="shared" si="124"/>
        <v> No Issue</v>
      </c>
      <c r="L930" s="3" t="str">
        <f t="shared" si="125"/>
        <v>No Issue</v>
      </c>
      <c r="M930" s="3" t="str">
        <f t="shared" si="126"/>
        <v>No Issue</v>
      </c>
      <c r="N930" s="3" t="str">
        <f t="shared" si="127"/>
        <v>No Issue</v>
      </c>
      <c r="O930" s="3" t="str">
        <f t="shared" si="128"/>
        <v>No Issue</v>
      </c>
      <c r="P930" s="3" t="str">
        <f t="shared" si="129"/>
        <v>NoIssue</v>
      </c>
    </row>
    <row r="931" ht="15.75" customHeight="1">
      <c r="A931" s="28">
        <v>42.0</v>
      </c>
      <c r="B931" s="29"/>
      <c r="C931" s="29"/>
      <c r="D931" s="3" t="str">
        <f t="shared" ref="D931:I931" si="169">(D872+D813+D754+D695+D636+D577+D518+D459+D400+D341+D282+D223+D164+D105+D46)</f>
        <v>0</v>
      </c>
      <c r="E931" s="3" t="str">
        <f t="shared" si="169"/>
        <v>0</v>
      </c>
      <c r="F931" s="3" t="str">
        <f t="shared" si="169"/>
        <v>0</v>
      </c>
      <c r="G931" s="3" t="str">
        <f t="shared" si="169"/>
        <v>0</v>
      </c>
      <c r="H931" s="3" t="str">
        <f t="shared" si="169"/>
        <v>0</v>
      </c>
      <c r="I931" s="3" t="str">
        <f t="shared" si="169"/>
        <v>0</v>
      </c>
      <c r="J931" s="3" t="str">
        <f t="shared" si="123"/>
        <v>0</v>
      </c>
      <c r="K931" s="27" t="str">
        <f t="shared" si="124"/>
        <v> No Issue</v>
      </c>
      <c r="L931" s="3" t="str">
        <f t="shared" si="125"/>
        <v>No Issue</v>
      </c>
      <c r="M931" s="3" t="str">
        <f t="shared" si="126"/>
        <v>No Issue</v>
      </c>
      <c r="N931" s="3" t="str">
        <f t="shared" si="127"/>
        <v>No Issue</v>
      </c>
      <c r="O931" s="3" t="str">
        <f t="shared" si="128"/>
        <v>No Issue</v>
      </c>
      <c r="P931" s="3" t="str">
        <f t="shared" si="129"/>
        <v>NoIssue</v>
      </c>
    </row>
    <row r="932" ht="15.75" customHeight="1">
      <c r="A932" s="28">
        <v>43.0</v>
      </c>
      <c r="B932" s="34"/>
      <c r="C932" s="34"/>
      <c r="D932" s="3" t="str">
        <f t="shared" ref="D932:I932" si="170">(D873+D814+D755+D696+D637+D578+D519+D460+D401+D342+D283+D224+D165+D106+D47)</f>
        <v>0</v>
      </c>
      <c r="E932" s="3" t="str">
        <f t="shared" si="170"/>
        <v>0</v>
      </c>
      <c r="F932" s="3" t="str">
        <f t="shared" si="170"/>
        <v>0</v>
      </c>
      <c r="G932" s="3" t="str">
        <f t="shared" si="170"/>
        <v>0</v>
      </c>
      <c r="H932" s="3" t="str">
        <f t="shared" si="170"/>
        <v>0</v>
      </c>
      <c r="I932" s="3" t="str">
        <f t="shared" si="170"/>
        <v>0</v>
      </c>
      <c r="J932" s="3" t="str">
        <f t="shared" si="123"/>
        <v>0</v>
      </c>
      <c r="K932" s="27" t="str">
        <f t="shared" si="124"/>
        <v> No Issue</v>
      </c>
      <c r="L932" s="3" t="str">
        <f t="shared" si="125"/>
        <v>No Issue</v>
      </c>
      <c r="M932" s="3" t="str">
        <f t="shared" si="126"/>
        <v>No Issue</v>
      </c>
      <c r="N932" s="3" t="str">
        <f t="shared" si="127"/>
        <v>No Issue</v>
      </c>
      <c r="O932" s="3" t="str">
        <f t="shared" si="128"/>
        <v>No Issue</v>
      </c>
      <c r="P932" s="3" t="str">
        <f t="shared" si="129"/>
        <v>NoIssue</v>
      </c>
    </row>
    <row r="933" ht="15.75" customHeight="1">
      <c r="A933" s="28">
        <v>44.0</v>
      </c>
      <c r="B933" s="34"/>
      <c r="C933" s="34"/>
      <c r="D933" s="3" t="str">
        <f t="shared" ref="D933:I933" si="171">(D874+D815+D756+D697+D638+D579+D520+D461+D402+D343+D284+D225+D166+D107+D48)</f>
        <v>0</v>
      </c>
      <c r="E933" s="3" t="str">
        <f t="shared" si="171"/>
        <v>0</v>
      </c>
      <c r="F933" s="3" t="str">
        <f t="shared" si="171"/>
        <v>0</v>
      </c>
      <c r="G933" s="3" t="str">
        <f t="shared" si="171"/>
        <v>0</v>
      </c>
      <c r="H933" s="3" t="str">
        <f t="shared" si="171"/>
        <v>0</v>
      </c>
      <c r="I933" s="3" t="str">
        <f t="shared" si="171"/>
        <v>0</v>
      </c>
      <c r="J933" s="3" t="str">
        <f t="shared" si="123"/>
        <v>0</v>
      </c>
      <c r="K933" s="27" t="str">
        <f t="shared" si="124"/>
        <v> No Issue</v>
      </c>
      <c r="L933" s="3" t="str">
        <f t="shared" si="125"/>
        <v>No Issue</v>
      </c>
      <c r="M933" s="3" t="str">
        <f t="shared" si="126"/>
        <v>No Issue</v>
      </c>
      <c r="N933" s="3" t="str">
        <f t="shared" si="127"/>
        <v>No Issue</v>
      </c>
      <c r="O933" s="3" t="str">
        <f t="shared" si="128"/>
        <v>No Issue</v>
      </c>
      <c r="P933" s="3" t="str">
        <f t="shared" si="129"/>
        <v>NoIssue</v>
      </c>
    </row>
    <row r="934" ht="15.75" customHeight="1">
      <c r="A934" s="28">
        <v>45.0</v>
      </c>
      <c r="B934" s="34"/>
      <c r="C934" s="34"/>
      <c r="D934" s="3" t="str">
        <f t="shared" ref="D934:I934" si="172">(D875+D816+D757+D698+D639+D580+D521+D462+D403+D344+D285+D226+D167+D108+D49)</f>
        <v>0</v>
      </c>
      <c r="E934" s="3" t="str">
        <f t="shared" si="172"/>
        <v>0</v>
      </c>
      <c r="F934" s="3" t="str">
        <f t="shared" si="172"/>
        <v>0</v>
      </c>
      <c r="G934" s="3" t="str">
        <f t="shared" si="172"/>
        <v>0</v>
      </c>
      <c r="H934" s="3" t="str">
        <f t="shared" si="172"/>
        <v>0</v>
      </c>
      <c r="I934" s="3" t="str">
        <f t="shared" si="172"/>
        <v>0</v>
      </c>
      <c r="J934" s="3" t="str">
        <f t="shared" si="123"/>
        <v>0</v>
      </c>
      <c r="K934" s="27" t="str">
        <f t="shared" si="124"/>
        <v> No Issue</v>
      </c>
      <c r="L934" s="3" t="str">
        <f t="shared" si="125"/>
        <v>No Issue</v>
      </c>
      <c r="M934" s="3" t="str">
        <f t="shared" si="126"/>
        <v>No Issue</v>
      </c>
      <c r="N934" s="3" t="str">
        <f t="shared" si="127"/>
        <v>No Issue</v>
      </c>
      <c r="O934" s="3" t="str">
        <f t="shared" si="128"/>
        <v>No Issue</v>
      </c>
      <c r="P934" s="3" t="str">
        <f t="shared" si="129"/>
        <v>NoIssue</v>
      </c>
    </row>
    <row r="935" ht="15.75" customHeight="1">
      <c r="A935" s="28">
        <v>46.0</v>
      </c>
      <c r="B935" s="34"/>
      <c r="C935" s="34"/>
      <c r="D935" s="3" t="str">
        <f t="shared" ref="D935:I935" si="173">(D876+D817+D758+D699+D640+D581+D522+D463+D404+D345+D286+D227+D168+D109+D50)</f>
        <v>0</v>
      </c>
      <c r="E935" s="3" t="str">
        <f t="shared" si="173"/>
        <v>0</v>
      </c>
      <c r="F935" s="3" t="str">
        <f t="shared" si="173"/>
        <v>0</v>
      </c>
      <c r="G935" s="3" t="str">
        <f t="shared" si="173"/>
        <v>0</v>
      </c>
      <c r="H935" s="3" t="str">
        <f t="shared" si="173"/>
        <v>0</v>
      </c>
      <c r="I935" s="3" t="str">
        <f t="shared" si="173"/>
        <v>0</v>
      </c>
      <c r="J935" s="3" t="str">
        <f t="shared" si="123"/>
        <v>0</v>
      </c>
      <c r="K935" s="27" t="str">
        <f t="shared" si="124"/>
        <v> No Issue</v>
      </c>
      <c r="L935" s="3" t="str">
        <f t="shared" si="125"/>
        <v>No Issue</v>
      </c>
      <c r="M935" s="3" t="str">
        <f t="shared" si="126"/>
        <v>No Issue</v>
      </c>
      <c r="N935" s="3" t="str">
        <f t="shared" si="127"/>
        <v>No Issue</v>
      </c>
      <c r="O935" s="3" t="str">
        <f t="shared" si="128"/>
        <v>No Issue</v>
      </c>
      <c r="P935" s="3" t="str">
        <f t="shared" si="129"/>
        <v>NoIssue</v>
      </c>
    </row>
    <row r="936" ht="15.75" customHeight="1">
      <c r="A936" s="28">
        <v>47.0</v>
      </c>
      <c r="B936" s="35"/>
      <c r="C936" s="36"/>
      <c r="D936" s="3" t="str">
        <f t="shared" ref="D936:I936" si="174">(D877+D818+D759+D700+D641+D582+D523+D464+D405+D346+D287+D228+D169+D110+D51)</f>
        <v>0</v>
      </c>
      <c r="E936" s="3" t="str">
        <f t="shared" si="174"/>
        <v>0</v>
      </c>
      <c r="F936" s="3" t="str">
        <f t="shared" si="174"/>
        <v>0</v>
      </c>
      <c r="G936" s="3" t="str">
        <f t="shared" si="174"/>
        <v>0</v>
      </c>
      <c r="H936" s="3" t="str">
        <f t="shared" si="174"/>
        <v>0</v>
      </c>
      <c r="I936" s="3" t="str">
        <f t="shared" si="174"/>
        <v>0</v>
      </c>
      <c r="J936" s="3" t="str">
        <f t="shared" si="123"/>
        <v>0</v>
      </c>
      <c r="K936" s="27" t="str">
        <f t="shared" si="124"/>
        <v> No Issue</v>
      </c>
      <c r="L936" s="3" t="str">
        <f t="shared" si="125"/>
        <v>No Issue</v>
      </c>
      <c r="M936" s="3" t="str">
        <f t="shared" si="126"/>
        <v>No Issue</v>
      </c>
      <c r="N936" s="3" t="str">
        <f t="shared" si="127"/>
        <v>No Issue</v>
      </c>
      <c r="O936" s="3" t="str">
        <f t="shared" si="128"/>
        <v>No Issue</v>
      </c>
      <c r="P936" s="3" t="str">
        <f t="shared" si="129"/>
        <v>NoIssue</v>
      </c>
    </row>
    <row r="937" ht="15.75" customHeight="1">
      <c r="A937" s="28">
        <v>48.0</v>
      </c>
      <c r="B937" s="35"/>
      <c r="C937" s="36"/>
      <c r="D937" s="3" t="str">
        <f t="shared" ref="D937:I937" si="175">(D878+D819+D760+D701+D642+D583+D524+D465+D406+D347+D288+D229+D170+D111+D52)</f>
        <v>0</v>
      </c>
      <c r="E937" s="3" t="str">
        <f t="shared" si="175"/>
        <v>0</v>
      </c>
      <c r="F937" s="3" t="str">
        <f t="shared" si="175"/>
        <v>0</v>
      </c>
      <c r="G937" s="3" t="str">
        <f t="shared" si="175"/>
        <v>0</v>
      </c>
      <c r="H937" s="3" t="str">
        <f t="shared" si="175"/>
        <v>0</v>
      </c>
      <c r="I937" s="3" t="str">
        <f t="shared" si="175"/>
        <v>0</v>
      </c>
      <c r="J937" s="3" t="str">
        <f t="shared" si="123"/>
        <v>0</v>
      </c>
      <c r="K937" s="27" t="str">
        <f t="shared" si="124"/>
        <v> No Issue</v>
      </c>
      <c r="L937" s="3" t="str">
        <f t="shared" si="125"/>
        <v>No Issue</v>
      </c>
      <c r="M937" s="3" t="str">
        <f t="shared" si="126"/>
        <v>No Issue</v>
      </c>
      <c r="N937" s="3" t="str">
        <f t="shared" si="127"/>
        <v>No Issue</v>
      </c>
      <c r="O937" s="3" t="str">
        <f t="shared" si="128"/>
        <v>No Issue</v>
      </c>
      <c r="P937" s="3" t="str">
        <f t="shared" si="129"/>
        <v>NoIssue</v>
      </c>
    </row>
    <row r="938" ht="15.75" customHeight="1">
      <c r="A938" s="28">
        <v>49.0</v>
      </c>
      <c r="B938" s="35"/>
      <c r="C938" s="36"/>
      <c r="D938" s="3" t="str">
        <f t="shared" ref="D938:I938" si="176">(D879+D820+D761+D702+D643+D584+D525+D466+D407+D348+D289+D230+D171+D112+D53)</f>
        <v>0</v>
      </c>
      <c r="E938" s="3" t="str">
        <f t="shared" si="176"/>
        <v>0</v>
      </c>
      <c r="F938" s="3" t="str">
        <f t="shared" si="176"/>
        <v>0</v>
      </c>
      <c r="G938" s="3" t="str">
        <f t="shared" si="176"/>
        <v>0</v>
      </c>
      <c r="H938" s="3" t="str">
        <f t="shared" si="176"/>
        <v>0</v>
      </c>
      <c r="I938" s="3" t="str">
        <f t="shared" si="176"/>
        <v>0</v>
      </c>
      <c r="J938" s="3" t="str">
        <f t="shared" si="123"/>
        <v>0</v>
      </c>
      <c r="K938" s="27" t="str">
        <f t="shared" si="124"/>
        <v> No Issue</v>
      </c>
      <c r="L938" s="3" t="str">
        <f t="shared" si="125"/>
        <v>No Issue</v>
      </c>
      <c r="M938" s="3" t="str">
        <f t="shared" si="126"/>
        <v>No Issue</v>
      </c>
      <c r="N938" s="3" t="str">
        <f t="shared" si="127"/>
        <v>No Issue</v>
      </c>
      <c r="O938" s="3" t="str">
        <f t="shared" si="128"/>
        <v>No Issue</v>
      </c>
      <c r="P938" s="3" t="str">
        <f t="shared" si="129"/>
        <v>NoIssue</v>
      </c>
    </row>
    <row r="939" ht="15.75" customHeight="1">
      <c r="A939" s="28">
        <v>50.0</v>
      </c>
      <c r="B939" s="35"/>
      <c r="C939" s="36"/>
      <c r="D939" s="3" t="str">
        <f t="shared" ref="D939:I939" si="177">(D880+D821+D762+D703+D644+D585+D526+D467+D408+D349+D290+D231+D172+D113+D54)</f>
        <v>0</v>
      </c>
      <c r="E939" s="3" t="str">
        <f t="shared" si="177"/>
        <v>0</v>
      </c>
      <c r="F939" s="3" t="str">
        <f t="shared" si="177"/>
        <v>0</v>
      </c>
      <c r="G939" s="3" t="str">
        <f t="shared" si="177"/>
        <v>0</v>
      </c>
      <c r="H939" s="3" t="str">
        <f t="shared" si="177"/>
        <v>0</v>
      </c>
      <c r="I939" s="3" t="str">
        <f t="shared" si="177"/>
        <v>0</v>
      </c>
      <c r="J939" s="3" t="str">
        <f t="shared" si="123"/>
        <v>0</v>
      </c>
      <c r="K939" s="27" t="str">
        <f t="shared" si="124"/>
        <v> No Issue</v>
      </c>
      <c r="L939" s="3" t="str">
        <f t="shared" si="125"/>
        <v>No Issue</v>
      </c>
      <c r="M939" s="3" t="str">
        <f t="shared" si="126"/>
        <v>No Issue</v>
      </c>
      <c r="N939" s="3" t="str">
        <f t="shared" si="127"/>
        <v>No Issue</v>
      </c>
      <c r="O939" s="3" t="str">
        <f t="shared" si="128"/>
        <v>No Issue</v>
      </c>
      <c r="P939" s="3" t="str">
        <f t="shared" si="129"/>
        <v>NoIssue</v>
      </c>
    </row>
    <row r="940" ht="15.75" customHeight="1">
      <c r="A940" s="28">
        <v>51.0</v>
      </c>
      <c r="B940" s="35"/>
      <c r="C940" s="36"/>
      <c r="D940" s="3" t="str">
        <f t="shared" ref="D940:I940" si="178">(D881+D822+D763+D704+D645+D586+D527+D468+D409+D350+D291+D232+D173+D114+D55)</f>
        <v>0</v>
      </c>
      <c r="E940" s="3" t="str">
        <f t="shared" si="178"/>
        <v>0</v>
      </c>
      <c r="F940" s="3" t="str">
        <f t="shared" si="178"/>
        <v>0</v>
      </c>
      <c r="G940" s="3" t="str">
        <f t="shared" si="178"/>
        <v>0</v>
      </c>
      <c r="H940" s="3" t="str">
        <f t="shared" si="178"/>
        <v>0</v>
      </c>
      <c r="I940" s="3" t="str">
        <f t="shared" si="178"/>
        <v>0</v>
      </c>
      <c r="J940" s="3" t="str">
        <f t="shared" si="123"/>
        <v>0</v>
      </c>
      <c r="K940" s="27" t="str">
        <f t="shared" si="124"/>
        <v> No Issue</v>
      </c>
      <c r="L940" s="3" t="str">
        <f t="shared" si="125"/>
        <v>No Issue</v>
      </c>
      <c r="M940" s="3" t="str">
        <f t="shared" si="126"/>
        <v>No Issue</v>
      </c>
      <c r="N940" s="3" t="str">
        <f t="shared" si="127"/>
        <v>No Issue</v>
      </c>
      <c r="O940" s="3" t="str">
        <f t="shared" si="128"/>
        <v>No Issue</v>
      </c>
      <c r="P940" s="3" t="str">
        <f t="shared" si="129"/>
        <v>NoIssue</v>
      </c>
    </row>
    <row r="941" ht="15.75" customHeight="1">
      <c r="A941" s="28">
        <v>52.0</v>
      </c>
      <c r="B941" s="35"/>
      <c r="C941" s="36"/>
      <c r="D941" s="3" t="str">
        <f t="shared" ref="D941:I941" si="179">(D882+D823+D764+D705+D646+D587+D528+D469+D410+D351+D292+D233+D174+D115+D56)</f>
        <v>0</v>
      </c>
      <c r="E941" s="3" t="str">
        <f t="shared" si="179"/>
        <v>0</v>
      </c>
      <c r="F941" s="3" t="str">
        <f t="shared" si="179"/>
        <v>0</v>
      </c>
      <c r="G941" s="3" t="str">
        <f t="shared" si="179"/>
        <v>0</v>
      </c>
      <c r="H941" s="3" t="str">
        <f t="shared" si="179"/>
        <v>0</v>
      </c>
      <c r="I941" s="3" t="str">
        <f t="shared" si="179"/>
        <v>0</v>
      </c>
      <c r="J941" s="3" t="str">
        <f t="shared" si="123"/>
        <v>0</v>
      </c>
      <c r="K941" s="27" t="str">
        <f t="shared" si="124"/>
        <v> No Issue</v>
      </c>
      <c r="L941" s="3" t="str">
        <f t="shared" si="125"/>
        <v>No Issue</v>
      </c>
      <c r="M941" s="3" t="str">
        <f t="shared" si="126"/>
        <v>No Issue</v>
      </c>
      <c r="N941" s="3" t="str">
        <f t="shared" si="127"/>
        <v>No Issue</v>
      </c>
      <c r="O941" s="3" t="str">
        <f t="shared" si="128"/>
        <v>No Issue</v>
      </c>
      <c r="P941" s="3" t="str">
        <f t="shared" si="129"/>
        <v>NoIssue</v>
      </c>
    </row>
    <row r="942" ht="15.75" customHeight="1">
      <c r="A942" s="28">
        <v>53.0</v>
      </c>
      <c r="B942" s="35"/>
      <c r="C942" s="36"/>
      <c r="D942" s="3" t="str">
        <f t="shared" ref="D942:I942" si="180">(D883+D824+D765+D706+D647+D588+D529+D470+D411+D352+D293+D234+D175+D116+D57)</f>
        <v>0</v>
      </c>
      <c r="E942" s="3" t="str">
        <f t="shared" si="180"/>
        <v>0</v>
      </c>
      <c r="F942" s="3" t="str">
        <f t="shared" si="180"/>
        <v>0</v>
      </c>
      <c r="G942" s="3" t="str">
        <f t="shared" si="180"/>
        <v>0</v>
      </c>
      <c r="H942" s="3" t="str">
        <f t="shared" si="180"/>
        <v>0</v>
      </c>
      <c r="I942" s="3" t="str">
        <f t="shared" si="180"/>
        <v>0</v>
      </c>
      <c r="J942" s="3" t="str">
        <f t="shared" si="123"/>
        <v>0</v>
      </c>
      <c r="K942" s="27" t="str">
        <f t="shared" si="124"/>
        <v> No Issue</v>
      </c>
      <c r="L942" s="3" t="str">
        <f t="shared" si="125"/>
        <v>No Issue</v>
      </c>
      <c r="M942" s="3" t="str">
        <f t="shared" si="126"/>
        <v>No Issue</v>
      </c>
      <c r="N942" s="3" t="str">
        <f t="shared" si="127"/>
        <v>No Issue</v>
      </c>
      <c r="O942" s="3" t="str">
        <f t="shared" si="128"/>
        <v>No Issue</v>
      </c>
      <c r="P942" s="3" t="str">
        <f t="shared" si="129"/>
        <v>NoIssue</v>
      </c>
    </row>
    <row r="943" ht="15.75" customHeight="1">
      <c r="A943" s="28">
        <v>54.0</v>
      </c>
      <c r="B943" s="34"/>
      <c r="C943" s="34"/>
      <c r="D943" s="3" t="str">
        <f t="shared" ref="D943:I943" si="181">(D884+D825+D766+D707+D648+D589+D530+D471+D412+D353+D294+D235+D176+D117+D58)</f>
        <v>0</v>
      </c>
      <c r="E943" s="3" t="str">
        <f t="shared" si="181"/>
        <v>0</v>
      </c>
      <c r="F943" s="3" t="str">
        <f t="shared" si="181"/>
        <v>0</v>
      </c>
      <c r="G943" s="3" t="str">
        <f t="shared" si="181"/>
        <v>0</v>
      </c>
      <c r="H943" s="3" t="str">
        <f t="shared" si="181"/>
        <v>0</v>
      </c>
      <c r="I943" s="3" t="str">
        <f t="shared" si="181"/>
        <v>0</v>
      </c>
      <c r="J943" s="3" t="str">
        <f t="shared" si="123"/>
        <v>0</v>
      </c>
      <c r="K943" s="27" t="str">
        <f t="shared" si="124"/>
        <v> No Issue</v>
      </c>
      <c r="L943" s="3" t="str">
        <f t="shared" si="125"/>
        <v>No Issue</v>
      </c>
      <c r="M943" s="3" t="str">
        <f t="shared" si="126"/>
        <v>No Issue</v>
      </c>
      <c r="N943" s="3" t="str">
        <f t="shared" si="127"/>
        <v>No Issue</v>
      </c>
      <c r="O943" s="3" t="str">
        <f t="shared" si="128"/>
        <v>No Issue</v>
      </c>
      <c r="P943" s="3" t="str">
        <f t="shared" si="129"/>
        <v>NoIssue</v>
      </c>
    </row>
    <row r="944" ht="15.75" customHeight="1">
      <c r="A944" s="28">
        <v>55.0</v>
      </c>
      <c r="B944" s="35"/>
      <c r="C944" s="36"/>
      <c r="D944" s="3" t="str">
        <f t="shared" ref="D944:I944" si="182">(D885+D826+D767+D708+D649+D590+D531+D472+D413+D354+D295+D236+D177+D118+D59)</f>
        <v>0</v>
      </c>
      <c r="E944" s="3" t="str">
        <f t="shared" si="182"/>
        <v>0</v>
      </c>
      <c r="F944" s="3" t="str">
        <f t="shared" si="182"/>
        <v>0</v>
      </c>
      <c r="G944" s="3" t="str">
        <f t="shared" si="182"/>
        <v>0</v>
      </c>
      <c r="H944" s="3" t="str">
        <f t="shared" si="182"/>
        <v>0</v>
      </c>
      <c r="I944" s="3" t="str">
        <f t="shared" si="182"/>
        <v>0</v>
      </c>
      <c r="J944" s="3" t="str">
        <f t="shared" si="123"/>
        <v>0</v>
      </c>
      <c r="K944" s="27" t="str">
        <f t="shared" si="124"/>
        <v> No Issue</v>
      </c>
      <c r="L944" s="3" t="str">
        <f t="shared" si="125"/>
        <v>No Issue</v>
      </c>
      <c r="M944" s="3" t="str">
        <f t="shared" si="126"/>
        <v>No Issue</v>
      </c>
      <c r="N944" s="3" t="str">
        <f t="shared" si="127"/>
        <v>No Issue</v>
      </c>
      <c r="O944" s="3" t="str">
        <f t="shared" si="128"/>
        <v>No Issue</v>
      </c>
      <c r="P944" s="3" t="str">
        <f t="shared" si="129"/>
        <v>NoIssue</v>
      </c>
    </row>
    <row r="945" ht="15.75" customHeight="1">
      <c r="A945" s="28">
        <v>56.0</v>
      </c>
      <c r="B945" s="35"/>
      <c r="C945" s="36"/>
      <c r="D945" s="3" t="str">
        <f t="shared" ref="D945:I945" si="183">(D886+D827+D768+D709+D650+D591+D532+D473+D414+D355+D296+D237+D178+D119+D60)</f>
        <v>0</v>
      </c>
      <c r="E945" s="3" t="str">
        <f t="shared" si="183"/>
        <v>0</v>
      </c>
      <c r="F945" s="3" t="str">
        <f t="shared" si="183"/>
        <v>0</v>
      </c>
      <c r="G945" s="3" t="str">
        <f t="shared" si="183"/>
        <v>0</v>
      </c>
      <c r="H945" s="3" t="str">
        <f t="shared" si="183"/>
        <v>0</v>
      </c>
      <c r="I945" s="3" t="str">
        <f t="shared" si="183"/>
        <v>0</v>
      </c>
      <c r="J945" s="3" t="str">
        <f t="shared" si="123"/>
        <v>0</v>
      </c>
      <c r="K945" s="27" t="str">
        <f t="shared" si="124"/>
        <v> No Issue</v>
      </c>
      <c r="L945" s="3" t="str">
        <f t="shared" si="125"/>
        <v>No Issue</v>
      </c>
      <c r="M945" s="3" t="str">
        <f t="shared" si="126"/>
        <v>No Issue</v>
      </c>
      <c r="N945" s="3" t="str">
        <f t="shared" si="127"/>
        <v>No Issue</v>
      </c>
      <c r="O945" s="3" t="str">
        <f t="shared" si="128"/>
        <v>No Issue</v>
      </c>
      <c r="P945" s="3" t="str">
        <f t="shared" si="129"/>
        <v>NoIssue</v>
      </c>
    </row>
    <row r="946" ht="15.75" customHeight="1">
      <c r="A946" s="28"/>
      <c r="B946" s="3" t="s">
        <v>64</v>
      </c>
      <c r="C946" s="35"/>
      <c r="D946" s="3" t="str">
        <f t="shared" ref="D946:I946" si="184">SUMPRODUCT(D890:D945,$C890:$C945)</f>
        <v>0</v>
      </c>
      <c r="E946" s="3" t="str">
        <f t="shared" si="184"/>
        <v>0</v>
      </c>
      <c r="F946" s="3" t="str">
        <f t="shared" si="184"/>
        <v>0</v>
      </c>
      <c r="G946" s="3" t="str">
        <f t="shared" si="184"/>
        <v>0</v>
      </c>
      <c r="H946" s="3" t="str">
        <f t="shared" si="184"/>
        <v>0</v>
      </c>
      <c r="I946" s="3" t="str">
        <f t="shared" si="184"/>
        <v>0</v>
      </c>
      <c r="J946" s="3" t="str">
        <f t="shared" si="123"/>
        <v>0</v>
      </c>
      <c r="K946" s="27" t="str">
        <f t="shared" si="124"/>
        <v> No Issue</v>
      </c>
      <c r="L946" s="3" t="str">
        <f t="shared" si="125"/>
        <v>No Issue</v>
      </c>
      <c r="M946" s="3" t="str">
        <f t="shared" si="126"/>
        <v>No Issue</v>
      </c>
      <c r="N946" s="3" t="str">
        <f t="shared" si="127"/>
        <v>No Issue</v>
      </c>
      <c r="O946" s="3" t="str">
        <f t="shared" si="128"/>
        <v>No Issue</v>
      </c>
      <c r="P946" s="3" t="str">
        <f t="shared" si="129"/>
        <v>NoIssue</v>
      </c>
    </row>
  </sheetData>
  <mergeCells count="32">
    <mergeCell ref="K770:P770"/>
    <mergeCell ref="K711:P711"/>
    <mergeCell ref="K534:P534"/>
    <mergeCell ref="G593:H593"/>
    <mergeCell ref="G534:H534"/>
    <mergeCell ref="K652:P652"/>
    <mergeCell ref="K593:P593"/>
    <mergeCell ref="G770:H770"/>
    <mergeCell ref="G298:H298"/>
    <mergeCell ref="K298:P298"/>
    <mergeCell ref="K829:P829"/>
    <mergeCell ref="G829:H829"/>
    <mergeCell ref="G652:H652"/>
    <mergeCell ref="G711:H711"/>
    <mergeCell ref="G475:H475"/>
    <mergeCell ref="K475:P475"/>
    <mergeCell ref="G888:H888"/>
    <mergeCell ref="K888:P888"/>
    <mergeCell ref="K416:P416"/>
    <mergeCell ref="G416:H416"/>
    <mergeCell ref="G357:H357"/>
    <mergeCell ref="K357:P357"/>
    <mergeCell ref="K180:P180"/>
    <mergeCell ref="G180:H180"/>
    <mergeCell ref="K62:P62"/>
    <mergeCell ref="G3:H3"/>
    <mergeCell ref="K3:P3"/>
    <mergeCell ref="G121:H121"/>
    <mergeCell ref="K121:P121"/>
    <mergeCell ref="K239:P239"/>
    <mergeCell ref="G239:H239"/>
    <mergeCell ref="G62:H62"/>
  </mergeCells>
  <conditionalFormatting sqref="I124:I151">
    <cfRule type="containsText" dxfId="0" priority="1" operator="containsText" text="Problem">
      <formula>NOT(ISERROR(SEARCH(("Problem"),(I124))))</formula>
    </cfRule>
  </conditionalFormatting>
  <conditionalFormatting sqref="I124:I151">
    <cfRule type="containsText" dxfId="0" priority="2" operator="containsText" text="Problem">
      <formula>NOT(ISERROR(SEARCH(("Problem"),(I124))))</formula>
    </cfRule>
  </conditionalFormatting>
  <conditionalFormatting sqref="I124:I151">
    <cfRule type="containsText" dxfId="0" priority="3" operator="containsText" text="Problem">
      <formula>NOT(ISERROR(SEARCH(("Problem"),(I124))))</formula>
    </cfRule>
  </conditionalFormatting>
  <conditionalFormatting sqref="I124:I151">
    <cfRule type="containsText" dxfId="0" priority="4" operator="containsText" text="Problem">
      <formula>NOT(ISERROR(SEARCH(("Problem"),(I124))))</formula>
    </cfRule>
  </conditionalFormatting>
  <conditionalFormatting sqref="E477">
    <cfRule type="containsText" dxfId="0" priority="5" operator="containsText" text="Problem">
      <formula>NOT(ISERROR(SEARCH(("Problem"),(E477))))</formula>
    </cfRule>
  </conditionalFormatting>
  <conditionalFormatting sqref="E477">
    <cfRule type="containsText" dxfId="0" priority="6" operator="containsText" text="Problem">
      <formula>NOT(ISERROR(SEARCH(("Problem"),(E477))))</formula>
    </cfRule>
  </conditionalFormatting>
  <conditionalFormatting sqref="E477">
    <cfRule type="containsText" dxfId="0" priority="7" operator="containsText" text="Problem">
      <formula>NOT(ISERROR(SEARCH(("Problem"),(E477))))</formula>
    </cfRule>
  </conditionalFormatting>
  <conditionalFormatting sqref="I832:I859">
    <cfRule type="containsText" dxfId="0" priority="8" operator="containsText" text="Problem">
      <formula>NOT(ISERROR(SEARCH(("Problem"),(I832))))</formula>
    </cfRule>
  </conditionalFormatting>
  <conditionalFormatting sqref="I832:I859">
    <cfRule type="containsText" dxfId="0" priority="9" operator="containsText" text="Problem">
      <formula>NOT(ISERROR(SEARCH(("Problem"),(I832))))</formula>
    </cfRule>
  </conditionalFormatting>
  <conditionalFormatting sqref="I832:I859">
    <cfRule type="containsText" dxfId="0" priority="10" operator="containsText" text="Problem">
      <formula>NOT(ISERROR(SEARCH(("Problem"),(I832))))</formula>
    </cfRule>
  </conditionalFormatting>
  <conditionalFormatting sqref="I832:I859">
    <cfRule type="containsText" dxfId="0" priority="11" operator="containsText" text="Problem">
      <formula>NOT(ISERROR(SEARCH(("Problem"),(I832))))</formula>
    </cfRule>
  </conditionalFormatting>
  <conditionalFormatting sqref="I714:I741">
    <cfRule type="containsText" dxfId="0" priority="12" operator="containsText" text="Problem">
      <formula>NOT(ISERROR(SEARCH(("Problem"),(I714))))</formula>
    </cfRule>
  </conditionalFormatting>
  <conditionalFormatting sqref="I714:I741">
    <cfRule type="containsText" dxfId="0" priority="13" operator="containsText" text="Problem">
      <formula>NOT(ISERROR(SEARCH(("Problem"),(I714))))</formula>
    </cfRule>
  </conditionalFormatting>
  <conditionalFormatting sqref="I714:I741">
    <cfRule type="containsText" dxfId="0" priority="14" operator="containsText" text="Problem">
      <formula>NOT(ISERROR(SEARCH(("Problem"),(I714))))</formula>
    </cfRule>
  </conditionalFormatting>
  <conditionalFormatting sqref="I714:I741">
    <cfRule type="containsText" dxfId="0" priority="15" operator="containsText" text="Problem">
      <formula>NOT(ISERROR(SEARCH(("Problem"),(I714))))</formula>
    </cfRule>
  </conditionalFormatting>
  <conditionalFormatting sqref="H242:H269">
    <cfRule type="containsText" dxfId="0" priority="16" operator="containsText" text="Problem">
      <formula>NOT(ISERROR(SEARCH(("Problem"),(H242))))</formula>
    </cfRule>
  </conditionalFormatting>
  <conditionalFormatting sqref="H242:H269">
    <cfRule type="containsText" dxfId="0" priority="17" operator="containsText" text="Problem">
      <formula>NOT(ISERROR(SEARCH(("Problem"),(H242))))</formula>
    </cfRule>
  </conditionalFormatting>
  <conditionalFormatting sqref="H242:H269">
    <cfRule type="containsText" dxfId="0" priority="18" operator="containsText" text="Problem">
      <formula>NOT(ISERROR(SEARCH(("Problem"),(H242))))</formula>
    </cfRule>
  </conditionalFormatting>
  <conditionalFormatting sqref="D93:D117">
    <cfRule type="containsText" dxfId="0" priority="19" operator="containsText" text="Problem">
      <formula>NOT(ISERROR(SEARCH(("Problem"),(D93))))</formula>
    </cfRule>
  </conditionalFormatting>
  <conditionalFormatting sqref="D93:D117">
    <cfRule type="containsText" dxfId="0" priority="20" operator="containsText" text="Problem">
      <formula>NOT(ISERROR(SEARCH(("Problem"),(D93))))</formula>
    </cfRule>
  </conditionalFormatting>
  <conditionalFormatting sqref="H477">
    <cfRule type="containsText" dxfId="0" priority="21" operator="containsText" text="Problem">
      <formula>NOT(ISERROR(SEARCH(("Problem"),(H477))))</formula>
    </cfRule>
  </conditionalFormatting>
  <conditionalFormatting sqref="H477">
    <cfRule type="containsText" dxfId="0" priority="22" operator="containsText" text="Problem">
      <formula>NOT(ISERROR(SEARCH(("Problem"),(H477))))</formula>
    </cfRule>
  </conditionalFormatting>
  <conditionalFormatting sqref="H477">
    <cfRule type="containsText" dxfId="0" priority="23" operator="containsText" text="Problem">
      <formula>NOT(ISERROR(SEARCH(("Problem"),(H477))))</formula>
    </cfRule>
  </conditionalFormatting>
  <conditionalFormatting sqref="G536">
    <cfRule type="containsText" dxfId="0" priority="24" operator="containsText" text="Problem">
      <formula>NOT(ISERROR(SEARCH(("Problem"),(G536))))</formula>
    </cfRule>
  </conditionalFormatting>
  <conditionalFormatting sqref="G536">
    <cfRule type="containsText" dxfId="0" priority="25" operator="containsText" text="Problem">
      <formula>NOT(ISERROR(SEARCH(("Problem"),(G536))))</formula>
    </cfRule>
  </conditionalFormatting>
  <conditionalFormatting sqref="G536">
    <cfRule type="containsText" dxfId="0" priority="26" operator="containsText" text="Problem">
      <formula>NOT(ISERROR(SEARCH(("Problem"),(G536))))</formula>
    </cfRule>
  </conditionalFormatting>
  <conditionalFormatting sqref="I300">
    <cfRule type="containsText" dxfId="0" priority="27" operator="containsText" text="Problem">
      <formula>NOT(ISERROR(SEARCH(("Problem"),(I300))))</formula>
    </cfRule>
  </conditionalFormatting>
  <conditionalFormatting sqref="I300">
    <cfRule type="containsText" dxfId="0" priority="28" operator="containsText" text="Problem">
      <formula>NOT(ISERROR(SEARCH(("Problem"),(I300))))</formula>
    </cfRule>
  </conditionalFormatting>
  <conditionalFormatting sqref="I300">
    <cfRule type="containsText" dxfId="0" priority="29" operator="containsText" text="Problem">
      <formula>NOT(ISERROR(SEARCH(("Problem"),(I300))))</formula>
    </cfRule>
  </conditionalFormatting>
  <conditionalFormatting sqref="A534 J534:P534">
    <cfRule type="containsText" dxfId="0" priority="30" operator="containsText" text="Problem">
      <formula>NOT(ISERROR(SEARCH(("Problem"),(A534))))</formula>
    </cfRule>
  </conditionalFormatting>
  <conditionalFormatting sqref="A534 J534:P534">
    <cfRule type="containsText" dxfId="0" priority="31" operator="containsText" text="Problem">
      <formula>NOT(ISERROR(SEARCH(("Problem"),(A534))))</formula>
    </cfRule>
  </conditionalFormatting>
  <conditionalFormatting sqref="A534 J534:P534">
    <cfRule type="containsText" dxfId="0" priority="32" operator="containsText" text="Problem">
      <formula>NOT(ISERROR(SEARCH(("Problem"),(A534))))</formula>
    </cfRule>
  </conditionalFormatting>
  <conditionalFormatting sqref="B219:C219 B231:B234 B236:C237 C188:C218 C228:C234">
    <cfRule type="containsText" dxfId="0" priority="33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34" operator="containsText" text="Problem">
      <formula>NOT(ISERROR(SEARCH(("Problem"),(B219))))</formula>
    </cfRule>
  </conditionalFormatting>
  <conditionalFormatting sqref="B219:C219 B231:B234 B236:C237 C188:C218 C228:C234">
    <cfRule type="containsText" dxfId="0" priority="35" operator="containsText" text="Problem">
      <formula>NOT(ISERROR(SEARCH(("Problem"),(B219))))</formula>
    </cfRule>
  </conditionalFormatting>
  <conditionalFormatting sqref="D891:D945 J891:J945">
    <cfRule type="containsText" dxfId="0" priority="36" operator="containsText" text="Problem">
      <formula>NOT(ISERROR(SEARCH(("Problem"),(D891))))</formula>
    </cfRule>
  </conditionalFormatting>
  <conditionalFormatting sqref="D891:D945 J891:J945">
    <cfRule type="containsText" dxfId="0" priority="37" operator="containsText" text="Problem">
      <formula>NOT(ISERROR(SEARCH(("Problem"),(D891))))</formula>
    </cfRule>
  </conditionalFormatting>
  <conditionalFormatting sqref="D891:D945 J891:J945">
    <cfRule type="containsText" dxfId="0" priority="38" operator="containsText" text="Problem">
      <formula>NOT(ISERROR(SEARCH(("Problem"),(D891))))</formula>
    </cfRule>
  </conditionalFormatting>
  <conditionalFormatting sqref="G183:G210">
    <cfRule type="containsText" dxfId="0" priority="39" operator="containsText" text="Problem">
      <formula>NOT(ISERROR(SEARCH(("Problem"),(G183))))</formula>
    </cfRule>
  </conditionalFormatting>
  <conditionalFormatting sqref="G183:G210">
    <cfRule type="containsText" dxfId="0" priority="40" operator="containsText" text="Problem">
      <formula>NOT(ISERROR(SEARCH(("Problem"),(G183))))</formula>
    </cfRule>
  </conditionalFormatting>
  <conditionalFormatting sqref="G183:G210">
    <cfRule type="containsText" dxfId="0" priority="41" operator="containsText" text="Problem">
      <formula>NOT(ISERROR(SEARCH(("Problem"),(G183))))</formula>
    </cfRule>
  </conditionalFormatting>
  <conditionalFormatting sqref="G655:G682">
    <cfRule type="containsText" dxfId="0" priority="42" operator="containsText" text="Problem">
      <formula>NOT(ISERROR(SEARCH(("Problem"),(G655))))</formula>
    </cfRule>
  </conditionalFormatting>
  <conditionalFormatting sqref="G655:G682">
    <cfRule type="containsText" dxfId="0" priority="43" operator="containsText" text="Problem">
      <formula>NOT(ISERROR(SEARCH(("Problem"),(G655))))</formula>
    </cfRule>
  </conditionalFormatting>
  <conditionalFormatting sqref="G655:G682">
    <cfRule type="containsText" dxfId="0" priority="44" operator="containsText" text="Problem">
      <formula>NOT(ISERROR(SEARCH(("Problem"),(G655))))</formula>
    </cfRule>
  </conditionalFormatting>
  <conditionalFormatting sqref="G301:G328">
    <cfRule type="containsText" dxfId="0" priority="45" operator="containsText" text="Problem">
      <formula>NOT(ISERROR(SEARCH(("Problem"),(G301))))</formula>
    </cfRule>
  </conditionalFormatting>
  <conditionalFormatting sqref="G301:G328">
    <cfRule type="containsText" dxfId="0" priority="46" operator="containsText" text="Problem">
      <formula>NOT(ISERROR(SEARCH(("Problem"),(G301))))</formula>
    </cfRule>
  </conditionalFormatting>
  <conditionalFormatting sqref="G301:G328">
    <cfRule type="containsText" dxfId="0" priority="47" operator="containsText" text="Problem">
      <formula>NOT(ISERROR(SEARCH(("Problem"),(G301))))</formula>
    </cfRule>
  </conditionalFormatting>
  <conditionalFormatting sqref="H537:H564">
    <cfRule type="containsText" dxfId="0" priority="48" operator="containsText" text="Problem">
      <formula>NOT(ISERROR(SEARCH(("Problem"),(H537))))</formula>
    </cfRule>
  </conditionalFormatting>
  <conditionalFormatting sqref="H537:H564">
    <cfRule type="containsText" dxfId="0" priority="49" operator="containsText" text="Problem">
      <formula>NOT(ISERROR(SEARCH(("Problem"),(H537))))</formula>
    </cfRule>
  </conditionalFormatting>
  <conditionalFormatting sqref="H537:H564">
    <cfRule type="containsText" dxfId="0" priority="50" operator="containsText" text="Problem">
      <formula>NOT(ISERROR(SEARCH(("Problem"),(H537))))</formula>
    </cfRule>
  </conditionalFormatting>
  <conditionalFormatting sqref="D767:D768 E742:H768">
    <cfRule type="containsText" dxfId="0" priority="51" operator="containsText" text="Problem">
      <formula>NOT(ISERROR(SEARCH(("Problem"),(D767))))</formula>
    </cfRule>
  </conditionalFormatting>
  <conditionalFormatting sqref="D767:D768 E742:H768">
    <cfRule type="containsText" dxfId="0" priority="52" operator="containsText" text="Problem">
      <formula>NOT(ISERROR(SEARCH(("Problem"),(D767))))</formula>
    </cfRule>
  </conditionalFormatting>
  <conditionalFormatting sqref="D767:D768 E742:H768">
    <cfRule type="containsText" dxfId="0" priority="53" operator="containsText" text="Problem">
      <formula>NOT(ISERROR(SEARCH(("Problem"),(D767))))</formula>
    </cfRule>
  </conditionalFormatting>
  <conditionalFormatting sqref="N182:N238">
    <cfRule type="containsText" dxfId="0" priority="54" operator="containsText" text="Problem">
      <formula>NOT(ISERROR(SEARCH(("Problem"),(N182))))</formula>
    </cfRule>
  </conditionalFormatting>
  <conditionalFormatting sqref="N182:N238">
    <cfRule type="containsText" dxfId="0" priority="55" operator="containsText" text="Problem">
      <formula>NOT(ISERROR(SEARCH(("Problem"),(N182))))</formula>
    </cfRule>
  </conditionalFormatting>
  <conditionalFormatting sqref="N182:N238">
    <cfRule type="containsText" dxfId="0" priority="56" operator="containsText" text="Problem">
      <formula>NOT(ISERROR(SEARCH(("Problem"),(N182))))</formula>
    </cfRule>
  </conditionalFormatting>
  <conditionalFormatting sqref="A711 J711:P711">
    <cfRule type="containsText" dxfId="0" priority="57" operator="containsText" text="Problem">
      <formula>NOT(ISERROR(SEARCH(("Problem"),(A711))))</formula>
    </cfRule>
  </conditionalFormatting>
  <conditionalFormatting sqref="A711 J711:P711">
    <cfRule type="containsText" dxfId="0" priority="58" operator="containsText" text="Problem">
      <formula>NOT(ISERROR(SEARCH(("Problem"),(A711))))</formula>
    </cfRule>
  </conditionalFormatting>
  <conditionalFormatting sqref="A711 J711:P711">
    <cfRule type="containsText" dxfId="0" priority="59" operator="containsText" text="Problem">
      <formula>NOT(ISERROR(SEARCH(("Problem"),(A711))))</formula>
    </cfRule>
  </conditionalFormatting>
  <conditionalFormatting sqref="E183:E210">
    <cfRule type="containsText" dxfId="0" priority="60" operator="containsText" text="Problem">
      <formula>NOT(ISERROR(SEARCH(("Problem"),(E183))))</formula>
    </cfRule>
  </conditionalFormatting>
  <conditionalFormatting sqref="E183:E210">
    <cfRule type="containsText" dxfId="0" priority="61" operator="containsText" text="Problem">
      <formula>NOT(ISERROR(SEARCH(("Problem"),(E183))))</formula>
    </cfRule>
  </conditionalFormatting>
  <conditionalFormatting sqref="E183:E210">
    <cfRule type="containsText" dxfId="0" priority="62" operator="containsText" text="Problem">
      <formula>NOT(ISERROR(SEARCH(("Problem"),(E183))))</formula>
    </cfRule>
  </conditionalFormatting>
  <conditionalFormatting sqref="I360:I387">
    <cfRule type="containsText" dxfId="0" priority="63" operator="containsText" text="Problem">
      <formula>NOT(ISERROR(SEARCH(("Problem"),(I360))))</formula>
    </cfRule>
  </conditionalFormatting>
  <conditionalFormatting sqref="I360:I387">
    <cfRule type="containsText" dxfId="0" priority="64" operator="containsText" text="Problem">
      <formula>NOT(ISERROR(SEARCH(("Problem"),(I360))))</formula>
    </cfRule>
  </conditionalFormatting>
  <conditionalFormatting sqref="I360:I387">
    <cfRule type="containsText" dxfId="0" priority="65" operator="containsText" text="Problem">
      <formula>NOT(ISERROR(SEARCH(("Problem"),(I360))))</formula>
    </cfRule>
  </conditionalFormatting>
  <conditionalFormatting sqref="I360:I387">
    <cfRule type="containsText" dxfId="0" priority="66" operator="containsText" text="Problem">
      <formula>NOT(ISERROR(SEARCH(("Problem"),(I360))))</formula>
    </cfRule>
  </conditionalFormatting>
  <conditionalFormatting sqref="I772">
    <cfRule type="containsText" dxfId="0" priority="67" operator="containsText" text="Problem">
      <formula>NOT(ISERROR(SEARCH(("Problem"),(I772))))</formula>
    </cfRule>
  </conditionalFormatting>
  <conditionalFormatting sqref="I772">
    <cfRule type="containsText" dxfId="0" priority="68" operator="containsText" text="Problem">
      <formula>NOT(ISERROR(SEARCH(("Problem"),(I772))))</formula>
    </cfRule>
  </conditionalFormatting>
  <conditionalFormatting sqref="I772">
    <cfRule type="containsText" dxfId="0" priority="69" operator="containsText" text="Problem">
      <formula>NOT(ISERROR(SEARCH(("Problem"),(I772))))</formula>
    </cfRule>
  </conditionalFormatting>
  <conditionalFormatting sqref="H654">
    <cfRule type="containsText" dxfId="0" priority="70" operator="containsText" text="Problem">
      <formula>NOT(ISERROR(SEARCH(("Problem"),(H654))))</formula>
    </cfRule>
  </conditionalFormatting>
  <conditionalFormatting sqref="H654">
    <cfRule type="containsText" dxfId="0" priority="71" operator="containsText" text="Problem">
      <formula>NOT(ISERROR(SEARCH(("Problem"),(H654))))</formula>
    </cfRule>
  </conditionalFormatting>
  <conditionalFormatting sqref="H654">
    <cfRule type="containsText" dxfId="0" priority="72" operator="containsText" text="Problem">
      <formula>NOT(ISERROR(SEARCH(("Problem"),(H654))))</formula>
    </cfRule>
  </conditionalFormatting>
  <conditionalFormatting sqref="I359">
    <cfRule type="containsText" dxfId="0" priority="73" operator="containsText" text="Problem">
      <formula>NOT(ISERROR(SEARCH(("Problem"),(I359))))</formula>
    </cfRule>
  </conditionalFormatting>
  <conditionalFormatting sqref="I359">
    <cfRule type="containsText" dxfId="0" priority="74" operator="containsText" text="Problem">
      <formula>NOT(ISERROR(SEARCH(("Problem"),(I359))))</formula>
    </cfRule>
  </conditionalFormatting>
  <conditionalFormatting sqref="I359">
    <cfRule type="containsText" dxfId="0" priority="75" operator="containsText" text="Problem">
      <formula>NOT(ISERROR(SEARCH(("Problem"),(I359))))</formula>
    </cfRule>
  </conditionalFormatting>
  <conditionalFormatting sqref="D742:D766">
    <cfRule type="containsText" dxfId="0" priority="76" operator="containsText" text="Problem">
      <formula>NOT(ISERROR(SEARCH(("Problem"),(D742))))</formula>
    </cfRule>
  </conditionalFormatting>
  <conditionalFormatting sqref="D742:D766">
    <cfRule type="containsText" dxfId="0" priority="77" operator="containsText" text="Problem">
      <formula>NOT(ISERROR(SEARCH(("Problem"),(D742))))</formula>
    </cfRule>
  </conditionalFormatting>
  <conditionalFormatting sqref="I654">
    <cfRule type="containsText" dxfId="0" priority="78" operator="containsText" text="Problem">
      <formula>NOT(ISERROR(SEARCH(("Problem"),(I654))))</formula>
    </cfRule>
  </conditionalFormatting>
  <conditionalFormatting sqref="I654">
    <cfRule type="containsText" dxfId="0" priority="79" operator="containsText" text="Problem">
      <formula>NOT(ISERROR(SEARCH(("Problem"),(I654))))</formula>
    </cfRule>
  </conditionalFormatting>
  <conditionalFormatting sqref="I654">
    <cfRule type="containsText" dxfId="0" priority="80" operator="containsText" text="Problem">
      <formula>NOT(ISERROR(SEARCH(("Problem"),(I654))))</formula>
    </cfRule>
  </conditionalFormatting>
  <conditionalFormatting sqref="F360:F387">
    <cfRule type="containsText" dxfId="0" priority="81" operator="containsText" text="Problem">
      <formula>NOT(ISERROR(SEARCH(("Problem"),(F360))))</formula>
    </cfRule>
  </conditionalFormatting>
  <conditionalFormatting sqref="F360:F387">
    <cfRule type="containsText" dxfId="0" priority="82" operator="containsText" text="Problem">
      <formula>NOT(ISERROR(SEARCH(("Problem"),(F360))))</formula>
    </cfRule>
  </conditionalFormatting>
  <conditionalFormatting sqref="F360:F387">
    <cfRule type="containsText" dxfId="0" priority="83" operator="containsText" text="Problem">
      <formula>NOT(ISERROR(SEARCH(("Problem"),(F360))))</formula>
    </cfRule>
  </conditionalFormatting>
  <conditionalFormatting sqref="A477:A532">
    <cfRule type="containsText" dxfId="0" priority="84" operator="containsText" text="Problem">
      <formula>NOT(ISERROR(SEARCH(("Problem"),(A477))))</formula>
    </cfRule>
  </conditionalFormatting>
  <conditionalFormatting sqref="A477:A532">
    <cfRule type="containsText" dxfId="0" priority="85" operator="containsText" text="Problem">
      <formula>NOT(ISERROR(SEARCH(("Problem"),(A477))))</formula>
    </cfRule>
  </conditionalFormatting>
  <conditionalFormatting sqref="A477:A532">
    <cfRule type="containsText" dxfId="0" priority="86" operator="containsText" text="Problem">
      <formula>NOT(ISERROR(SEARCH(("Problem"),(A477))))</formula>
    </cfRule>
  </conditionalFormatting>
  <conditionalFormatting sqref="E536">
    <cfRule type="containsText" dxfId="0" priority="87" operator="containsText" text="Problem">
      <formula>NOT(ISERROR(SEARCH(("Problem"),(E536))))</formula>
    </cfRule>
  </conditionalFormatting>
  <conditionalFormatting sqref="E536">
    <cfRule type="containsText" dxfId="0" priority="88" operator="containsText" text="Problem">
      <formula>NOT(ISERROR(SEARCH(("Problem"),(E536))))</formula>
    </cfRule>
  </conditionalFormatting>
  <conditionalFormatting sqref="E536">
    <cfRule type="containsText" dxfId="0" priority="89" operator="containsText" text="Problem">
      <formula>NOT(ISERROR(SEARCH(("Problem"),(E536))))</formula>
    </cfRule>
  </conditionalFormatting>
  <conditionalFormatting sqref="I831">
    <cfRule type="containsText" dxfId="0" priority="90" operator="containsText" text="Problem">
      <formula>NOT(ISERROR(SEARCH(("Problem"),(I831))))</formula>
    </cfRule>
  </conditionalFormatting>
  <conditionalFormatting sqref="I831">
    <cfRule type="containsText" dxfId="0" priority="91" operator="containsText" text="Problem">
      <formula>NOT(ISERROR(SEARCH(("Problem"),(I831))))</formula>
    </cfRule>
  </conditionalFormatting>
  <conditionalFormatting sqref="I831">
    <cfRule type="containsText" dxfId="0" priority="92" operator="containsText" text="Problem">
      <formula>NOT(ISERROR(SEARCH(("Problem"),(I831))))</formula>
    </cfRule>
  </conditionalFormatting>
  <conditionalFormatting sqref="H65:H92">
    <cfRule type="containsText" dxfId="0" priority="93" operator="containsText" text="Problem">
      <formula>NOT(ISERROR(SEARCH(("Problem"),(H65))))</formula>
    </cfRule>
  </conditionalFormatting>
  <conditionalFormatting sqref="H65:H92">
    <cfRule type="containsText" dxfId="0" priority="94" operator="containsText" text="Problem">
      <formula>NOT(ISERROR(SEARCH(("Problem"),(H65))))</formula>
    </cfRule>
  </conditionalFormatting>
  <conditionalFormatting sqref="H65:H92">
    <cfRule type="containsText" dxfId="0" priority="95" operator="containsText" text="Problem">
      <formula>NOT(ISERROR(SEARCH(("Problem"),(H65))))</formula>
    </cfRule>
  </conditionalFormatting>
  <conditionalFormatting sqref="I301:I328">
    <cfRule type="containsText" dxfId="0" priority="96" operator="containsText" text="Problem">
      <formula>NOT(ISERROR(SEARCH(("Problem"),(I301))))</formula>
    </cfRule>
  </conditionalFormatting>
  <conditionalFormatting sqref="I301:I328">
    <cfRule type="containsText" dxfId="0" priority="97" operator="containsText" text="Problem">
      <formula>NOT(ISERROR(SEARCH(("Problem"),(I301))))</formula>
    </cfRule>
  </conditionalFormatting>
  <conditionalFormatting sqref="I301:I328">
    <cfRule type="containsText" dxfId="0" priority="98" operator="containsText" text="Problem">
      <formula>NOT(ISERROR(SEARCH(("Problem"),(I301))))</formula>
    </cfRule>
  </conditionalFormatting>
  <conditionalFormatting sqref="I301:I328">
    <cfRule type="containsText" dxfId="0" priority="99" operator="containsText" text="Problem">
      <formula>NOT(ISERROR(SEARCH(("Problem"),(I301))))</formula>
    </cfRule>
  </conditionalFormatting>
  <conditionalFormatting sqref="A357 J357:P357">
    <cfRule type="containsText" dxfId="0" priority="100" operator="containsText" text="Problem">
      <formula>NOT(ISERROR(SEARCH(("Problem"),(A357))))</formula>
    </cfRule>
  </conditionalFormatting>
  <conditionalFormatting sqref="A357 J357:P357">
    <cfRule type="containsText" dxfId="0" priority="101" operator="containsText" text="Problem">
      <formula>NOT(ISERROR(SEARCH(("Problem"),(A357))))</formula>
    </cfRule>
  </conditionalFormatting>
  <conditionalFormatting sqref="A357 J357:P357">
    <cfRule type="containsText" dxfId="0" priority="102" operator="containsText" text="Problem">
      <formula>NOT(ISERROR(SEARCH(("Problem"),(A357))))</formula>
    </cfRule>
  </conditionalFormatting>
  <conditionalFormatting sqref="D301:D328">
    <cfRule type="containsText" dxfId="0" priority="103" operator="containsText" text="Problem">
      <formula>NOT(ISERROR(SEARCH(("Problem"),(D301))))</formula>
    </cfRule>
  </conditionalFormatting>
  <conditionalFormatting sqref="D301:D328">
    <cfRule type="containsText" dxfId="0" priority="104" operator="containsText" text="Problem">
      <formula>NOT(ISERROR(SEARCH(("Problem"),(D301))))</formula>
    </cfRule>
  </conditionalFormatting>
  <conditionalFormatting sqref="D301:D328">
    <cfRule type="containsText" dxfId="0" priority="105" operator="containsText" text="Problem">
      <formula>NOT(ISERROR(SEARCH(("Problem"),(D301))))</formula>
    </cfRule>
  </conditionalFormatting>
  <conditionalFormatting sqref="A772:A827">
    <cfRule type="containsText" dxfId="0" priority="106" operator="containsText" text="Problem">
      <formula>NOT(ISERROR(SEARCH(("Problem"),(A772))))</formula>
    </cfRule>
  </conditionalFormatting>
  <conditionalFormatting sqref="A772:A827">
    <cfRule type="containsText" dxfId="0" priority="107" operator="containsText" text="Problem">
      <formula>NOT(ISERROR(SEARCH(("Problem"),(A772))))</formula>
    </cfRule>
  </conditionalFormatting>
  <conditionalFormatting sqref="A772:A827">
    <cfRule type="containsText" dxfId="0" priority="108" operator="containsText" text="Problem">
      <formula>NOT(ISERROR(SEARCH(("Problem"),(A772))))</formula>
    </cfRule>
  </conditionalFormatting>
  <conditionalFormatting sqref="C239 E239:I239">
    <cfRule type="containsText" dxfId="0" priority="109" operator="containsText" text="Problem">
      <formula>NOT(ISERROR(SEARCH(("Problem"),(C239))))</formula>
    </cfRule>
  </conditionalFormatting>
  <conditionalFormatting sqref="C239 E239:I239">
    <cfRule type="containsText" dxfId="0" priority="110" operator="containsText" text="Problem">
      <formula>NOT(ISERROR(SEARCH(("Problem"),(C239))))</formula>
    </cfRule>
  </conditionalFormatting>
  <conditionalFormatting sqref="C239 E239:I239">
    <cfRule type="containsText" dxfId="0" priority="111" operator="containsText" text="Problem">
      <formula>NOT(ISERROR(SEARCH(("Problem"),(C239))))</formula>
    </cfRule>
  </conditionalFormatting>
  <conditionalFormatting sqref="D60 E35:H60">
    <cfRule type="containsText" dxfId="0" priority="112" operator="containsText" text="Problem">
      <formula>NOT(ISERROR(SEARCH(("Problem"),(D60))))</formula>
    </cfRule>
  </conditionalFormatting>
  <conditionalFormatting sqref="D60 E35:H60">
    <cfRule type="containsText" dxfId="0" priority="113" operator="containsText" text="Problem">
      <formula>NOT(ISERROR(SEARCH(("Problem"),(D60))))</formula>
    </cfRule>
  </conditionalFormatting>
  <conditionalFormatting sqref="D60 E35:H60">
    <cfRule type="containsText" dxfId="0" priority="114" operator="containsText" text="Problem">
      <formula>NOT(ISERROR(SEARCH(("Problem"),(D60))))</formula>
    </cfRule>
  </conditionalFormatting>
  <conditionalFormatting sqref="A771:I771 A828:H828 I801:I828 J771:P828">
    <cfRule type="containsText" dxfId="0" priority="115" operator="containsText" text="Problem">
      <formula>NOT(ISERROR(SEARCH(("Problem"),(A771))))</formula>
    </cfRule>
  </conditionalFormatting>
  <conditionalFormatting sqref="A771:I771 A828:H828 I801:I828 J771:P828">
    <cfRule type="containsText" dxfId="0" priority="116" operator="containsText" text="Problem">
      <formula>NOT(ISERROR(SEARCH(("Problem"),(A771))))</formula>
    </cfRule>
  </conditionalFormatting>
  <conditionalFormatting sqref="A771:I771 A828:H828 I801:I828 J771:P828">
    <cfRule type="containsText" dxfId="0" priority="117" operator="containsText" text="Problem">
      <formula>NOT(ISERROR(SEARCH(("Problem"),(A771))))</formula>
    </cfRule>
  </conditionalFormatting>
  <conditionalFormatting sqref="I64">
    <cfRule type="containsText" dxfId="0" priority="118" operator="containsText" text="Problem">
      <formula>NOT(ISERROR(SEARCH(("Problem"),(I64))))</formula>
    </cfRule>
  </conditionalFormatting>
  <conditionalFormatting sqref="I64">
    <cfRule type="containsText" dxfId="0" priority="119" operator="containsText" text="Problem">
      <formula>NOT(ISERROR(SEARCH(("Problem"),(I64))))</formula>
    </cfRule>
  </conditionalFormatting>
  <conditionalFormatting sqref="I64">
    <cfRule type="containsText" dxfId="0" priority="120" operator="containsText" text="Problem">
      <formula>NOT(ISERROR(SEARCH(("Problem"),(I64))))</formula>
    </cfRule>
  </conditionalFormatting>
  <conditionalFormatting sqref="H419:H446">
    <cfRule type="containsText" dxfId="0" priority="121" operator="containsText" text="Problem">
      <formula>NOT(ISERROR(SEARCH(("Problem"),(H419))))</formula>
    </cfRule>
  </conditionalFormatting>
  <conditionalFormatting sqref="H419:H446">
    <cfRule type="containsText" dxfId="0" priority="122" operator="containsText" text="Problem">
      <formula>NOT(ISERROR(SEARCH(("Problem"),(H419))))</formula>
    </cfRule>
  </conditionalFormatting>
  <conditionalFormatting sqref="H419:H446">
    <cfRule type="containsText" dxfId="0" priority="123" operator="containsText" text="Problem">
      <formula>NOT(ISERROR(SEARCH(("Problem"),(H419))))</formula>
    </cfRule>
  </conditionalFormatting>
  <conditionalFormatting sqref="F65:F92">
    <cfRule type="containsText" dxfId="0" priority="124" operator="containsText" text="Problem">
      <formula>NOT(ISERROR(SEARCH(("Problem"),(F65))))</formula>
    </cfRule>
  </conditionalFormatting>
  <conditionalFormatting sqref="F65:F92">
    <cfRule type="containsText" dxfId="0" priority="125" operator="containsText" text="Problem">
      <formula>NOT(ISERROR(SEARCH(("Problem"),(F65))))</formula>
    </cfRule>
  </conditionalFormatting>
  <conditionalFormatting sqref="F65:F92">
    <cfRule type="containsText" dxfId="0" priority="126" operator="containsText" text="Problem">
      <formula>NOT(ISERROR(SEARCH(("Problem"),(F65))))</formula>
    </cfRule>
  </conditionalFormatting>
  <conditionalFormatting sqref="G359">
    <cfRule type="containsText" dxfId="0" priority="127" operator="containsText" text="Problem">
      <formula>NOT(ISERROR(SEARCH(("Problem"),(G359))))</formula>
    </cfRule>
  </conditionalFormatting>
  <conditionalFormatting sqref="G359">
    <cfRule type="containsText" dxfId="0" priority="128" operator="containsText" text="Problem">
      <formula>NOT(ISERROR(SEARCH(("Problem"),(G359))))</formula>
    </cfRule>
  </conditionalFormatting>
  <conditionalFormatting sqref="G359">
    <cfRule type="containsText" dxfId="0" priority="129" operator="containsText" text="Problem">
      <formula>NOT(ISERROR(SEARCH(("Problem"),(G359))))</formula>
    </cfRule>
  </conditionalFormatting>
  <conditionalFormatting sqref="H418">
    <cfRule type="containsText" dxfId="0" priority="130" operator="containsText" text="Problem">
      <formula>NOT(ISERROR(SEARCH(("Problem"),(H418))))</formula>
    </cfRule>
  </conditionalFormatting>
  <conditionalFormatting sqref="H418">
    <cfRule type="containsText" dxfId="0" priority="131" operator="containsText" text="Problem">
      <formula>NOT(ISERROR(SEARCH(("Problem"),(H418))))</formula>
    </cfRule>
  </conditionalFormatting>
  <conditionalFormatting sqref="H418">
    <cfRule type="containsText" dxfId="0" priority="132" operator="containsText" text="Problem">
      <formula>NOT(ISERROR(SEARCH(("Problem"),(H418))))</formula>
    </cfRule>
  </conditionalFormatting>
  <conditionalFormatting sqref="D624:D648">
    <cfRule type="containsText" dxfId="0" priority="133" operator="containsText" text="Problem">
      <formula>NOT(ISERROR(SEARCH(("Problem"),(D624))))</formula>
    </cfRule>
  </conditionalFormatting>
  <conditionalFormatting sqref="D624:D648">
    <cfRule type="containsText" dxfId="0" priority="134" operator="containsText" text="Problem">
      <formula>NOT(ISERROR(SEARCH(("Problem"),(D624))))</formula>
    </cfRule>
  </conditionalFormatting>
  <conditionalFormatting sqref="E595">
    <cfRule type="containsText" dxfId="0" priority="135" operator="containsText" text="Problem">
      <formula>NOT(ISERROR(SEARCH(("Problem"),(E595))))</formula>
    </cfRule>
  </conditionalFormatting>
  <conditionalFormatting sqref="E595">
    <cfRule type="containsText" dxfId="0" priority="136" operator="containsText" text="Problem">
      <formula>NOT(ISERROR(SEARCH(("Problem"),(E595))))</formula>
    </cfRule>
  </conditionalFormatting>
  <conditionalFormatting sqref="E595">
    <cfRule type="containsText" dxfId="0" priority="137" operator="containsText" text="Problem">
      <formula>NOT(ISERROR(SEARCH(("Problem"),(E595))))</formula>
    </cfRule>
  </conditionalFormatting>
  <conditionalFormatting sqref="A358:I358 A415:H415 I388:I415 J358:P415">
    <cfRule type="containsText" dxfId="0" priority="138" operator="containsText" text="Problem">
      <formula>NOT(ISERROR(SEARCH(("Problem"),(A358))))</formula>
    </cfRule>
  </conditionalFormatting>
  <conditionalFormatting sqref="A358:I358 A415:H415 I388:I415 J358:P415">
    <cfRule type="containsText" dxfId="0" priority="139" operator="containsText" text="Problem">
      <formula>NOT(ISERROR(SEARCH(("Problem"),(A358))))</formula>
    </cfRule>
  </conditionalFormatting>
  <conditionalFormatting sqref="A358:I358 A415:H415 I388:I415 J358:P415">
    <cfRule type="containsText" dxfId="0" priority="140" operator="containsText" text="Problem">
      <formula>NOT(ISERROR(SEARCH(("Problem"),(A358))))</formula>
    </cfRule>
  </conditionalFormatting>
  <conditionalFormatting sqref="H478:H505">
    <cfRule type="containsText" dxfId="0" priority="141" operator="containsText" text="Problem">
      <formula>NOT(ISERROR(SEARCH(("Problem"),(H478))))</formula>
    </cfRule>
  </conditionalFormatting>
  <conditionalFormatting sqref="H478:H505">
    <cfRule type="containsText" dxfId="0" priority="142" operator="containsText" text="Problem">
      <formula>NOT(ISERROR(SEARCH(("Problem"),(H478))))</formula>
    </cfRule>
  </conditionalFormatting>
  <conditionalFormatting sqref="H478:H505">
    <cfRule type="containsText" dxfId="0" priority="143" operator="containsText" text="Problem">
      <formula>NOT(ISERROR(SEARCH(("Problem"),(H478))))</formula>
    </cfRule>
  </conditionalFormatting>
  <conditionalFormatting sqref="D801:D825">
    <cfRule type="containsText" dxfId="0" priority="144" operator="containsText" text="Problem">
      <formula>NOT(ISERROR(SEARCH(("Problem"),(D801))))</formula>
    </cfRule>
  </conditionalFormatting>
  <conditionalFormatting sqref="D801:D825">
    <cfRule type="containsText" dxfId="0" priority="145" operator="containsText" text="Problem">
      <formula>NOT(ISERROR(SEARCH(("Problem"),(D801))))</formula>
    </cfRule>
  </conditionalFormatting>
  <conditionalFormatting sqref="I419:I446">
    <cfRule type="containsText" dxfId="0" priority="146" operator="containsText" text="Problem">
      <formula>NOT(ISERROR(SEARCH(("Problem"),(I419))))</formula>
    </cfRule>
  </conditionalFormatting>
  <conditionalFormatting sqref="I419:I446">
    <cfRule type="containsText" dxfId="0" priority="147" operator="containsText" text="Problem">
      <formula>NOT(ISERROR(SEARCH(("Problem"),(I419))))</formula>
    </cfRule>
  </conditionalFormatting>
  <conditionalFormatting sqref="I419:I446">
    <cfRule type="containsText" dxfId="0" priority="148" operator="containsText" text="Problem">
      <formula>NOT(ISERROR(SEARCH(("Problem"),(I419))))</formula>
    </cfRule>
  </conditionalFormatting>
  <conditionalFormatting sqref="I419:I446">
    <cfRule type="containsText" dxfId="0" priority="149" operator="containsText" text="Problem">
      <formula>NOT(ISERROR(SEARCH(("Problem"),(I419))))</formula>
    </cfRule>
  </conditionalFormatting>
  <conditionalFormatting sqref="F832:F859">
    <cfRule type="containsText" dxfId="0" priority="150" operator="containsText" text="Problem">
      <formula>NOT(ISERROR(SEARCH(("Problem"),(F832))))</formula>
    </cfRule>
  </conditionalFormatting>
  <conditionalFormatting sqref="F832:F859">
    <cfRule type="containsText" dxfId="0" priority="151" operator="containsText" text="Problem">
      <formula>NOT(ISERROR(SEARCH(("Problem"),(F832))))</formula>
    </cfRule>
  </conditionalFormatting>
  <conditionalFormatting sqref="F832:F859">
    <cfRule type="containsText" dxfId="0" priority="152" operator="containsText" text="Problem">
      <formula>NOT(ISERROR(SEARCH(("Problem"),(F832))))</formula>
    </cfRule>
  </conditionalFormatting>
  <conditionalFormatting sqref="G477">
    <cfRule type="containsText" dxfId="0" priority="153" operator="containsText" text="Problem">
      <formula>NOT(ISERROR(SEARCH(("Problem"),(G477))))</formula>
    </cfRule>
  </conditionalFormatting>
  <conditionalFormatting sqref="G477">
    <cfRule type="containsText" dxfId="0" priority="154" operator="containsText" text="Problem">
      <formula>NOT(ISERROR(SEARCH(("Problem"),(G477))))</formula>
    </cfRule>
  </conditionalFormatting>
  <conditionalFormatting sqref="G477">
    <cfRule type="containsText" dxfId="0" priority="155" operator="containsText" text="Problem">
      <formula>NOT(ISERROR(SEARCH(("Problem"),(G477))))</formula>
    </cfRule>
  </conditionalFormatting>
  <conditionalFormatting sqref="E418">
    <cfRule type="containsText" dxfId="0" priority="156" operator="containsText" text="Problem">
      <formula>NOT(ISERROR(SEARCH(("Problem"),(E418))))</formula>
    </cfRule>
  </conditionalFormatting>
  <conditionalFormatting sqref="E418">
    <cfRule type="containsText" dxfId="0" priority="157" operator="containsText" text="Problem">
      <formula>NOT(ISERROR(SEARCH(("Problem"),(E418))))</formula>
    </cfRule>
  </conditionalFormatting>
  <conditionalFormatting sqref="E418">
    <cfRule type="containsText" dxfId="0" priority="158" operator="containsText" text="Problem">
      <formula>NOT(ISERROR(SEARCH(("Problem"),(E418))))</formula>
    </cfRule>
  </conditionalFormatting>
  <conditionalFormatting sqref="H772">
    <cfRule type="containsText" dxfId="0" priority="159" operator="containsText" text="Problem">
      <formula>NOT(ISERROR(SEARCH(("Problem"),(H772))))</formula>
    </cfRule>
  </conditionalFormatting>
  <conditionalFormatting sqref="H772">
    <cfRule type="containsText" dxfId="0" priority="160" operator="containsText" text="Problem">
      <formula>NOT(ISERROR(SEARCH(("Problem"),(H772))))</formula>
    </cfRule>
  </conditionalFormatting>
  <conditionalFormatting sqref="H772">
    <cfRule type="containsText" dxfId="0" priority="161" operator="containsText" text="Problem">
      <formula>NOT(ISERROR(SEARCH(("Problem"),(H772))))</formula>
    </cfRule>
  </conditionalFormatting>
  <conditionalFormatting sqref="C298 E298:I298">
    <cfRule type="containsText" dxfId="0" priority="162" operator="containsText" text="Problem">
      <formula>NOT(ISERROR(SEARCH(("Problem"),(C298))))</formula>
    </cfRule>
  </conditionalFormatting>
  <conditionalFormatting sqref="C298 E298:I298">
    <cfRule type="containsText" dxfId="0" priority="163" operator="containsText" text="Problem">
      <formula>NOT(ISERROR(SEARCH(("Problem"),(C298))))</formula>
    </cfRule>
  </conditionalFormatting>
  <conditionalFormatting sqref="C298 E298:I298">
    <cfRule type="containsText" dxfId="0" priority="164" operator="containsText" text="Problem">
      <formula>NOT(ISERROR(SEARCH(("Problem"),(C298))))</formula>
    </cfRule>
  </conditionalFormatting>
  <conditionalFormatting sqref="A830:I830 A887:H887 I860:I887 J830:P887">
    <cfRule type="containsText" dxfId="0" priority="165" operator="containsText" text="Problem">
      <formula>NOT(ISERROR(SEARCH(("Problem"),(A830))))</formula>
    </cfRule>
  </conditionalFormatting>
  <conditionalFormatting sqref="A830:I830 A887:H887 I860:I887 J830:P887">
    <cfRule type="containsText" dxfId="0" priority="166" operator="containsText" text="Problem">
      <formula>NOT(ISERROR(SEARCH(("Problem"),(A830))))</formula>
    </cfRule>
  </conditionalFormatting>
  <conditionalFormatting sqref="A830:I830 A887:H887 I860:I887 J830:P887">
    <cfRule type="containsText" dxfId="0" priority="167" operator="containsText" text="Problem">
      <formula>NOT(ISERROR(SEARCH(("Problem"),(A830))))</formula>
    </cfRule>
  </conditionalFormatting>
  <conditionalFormatting sqref="B868:C868 B880:B883 B885:C886 C837:C867 C877:C883">
    <cfRule type="containsText" dxfId="0" priority="168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169" operator="containsText" text="Problem">
      <formula>NOT(ISERROR(SEARCH(("Problem"),(B868))))</formula>
    </cfRule>
  </conditionalFormatting>
  <conditionalFormatting sqref="B868:C868 B880:B883 B885:C886 C837:C867 C877:C883">
    <cfRule type="containsText" dxfId="0" priority="170" operator="containsText" text="Problem">
      <formula>NOT(ISERROR(SEARCH(("Problem"),(B868))))</formula>
    </cfRule>
  </conditionalFormatting>
  <conditionalFormatting sqref="H241">
    <cfRule type="containsText" dxfId="0" priority="171" operator="containsText" text="Problem">
      <formula>NOT(ISERROR(SEARCH(("Problem"),(H241))))</formula>
    </cfRule>
  </conditionalFormatting>
  <conditionalFormatting sqref="H241">
    <cfRule type="containsText" dxfId="0" priority="172" operator="containsText" text="Problem">
      <formula>NOT(ISERROR(SEARCH(("Problem"),(H241))))</formula>
    </cfRule>
  </conditionalFormatting>
  <conditionalFormatting sqref="H241">
    <cfRule type="containsText" dxfId="0" priority="173" operator="containsText" text="Problem">
      <formula>NOT(ISERROR(SEARCH(("Problem"),(H241))))</formula>
    </cfRule>
  </conditionalFormatting>
  <conditionalFormatting sqref="D708:D709 E683:H709">
    <cfRule type="containsText" dxfId="0" priority="174" operator="containsText" text="Problem">
      <formula>NOT(ISERROR(SEARCH(("Problem"),(D708))))</formula>
    </cfRule>
  </conditionalFormatting>
  <conditionalFormatting sqref="D708:D709 E683:H709">
    <cfRule type="containsText" dxfId="0" priority="175" operator="containsText" text="Problem">
      <formula>NOT(ISERROR(SEARCH(("Problem"),(D708))))</formula>
    </cfRule>
  </conditionalFormatting>
  <conditionalFormatting sqref="D708:D709 E683:H709">
    <cfRule type="containsText" dxfId="0" priority="176" operator="containsText" text="Problem">
      <formula>NOT(ISERROR(SEARCH(("Problem"),(D708))))</formula>
    </cfRule>
  </conditionalFormatting>
  <conditionalFormatting sqref="E891:I945">
    <cfRule type="containsText" dxfId="0" priority="177" operator="containsText" text="Problem">
      <formula>NOT(ISERROR(SEARCH(("Problem"),(E891))))</formula>
    </cfRule>
  </conditionalFormatting>
  <conditionalFormatting sqref="E891:I945">
    <cfRule type="containsText" dxfId="0" priority="178" operator="containsText" text="Problem">
      <formula>NOT(ISERROR(SEARCH(("Problem"),(E891))))</formula>
    </cfRule>
  </conditionalFormatting>
  <conditionalFormatting sqref="E891:I945">
    <cfRule type="containsText" dxfId="0" priority="179" operator="containsText" text="Problem">
      <formula>NOT(ISERROR(SEARCH(("Problem"),(E891))))</formula>
    </cfRule>
  </conditionalFormatting>
  <conditionalFormatting sqref="B632:C632 B644:B647 B649:C650 C601:C631 C641:C647">
    <cfRule type="containsText" dxfId="0" priority="180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181" operator="containsText" text="Problem">
      <formula>NOT(ISERROR(SEARCH(("Problem"),(B632))))</formula>
    </cfRule>
  </conditionalFormatting>
  <conditionalFormatting sqref="B632:C632 B644:B647 B649:C650 C601:C631 C641:C647">
    <cfRule type="containsText" dxfId="0" priority="182" operator="containsText" text="Problem">
      <formula>NOT(ISERROR(SEARCH(("Problem"),(B632))))</formula>
    </cfRule>
  </conditionalFormatting>
  <conditionalFormatting sqref="H359">
    <cfRule type="containsText" dxfId="0" priority="183" operator="containsText" text="Problem">
      <formula>NOT(ISERROR(SEARCH(("Problem"),(H359))))</formula>
    </cfRule>
  </conditionalFormatting>
  <conditionalFormatting sqref="H359">
    <cfRule type="containsText" dxfId="0" priority="184" operator="containsText" text="Problem">
      <formula>NOT(ISERROR(SEARCH(("Problem"),(H359))))</formula>
    </cfRule>
  </conditionalFormatting>
  <conditionalFormatting sqref="H359">
    <cfRule type="containsText" dxfId="0" priority="185" operator="containsText" text="Problem">
      <formula>NOT(ISERROR(SEARCH(("Problem"),(H359))))</formula>
    </cfRule>
  </conditionalFormatting>
  <conditionalFormatting sqref="F123">
    <cfRule type="containsText" dxfId="0" priority="186" operator="containsText" text="Problem">
      <formula>NOT(ISERROR(SEARCH(("Problem"),(F123))))</formula>
    </cfRule>
  </conditionalFormatting>
  <conditionalFormatting sqref="F123">
    <cfRule type="containsText" dxfId="0" priority="187" operator="containsText" text="Problem">
      <formula>NOT(ISERROR(SEARCH(("Problem"),(F123))))</formula>
    </cfRule>
  </conditionalFormatting>
  <conditionalFormatting sqref="F123">
    <cfRule type="containsText" dxfId="0" priority="188" operator="containsText" text="Problem">
      <formula>NOT(ISERROR(SEARCH(("Problem"),(F123))))</formula>
    </cfRule>
  </conditionalFormatting>
  <conditionalFormatting sqref="A63:I63 A120:H120 I93:I120 J63:P120">
    <cfRule type="containsText" dxfId="0" priority="189" operator="containsText" text="Problem">
      <formula>NOT(ISERROR(SEARCH(("Problem"),(A63))))</formula>
    </cfRule>
  </conditionalFormatting>
  <conditionalFormatting sqref="A63:I63 A120:H120 I93:I120 J63:P120">
    <cfRule type="containsText" dxfId="0" priority="190" operator="containsText" text="Problem">
      <formula>NOT(ISERROR(SEARCH(("Problem"),(A63))))</formula>
    </cfRule>
  </conditionalFormatting>
  <conditionalFormatting sqref="A63:I63 A120:H120 I93:I120 J63:P120">
    <cfRule type="containsText" dxfId="0" priority="191" operator="containsText" text="Problem">
      <formula>NOT(ISERROR(SEARCH(("Problem"),(A63))))</formula>
    </cfRule>
  </conditionalFormatting>
  <conditionalFormatting sqref="A770 J770:P770">
    <cfRule type="containsText" dxfId="0" priority="192" operator="containsText" text="Problem">
      <formula>NOT(ISERROR(SEARCH(("Problem"),(A770))))</formula>
    </cfRule>
  </conditionalFormatting>
  <conditionalFormatting sqref="A770 J770:P770">
    <cfRule type="containsText" dxfId="0" priority="193" operator="containsText" text="Problem">
      <formula>NOT(ISERROR(SEARCH(("Problem"),(A770))))</formula>
    </cfRule>
  </conditionalFormatting>
  <conditionalFormatting sqref="A770 J770:P770">
    <cfRule type="containsText" dxfId="0" priority="194" operator="containsText" text="Problem">
      <formula>NOT(ISERROR(SEARCH(("Problem"),(A770))))</formula>
    </cfRule>
  </conditionalFormatting>
  <conditionalFormatting sqref="D360:D387">
    <cfRule type="containsText" dxfId="0" priority="195" operator="containsText" text="Problem">
      <formula>NOT(ISERROR(SEARCH(("Problem"),(D360))))</formula>
    </cfRule>
  </conditionalFormatting>
  <conditionalFormatting sqref="D360:D387">
    <cfRule type="containsText" dxfId="0" priority="196" operator="containsText" text="Problem">
      <formula>NOT(ISERROR(SEARCH(("Problem"),(D360))))</formula>
    </cfRule>
  </conditionalFormatting>
  <conditionalFormatting sqref="D360:D387">
    <cfRule type="containsText" dxfId="0" priority="197" operator="containsText" text="Problem">
      <formula>NOT(ISERROR(SEARCH(("Problem"),(D360))))</formula>
    </cfRule>
  </conditionalFormatting>
  <conditionalFormatting sqref="H124:H151">
    <cfRule type="containsText" dxfId="0" priority="198" operator="containsText" text="Problem">
      <formula>NOT(ISERROR(SEARCH(("Problem"),(H124))))</formula>
    </cfRule>
  </conditionalFormatting>
  <conditionalFormatting sqref="H124:H151">
    <cfRule type="containsText" dxfId="0" priority="199" operator="containsText" text="Problem">
      <formula>NOT(ISERROR(SEARCH(("Problem"),(H124))))</formula>
    </cfRule>
  </conditionalFormatting>
  <conditionalFormatting sqref="H124:H151">
    <cfRule type="containsText" dxfId="0" priority="200" operator="containsText" text="Problem">
      <formula>NOT(ISERROR(SEARCH(("Problem"),(H124))))</formula>
    </cfRule>
  </conditionalFormatting>
  <conditionalFormatting sqref="F183:F210">
    <cfRule type="containsText" dxfId="0" priority="201" operator="containsText" text="Problem">
      <formula>NOT(ISERROR(SEARCH(("Problem"),(F183))))</formula>
    </cfRule>
  </conditionalFormatting>
  <conditionalFormatting sqref="F183:F210">
    <cfRule type="containsText" dxfId="0" priority="202" operator="containsText" text="Problem">
      <formula>NOT(ISERROR(SEARCH(("Problem"),(F183))))</formula>
    </cfRule>
  </conditionalFormatting>
  <conditionalFormatting sqref="F183:F210">
    <cfRule type="containsText" dxfId="0" priority="203" operator="containsText" text="Problem">
      <formula>NOT(ISERROR(SEARCH(("Problem"),(F183))))</formula>
    </cfRule>
  </conditionalFormatting>
  <conditionalFormatting sqref="I183:I210">
    <cfRule type="containsText" dxfId="0" priority="204" operator="containsText" text="Problem">
      <formula>NOT(ISERROR(SEARCH(("Problem"),(I183))))</formula>
    </cfRule>
  </conditionalFormatting>
  <conditionalFormatting sqref="I183:I210">
    <cfRule type="containsText" dxfId="0" priority="205" operator="containsText" text="Problem">
      <formula>NOT(ISERROR(SEARCH(("Problem"),(I183))))</formula>
    </cfRule>
  </conditionalFormatting>
  <conditionalFormatting sqref="I183:I210">
    <cfRule type="containsText" dxfId="0" priority="206" operator="containsText" text="Problem">
      <formula>NOT(ISERROR(SEARCH(("Problem"),(I183))))</formula>
    </cfRule>
  </conditionalFormatting>
  <conditionalFormatting sqref="I183:I210">
    <cfRule type="containsText" dxfId="0" priority="207" operator="containsText" text="Problem">
      <formula>NOT(ISERROR(SEARCH(("Problem"),(I183))))</formula>
    </cfRule>
  </conditionalFormatting>
  <conditionalFormatting sqref="H301:H328">
    <cfRule type="containsText" dxfId="0" priority="208" operator="containsText" text="Problem">
      <formula>NOT(ISERROR(SEARCH(("Problem"),(H301))))</formula>
    </cfRule>
  </conditionalFormatting>
  <conditionalFormatting sqref="H301:H328">
    <cfRule type="containsText" dxfId="0" priority="209" operator="containsText" text="Problem">
      <formula>NOT(ISERROR(SEARCH(("Problem"),(H301))))</formula>
    </cfRule>
  </conditionalFormatting>
  <conditionalFormatting sqref="H301:H328">
    <cfRule type="containsText" dxfId="0" priority="210" operator="containsText" text="Problem">
      <formula>NOT(ISERROR(SEARCH(("Problem"),(H301))))</formula>
    </cfRule>
  </conditionalFormatting>
  <conditionalFormatting sqref="D531:D532 E506:H532">
    <cfRule type="containsText" dxfId="0" priority="211" operator="containsText" text="Problem">
      <formula>NOT(ISERROR(SEARCH(("Problem"),(D531))))</formula>
    </cfRule>
  </conditionalFormatting>
  <conditionalFormatting sqref="D531:D532 E506:H532">
    <cfRule type="containsText" dxfId="0" priority="212" operator="containsText" text="Problem">
      <formula>NOT(ISERROR(SEARCH(("Problem"),(D531))))</formula>
    </cfRule>
  </conditionalFormatting>
  <conditionalFormatting sqref="D531:D532 E506:H532">
    <cfRule type="containsText" dxfId="0" priority="213" operator="containsText" text="Problem">
      <formula>NOT(ISERROR(SEARCH(("Problem"),(D531))))</formula>
    </cfRule>
  </conditionalFormatting>
  <conditionalFormatting sqref="C593 E593:I593">
    <cfRule type="containsText" dxfId="0" priority="214" operator="containsText" text="Problem">
      <formula>NOT(ISERROR(SEARCH(("Problem"),(C593))))</formula>
    </cfRule>
  </conditionalFormatting>
  <conditionalFormatting sqref="C593 E593:I593">
    <cfRule type="containsText" dxfId="0" priority="215" operator="containsText" text="Problem">
      <formula>NOT(ISERROR(SEARCH(("Problem"),(C593))))</formula>
    </cfRule>
  </conditionalFormatting>
  <conditionalFormatting sqref="C593 E593:I593">
    <cfRule type="containsText" dxfId="0" priority="216" operator="containsText" text="Problem">
      <formula>NOT(ISERROR(SEARCH(("Problem"),(C593))))</formula>
    </cfRule>
  </conditionalFormatting>
  <conditionalFormatting sqref="B750:C750 B762:B765 B767:C768 C719:C749 C759:C765">
    <cfRule type="containsText" dxfId="0" priority="217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218" operator="containsText" text="Problem">
      <formula>NOT(ISERROR(SEARCH(("Problem"),(B750))))</formula>
    </cfRule>
  </conditionalFormatting>
  <conditionalFormatting sqref="B750:C750 B762:B765 B767:C768 C719:C749 C759:C765">
    <cfRule type="containsText" dxfId="0" priority="219" operator="containsText" text="Problem">
      <formula>NOT(ISERROR(SEARCH(("Problem"),(B750))))</formula>
    </cfRule>
  </conditionalFormatting>
  <conditionalFormatting sqref="A418:A473">
    <cfRule type="containsText" dxfId="0" priority="220" operator="containsText" text="Problem">
      <formula>NOT(ISERROR(SEARCH(("Problem"),(A418))))</formula>
    </cfRule>
  </conditionalFormatting>
  <conditionalFormatting sqref="A418:A473">
    <cfRule type="containsText" dxfId="0" priority="221" operator="containsText" text="Problem">
      <formula>NOT(ISERROR(SEARCH(("Problem"),(A418))))</formula>
    </cfRule>
  </conditionalFormatting>
  <conditionalFormatting sqref="A418:A473">
    <cfRule type="containsText" dxfId="0" priority="222" operator="containsText" text="Problem">
      <formula>NOT(ISERROR(SEARCH(("Problem"),(A418))))</formula>
    </cfRule>
  </conditionalFormatting>
  <conditionalFormatting sqref="F182">
    <cfRule type="containsText" dxfId="0" priority="223" operator="containsText" text="Problem">
      <formula>NOT(ISERROR(SEARCH(("Problem"),(F182))))</formula>
    </cfRule>
  </conditionalFormatting>
  <conditionalFormatting sqref="F182">
    <cfRule type="containsText" dxfId="0" priority="224" operator="containsText" text="Problem">
      <formula>NOT(ISERROR(SEARCH(("Problem"),(F182))))</formula>
    </cfRule>
  </conditionalFormatting>
  <conditionalFormatting sqref="F182">
    <cfRule type="containsText" dxfId="0" priority="225" operator="containsText" text="Problem">
      <formula>NOT(ISERROR(SEARCH(("Problem"),(F182))))</formula>
    </cfRule>
  </conditionalFormatting>
  <conditionalFormatting sqref="A593 J593:P593">
    <cfRule type="containsText" dxfId="0" priority="226" operator="containsText" text="Problem">
      <formula>NOT(ISERROR(SEARCH(("Problem"),(A593))))</formula>
    </cfRule>
  </conditionalFormatting>
  <conditionalFormatting sqref="A593 J593:P593">
    <cfRule type="containsText" dxfId="0" priority="227" operator="containsText" text="Problem">
      <formula>NOT(ISERROR(SEARCH(("Problem"),(A593))))</formula>
    </cfRule>
  </conditionalFormatting>
  <conditionalFormatting sqref="A593 J593:P593">
    <cfRule type="containsText" dxfId="0" priority="228" operator="containsText" text="Problem">
      <formula>NOT(ISERROR(SEARCH(("Problem"),(A593))))</formula>
    </cfRule>
  </conditionalFormatting>
  <conditionalFormatting sqref="I478:I505">
    <cfRule type="containsText" dxfId="0" priority="229" operator="containsText" text="Problem">
      <formula>NOT(ISERROR(SEARCH(("Problem"),(I478))))</formula>
    </cfRule>
  </conditionalFormatting>
  <conditionalFormatting sqref="I478:I505">
    <cfRule type="containsText" dxfId="0" priority="230" operator="containsText" text="Problem">
      <formula>NOT(ISERROR(SEARCH(("Problem"),(I478))))</formula>
    </cfRule>
  </conditionalFormatting>
  <conditionalFormatting sqref="I478:I505">
    <cfRule type="containsText" dxfId="0" priority="231" operator="containsText" text="Problem">
      <formula>NOT(ISERROR(SEARCH(("Problem"),(I478))))</formula>
    </cfRule>
  </conditionalFormatting>
  <conditionalFormatting sqref="I478:I505">
    <cfRule type="containsText" dxfId="0" priority="232" operator="containsText" text="Problem">
      <formula>NOT(ISERROR(SEARCH(("Problem"),(I478))))</formula>
    </cfRule>
  </conditionalFormatting>
  <conditionalFormatting sqref="E831">
    <cfRule type="containsText" dxfId="0" priority="233" operator="containsText" text="Problem">
      <formula>NOT(ISERROR(SEARCH(("Problem"),(E831))))</formula>
    </cfRule>
  </conditionalFormatting>
  <conditionalFormatting sqref="E831">
    <cfRule type="containsText" dxfId="0" priority="234" operator="containsText" text="Problem">
      <formula>NOT(ISERROR(SEARCH(("Problem"),(E831))))</formula>
    </cfRule>
  </conditionalFormatting>
  <conditionalFormatting sqref="E831">
    <cfRule type="containsText" dxfId="0" priority="235" operator="containsText" text="Problem">
      <formula>NOT(ISERROR(SEARCH(("Problem"),(E831))))</formula>
    </cfRule>
  </conditionalFormatting>
  <conditionalFormatting sqref="I5">
    <cfRule type="containsText" dxfId="0" priority="236" operator="containsText" text="Problem">
      <formula>NOT(ISERROR(SEARCH(("Problem"),(I5))))</formula>
    </cfRule>
  </conditionalFormatting>
  <conditionalFormatting sqref="I5">
    <cfRule type="containsText" dxfId="0" priority="237" operator="containsText" text="Problem">
      <formula>NOT(ISERROR(SEARCH(("Problem"),(I5))))</formula>
    </cfRule>
  </conditionalFormatting>
  <conditionalFormatting sqref="I5">
    <cfRule type="containsText" dxfId="0" priority="238" operator="containsText" text="Problem">
      <formula>NOT(ISERROR(SEARCH(("Problem"),(I5))))</formula>
    </cfRule>
  </conditionalFormatting>
  <conditionalFormatting sqref="D649:D650 E624:H650">
    <cfRule type="containsText" dxfId="0" priority="239" operator="containsText" text="Problem">
      <formula>NOT(ISERROR(SEARCH(("Problem"),(D649))))</formula>
    </cfRule>
  </conditionalFormatting>
  <conditionalFormatting sqref="D649:D650 E624:H650">
    <cfRule type="containsText" dxfId="0" priority="240" operator="containsText" text="Problem">
      <formula>NOT(ISERROR(SEARCH(("Problem"),(D649))))</formula>
    </cfRule>
  </conditionalFormatting>
  <conditionalFormatting sqref="D649:D650 E624:H650">
    <cfRule type="containsText" dxfId="0" priority="241" operator="containsText" text="Problem">
      <formula>NOT(ISERROR(SEARCH(("Problem"),(D649))))</formula>
    </cfRule>
  </conditionalFormatting>
  <conditionalFormatting sqref="E124:E151">
    <cfRule type="containsText" dxfId="0" priority="242" operator="containsText" text="Problem">
      <formula>NOT(ISERROR(SEARCH(("Problem"),(E124))))</formula>
    </cfRule>
  </conditionalFormatting>
  <conditionalFormatting sqref="E124:E151">
    <cfRule type="containsText" dxfId="0" priority="243" operator="containsText" text="Problem">
      <formula>NOT(ISERROR(SEARCH(("Problem"),(E124))))</formula>
    </cfRule>
  </conditionalFormatting>
  <conditionalFormatting sqref="E124:E151">
    <cfRule type="containsText" dxfId="0" priority="244" operator="containsText" text="Problem">
      <formula>NOT(ISERROR(SEARCH(("Problem"),(E124))))</formula>
    </cfRule>
  </conditionalFormatting>
  <conditionalFormatting sqref="E713">
    <cfRule type="containsText" dxfId="0" priority="245" operator="containsText" text="Problem">
      <formula>NOT(ISERROR(SEARCH(("Problem"),(E713))))</formula>
    </cfRule>
  </conditionalFormatting>
  <conditionalFormatting sqref="E713">
    <cfRule type="containsText" dxfId="0" priority="246" operator="containsText" text="Problem">
      <formula>NOT(ISERROR(SEARCH(("Problem"),(E713))))</formula>
    </cfRule>
  </conditionalFormatting>
  <conditionalFormatting sqref="E713">
    <cfRule type="containsText" dxfId="0" priority="247" operator="containsText" text="Problem">
      <formula>NOT(ISERROR(SEARCH(("Problem"),(E713))))</formula>
    </cfRule>
  </conditionalFormatting>
  <conditionalFormatting sqref="I537:I564">
    <cfRule type="containsText" dxfId="0" priority="248" operator="containsText" text="Problem">
      <formula>NOT(ISERROR(SEARCH(("Problem"),(I537))))</formula>
    </cfRule>
  </conditionalFormatting>
  <conditionalFormatting sqref="I537:I564">
    <cfRule type="containsText" dxfId="0" priority="249" operator="containsText" text="Problem">
      <formula>NOT(ISERROR(SEARCH(("Problem"),(I537))))</formula>
    </cfRule>
  </conditionalFormatting>
  <conditionalFormatting sqref="I537:I564">
    <cfRule type="containsText" dxfId="0" priority="250" operator="containsText" text="Problem">
      <formula>NOT(ISERROR(SEARCH(("Problem"),(I537))))</formula>
    </cfRule>
  </conditionalFormatting>
  <conditionalFormatting sqref="I537:I564">
    <cfRule type="containsText" dxfId="0" priority="251" operator="containsText" text="Problem">
      <formula>NOT(ISERROR(SEARCH(("Problem"),(I537))))</formula>
    </cfRule>
  </conditionalFormatting>
  <conditionalFormatting sqref="D118:D119 E93:H119">
    <cfRule type="containsText" dxfId="0" priority="252" operator="containsText" text="Problem">
      <formula>NOT(ISERROR(SEARCH(("Problem"),(D118))))</formula>
    </cfRule>
  </conditionalFormatting>
  <conditionalFormatting sqref="D118:D119 E93:H119">
    <cfRule type="containsText" dxfId="0" priority="253" operator="containsText" text="Problem">
      <formula>NOT(ISERROR(SEARCH(("Problem"),(D118))))</formula>
    </cfRule>
  </conditionalFormatting>
  <conditionalFormatting sqref="D118:D119 E93:H119">
    <cfRule type="containsText" dxfId="0" priority="254" operator="containsText" text="Problem">
      <formula>NOT(ISERROR(SEARCH(("Problem"),(D118))))</formula>
    </cfRule>
  </conditionalFormatting>
  <conditionalFormatting sqref="F654">
    <cfRule type="containsText" dxfId="0" priority="255" operator="containsText" text="Problem">
      <formula>NOT(ISERROR(SEARCH(("Problem"),(F654))))</formula>
    </cfRule>
  </conditionalFormatting>
  <conditionalFormatting sqref="F654">
    <cfRule type="containsText" dxfId="0" priority="256" operator="containsText" text="Problem">
      <formula>NOT(ISERROR(SEARCH(("Problem"),(F654))))</formula>
    </cfRule>
  </conditionalFormatting>
  <conditionalFormatting sqref="F654">
    <cfRule type="containsText" dxfId="0" priority="257" operator="containsText" text="Problem">
      <formula>NOT(ISERROR(SEARCH(("Problem"),(F654))))</formula>
    </cfRule>
  </conditionalFormatting>
  <conditionalFormatting sqref="C357 E357:I357">
    <cfRule type="containsText" dxfId="0" priority="258" operator="containsText" text="Problem">
      <formula>NOT(ISERROR(SEARCH(("Problem"),(C357))))</formula>
    </cfRule>
  </conditionalFormatting>
  <conditionalFormatting sqref="C357 E357:I357">
    <cfRule type="containsText" dxfId="0" priority="259" operator="containsText" text="Problem">
      <formula>NOT(ISERROR(SEARCH(("Problem"),(C357))))</formula>
    </cfRule>
  </conditionalFormatting>
  <conditionalFormatting sqref="C357 E357:I357">
    <cfRule type="containsText" dxfId="0" priority="260" operator="containsText" text="Problem">
      <formula>NOT(ISERROR(SEARCH(("Problem"),(C357))))</formula>
    </cfRule>
  </conditionalFormatting>
  <conditionalFormatting sqref="F714:F741">
    <cfRule type="containsText" dxfId="0" priority="261" operator="containsText" text="Problem">
      <formula>NOT(ISERROR(SEARCH(("Problem"),(F714))))</formula>
    </cfRule>
  </conditionalFormatting>
  <conditionalFormatting sqref="F714:F741">
    <cfRule type="containsText" dxfId="0" priority="262" operator="containsText" text="Problem">
      <formula>NOT(ISERROR(SEARCH(("Problem"),(F714))))</formula>
    </cfRule>
  </conditionalFormatting>
  <conditionalFormatting sqref="F714:F741">
    <cfRule type="containsText" dxfId="0" priority="263" operator="containsText" text="Problem">
      <formula>NOT(ISERROR(SEARCH(("Problem"),(F714))))</formula>
    </cfRule>
  </conditionalFormatting>
  <conditionalFormatting sqref="C475 E475:I475">
    <cfRule type="containsText" dxfId="0" priority="264" operator="containsText" text="Problem">
      <formula>NOT(ISERROR(SEARCH(("Problem"),(C475))))</formula>
    </cfRule>
  </conditionalFormatting>
  <conditionalFormatting sqref="C475 E475:I475">
    <cfRule type="containsText" dxfId="0" priority="265" operator="containsText" text="Problem">
      <formula>NOT(ISERROR(SEARCH(("Problem"),(C475))))</formula>
    </cfRule>
  </conditionalFormatting>
  <conditionalFormatting sqref="C475 E475:I475">
    <cfRule type="containsText" dxfId="0" priority="266" operator="containsText" text="Problem">
      <formula>NOT(ISERROR(SEARCH(("Problem"),(C475))))</formula>
    </cfRule>
  </conditionalFormatting>
  <conditionalFormatting sqref="D177:D178 E152:H178">
    <cfRule type="containsText" dxfId="0" priority="267" operator="containsText" text="Problem">
      <formula>NOT(ISERROR(SEARCH(("Problem"),(D177))))</formula>
    </cfRule>
  </conditionalFormatting>
  <conditionalFormatting sqref="D177:D178 E152:H178">
    <cfRule type="containsText" dxfId="0" priority="268" operator="containsText" text="Problem">
      <formula>NOT(ISERROR(SEARCH(("Problem"),(D177))))</formula>
    </cfRule>
  </conditionalFormatting>
  <conditionalFormatting sqref="D177:D178 E152:H178">
    <cfRule type="containsText" dxfId="0" priority="269" operator="containsText" text="Problem">
      <formula>NOT(ISERROR(SEARCH(("Problem"),(D177))))</formula>
    </cfRule>
  </conditionalFormatting>
  <conditionalFormatting sqref="E5">
    <cfRule type="containsText" dxfId="0" priority="270" operator="containsText" text="Problem">
      <formula>NOT(ISERROR(SEARCH(("Problem"),(E5))))</formula>
    </cfRule>
  </conditionalFormatting>
  <conditionalFormatting sqref="E5">
    <cfRule type="containsText" dxfId="0" priority="271" operator="containsText" text="Problem">
      <formula>NOT(ISERROR(SEARCH(("Problem"),(E5))))</formula>
    </cfRule>
  </conditionalFormatting>
  <conditionalFormatting sqref="E5">
    <cfRule type="containsText" dxfId="0" priority="272" operator="containsText" text="Problem">
      <formula>NOT(ISERROR(SEARCH(("Problem"),(E5))))</formula>
    </cfRule>
  </conditionalFormatting>
  <conditionalFormatting sqref="F478:F505">
    <cfRule type="containsText" dxfId="0" priority="273" operator="containsText" text="Problem">
      <formula>NOT(ISERROR(SEARCH(("Problem"),(F478))))</formula>
    </cfRule>
  </conditionalFormatting>
  <conditionalFormatting sqref="F478:F505">
    <cfRule type="containsText" dxfId="0" priority="274" operator="containsText" text="Problem">
      <formula>NOT(ISERROR(SEARCH(("Problem"),(F478))))</formula>
    </cfRule>
  </conditionalFormatting>
  <conditionalFormatting sqref="F478:F505">
    <cfRule type="containsText" dxfId="0" priority="275" operator="containsText" text="Problem">
      <formula>NOT(ISERROR(SEARCH(("Problem"),(F478))))</formula>
    </cfRule>
  </conditionalFormatting>
  <conditionalFormatting sqref="F537:F564">
    <cfRule type="containsText" dxfId="0" priority="276" operator="containsText" text="Problem">
      <formula>NOT(ISERROR(SEARCH(("Problem"),(F537))))</formula>
    </cfRule>
  </conditionalFormatting>
  <conditionalFormatting sqref="F537:F564">
    <cfRule type="containsText" dxfId="0" priority="277" operator="containsText" text="Problem">
      <formula>NOT(ISERROR(SEARCH(("Problem"),(F537))))</formula>
    </cfRule>
  </conditionalFormatting>
  <conditionalFormatting sqref="F537:F564">
    <cfRule type="containsText" dxfId="0" priority="278" operator="containsText" text="Problem">
      <formula>NOT(ISERROR(SEARCH(("Problem"),(F537))))</formula>
    </cfRule>
  </conditionalFormatting>
  <conditionalFormatting sqref="F655:F682">
    <cfRule type="containsText" dxfId="0" priority="279" operator="containsText" text="Problem">
      <formula>NOT(ISERROR(SEARCH(("Problem"),(F655))))</formula>
    </cfRule>
  </conditionalFormatting>
  <conditionalFormatting sqref="F655:F682">
    <cfRule type="containsText" dxfId="0" priority="280" operator="containsText" text="Problem">
      <formula>NOT(ISERROR(SEARCH(("Problem"),(F655))))</formula>
    </cfRule>
  </conditionalFormatting>
  <conditionalFormatting sqref="F655:F682">
    <cfRule type="containsText" dxfId="0" priority="281" operator="containsText" text="Problem">
      <formula>NOT(ISERROR(SEARCH(("Problem"),(F655))))</formula>
    </cfRule>
  </conditionalFormatting>
  <conditionalFormatting sqref="I536">
    <cfRule type="containsText" dxfId="0" priority="282" operator="containsText" text="Problem">
      <formula>NOT(ISERROR(SEARCH(("Problem"),(I536))))</formula>
    </cfRule>
  </conditionalFormatting>
  <conditionalFormatting sqref="I536">
    <cfRule type="containsText" dxfId="0" priority="283" operator="containsText" text="Problem">
      <formula>NOT(ISERROR(SEARCH(("Problem"),(I536))))</formula>
    </cfRule>
  </conditionalFormatting>
  <conditionalFormatting sqref="I536">
    <cfRule type="containsText" dxfId="0" priority="284" operator="containsText" text="Problem">
      <formula>NOT(ISERROR(SEARCH(("Problem"),(I536))))</formula>
    </cfRule>
  </conditionalFormatting>
  <conditionalFormatting sqref="G419:G446">
    <cfRule type="containsText" dxfId="0" priority="285" operator="containsText" text="Problem">
      <formula>NOT(ISERROR(SEARCH(("Problem"),(G419))))</formula>
    </cfRule>
  </conditionalFormatting>
  <conditionalFormatting sqref="G419:G446">
    <cfRule type="containsText" dxfId="0" priority="286" operator="containsText" text="Problem">
      <formula>NOT(ISERROR(SEARCH(("Problem"),(G419))))</formula>
    </cfRule>
  </conditionalFormatting>
  <conditionalFormatting sqref="G419:G446">
    <cfRule type="containsText" dxfId="0" priority="287" operator="containsText" text="Problem">
      <formula>NOT(ISERROR(SEARCH(("Problem"),(G419))))</formula>
    </cfRule>
  </conditionalFormatting>
  <conditionalFormatting sqref="F5">
    <cfRule type="containsText" dxfId="0" priority="288" operator="containsText" text="Problem">
      <formula>NOT(ISERROR(SEARCH(("Problem"),(F5))))</formula>
    </cfRule>
  </conditionalFormatting>
  <conditionalFormatting sqref="F5">
    <cfRule type="containsText" dxfId="0" priority="289" operator="containsText" text="Problem">
      <formula>NOT(ISERROR(SEARCH(("Problem"),(F5))))</formula>
    </cfRule>
  </conditionalFormatting>
  <conditionalFormatting sqref="F5">
    <cfRule type="containsText" dxfId="0" priority="290" operator="containsText" text="Problem">
      <formula>NOT(ISERROR(SEARCH(("Problem"),(F5))))</formula>
    </cfRule>
  </conditionalFormatting>
  <conditionalFormatting sqref="D714:D741">
    <cfRule type="containsText" dxfId="0" priority="291" operator="containsText" text="Problem">
      <formula>NOT(ISERROR(SEARCH(("Problem"),(D714))))</formula>
    </cfRule>
  </conditionalFormatting>
  <conditionalFormatting sqref="D714:D741">
    <cfRule type="containsText" dxfId="0" priority="292" operator="containsText" text="Problem">
      <formula>NOT(ISERROR(SEARCH(("Problem"),(D714))))</formula>
    </cfRule>
  </conditionalFormatting>
  <conditionalFormatting sqref="D714:D741">
    <cfRule type="containsText" dxfId="0" priority="293" operator="containsText" text="Problem">
      <formula>NOT(ISERROR(SEARCH(("Problem"),(D714))))</formula>
    </cfRule>
  </conditionalFormatting>
  <conditionalFormatting sqref="D596:D623">
    <cfRule type="containsText" dxfId="0" priority="294" operator="containsText" text="Problem">
      <formula>NOT(ISERROR(SEARCH(("Problem"),(D596))))</formula>
    </cfRule>
  </conditionalFormatting>
  <conditionalFormatting sqref="D596:D623">
    <cfRule type="containsText" dxfId="0" priority="295" operator="containsText" text="Problem">
      <formula>NOT(ISERROR(SEARCH(("Problem"),(D596))))</formula>
    </cfRule>
  </conditionalFormatting>
  <conditionalFormatting sqref="D596:D623">
    <cfRule type="containsText" dxfId="0" priority="296" operator="containsText" text="Problem">
      <formula>NOT(ISERROR(SEARCH(("Problem"),(D596))))</formula>
    </cfRule>
  </conditionalFormatting>
  <conditionalFormatting sqref="D655:D682">
    <cfRule type="containsText" dxfId="0" priority="297" operator="containsText" text="Problem">
      <formula>NOT(ISERROR(SEARCH(("Problem"),(D655))))</formula>
    </cfRule>
  </conditionalFormatting>
  <conditionalFormatting sqref="D655:D682">
    <cfRule type="containsText" dxfId="0" priority="298" operator="containsText" text="Problem">
      <formula>NOT(ISERROR(SEARCH(("Problem"),(D655))))</formula>
    </cfRule>
  </conditionalFormatting>
  <conditionalFormatting sqref="D655:D682">
    <cfRule type="containsText" dxfId="0" priority="299" operator="containsText" text="Problem">
      <formula>NOT(ISERROR(SEARCH(("Problem"),(D655))))</formula>
    </cfRule>
  </conditionalFormatting>
  <conditionalFormatting sqref="D242:D269">
    <cfRule type="containsText" dxfId="0" priority="300" operator="containsText" text="Problem">
      <formula>NOT(ISERROR(SEARCH(("Problem"),(D242))))</formula>
    </cfRule>
  </conditionalFormatting>
  <conditionalFormatting sqref="D242:D269">
    <cfRule type="containsText" dxfId="0" priority="301" operator="containsText" text="Problem">
      <formula>NOT(ISERROR(SEARCH(("Problem"),(D242))))</formula>
    </cfRule>
  </conditionalFormatting>
  <conditionalFormatting sqref="D242:D269">
    <cfRule type="containsText" dxfId="0" priority="302" operator="containsText" text="Problem">
      <formula>NOT(ISERROR(SEARCH(("Problem"),(D242))))</formula>
    </cfRule>
  </conditionalFormatting>
  <conditionalFormatting sqref="F418">
    <cfRule type="containsText" dxfId="0" priority="303" operator="containsText" text="Problem">
      <formula>NOT(ISERROR(SEARCH(("Problem"),(F418))))</formula>
    </cfRule>
  </conditionalFormatting>
  <conditionalFormatting sqref="F418">
    <cfRule type="containsText" dxfId="0" priority="304" operator="containsText" text="Problem">
      <formula>NOT(ISERROR(SEARCH(("Problem"),(F418))))</formula>
    </cfRule>
  </conditionalFormatting>
  <conditionalFormatting sqref="F418">
    <cfRule type="containsText" dxfId="0" priority="305" operator="containsText" text="Problem">
      <formula>NOT(ISERROR(SEARCH(("Problem"),(F418))))</formula>
    </cfRule>
  </conditionalFormatting>
  <conditionalFormatting sqref="D418">
    <cfRule type="containsText" dxfId="0" priority="306" operator="containsText" text="Problem">
      <formula>NOT(ISERROR(SEARCH(("Problem"),(D418))))</formula>
    </cfRule>
  </conditionalFormatting>
  <conditionalFormatting sqref="G654">
    <cfRule type="containsText" dxfId="0" priority="307" operator="containsText" text="Problem">
      <formula>NOT(ISERROR(SEARCH(("Problem"),(G654))))</formula>
    </cfRule>
  </conditionalFormatting>
  <conditionalFormatting sqref="G654">
    <cfRule type="containsText" dxfId="0" priority="308" operator="containsText" text="Problem">
      <formula>NOT(ISERROR(SEARCH(("Problem"),(G654))))</formula>
    </cfRule>
  </conditionalFormatting>
  <conditionalFormatting sqref="G654">
    <cfRule type="containsText" dxfId="0" priority="309" operator="containsText" text="Problem">
      <formula>NOT(ISERROR(SEARCH(("Problem"),(G654))))</formula>
    </cfRule>
  </conditionalFormatting>
  <conditionalFormatting sqref="G242:G269">
    <cfRule type="containsText" dxfId="0" priority="310" operator="containsText" text="Problem">
      <formula>NOT(ISERROR(SEARCH(("Problem"),(G242))))</formula>
    </cfRule>
  </conditionalFormatting>
  <conditionalFormatting sqref="G242:G269">
    <cfRule type="containsText" dxfId="0" priority="311" operator="containsText" text="Problem">
      <formula>NOT(ISERROR(SEARCH(("Problem"),(G242))))</formula>
    </cfRule>
  </conditionalFormatting>
  <conditionalFormatting sqref="G242:G269">
    <cfRule type="containsText" dxfId="0" priority="312" operator="containsText" text="Problem">
      <formula>NOT(ISERROR(SEARCH(("Problem"),(G242))))</formula>
    </cfRule>
  </conditionalFormatting>
  <conditionalFormatting sqref="A536:A591">
    <cfRule type="containsText" dxfId="0" priority="313" operator="containsText" text="Problem">
      <formula>NOT(ISERROR(SEARCH(("Problem"),(A536))))</formula>
    </cfRule>
  </conditionalFormatting>
  <conditionalFormatting sqref="A536:A591">
    <cfRule type="containsText" dxfId="0" priority="314" operator="containsText" text="Problem">
      <formula>NOT(ISERROR(SEARCH(("Problem"),(A536))))</formula>
    </cfRule>
  </conditionalFormatting>
  <conditionalFormatting sqref="A536:A591">
    <cfRule type="containsText" dxfId="0" priority="315" operator="containsText" text="Problem">
      <formula>NOT(ISERROR(SEARCH(("Problem"),(A536))))</formula>
    </cfRule>
  </conditionalFormatting>
  <conditionalFormatting sqref="E242:E269">
    <cfRule type="containsText" dxfId="0" priority="316" operator="containsText" text="Problem">
      <formula>NOT(ISERROR(SEARCH(("Problem"),(E242))))</formula>
    </cfRule>
  </conditionalFormatting>
  <conditionalFormatting sqref="E242:E269">
    <cfRule type="containsText" dxfId="0" priority="317" operator="containsText" text="Problem">
      <formula>NOT(ISERROR(SEARCH(("Problem"),(E242))))</formula>
    </cfRule>
  </conditionalFormatting>
  <conditionalFormatting sqref="E242:E269">
    <cfRule type="containsText" dxfId="0" priority="318" operator="containsText" text="Problem">
      <formula>NOT(ISERROR(SEARCH(("Problem"),(E242))))</formula>
    </cfRule>
  </conditionalFormatting>
  <conditionalFormatting sqref="G831">
    <cfRule type="containsText" dxfId="0" priority="319" operator="containsText" text="Problem">
      <formula>NOT(ISERROR(SEARCH(("Problem"),(G831))))</formula>
    </cfRule>
  </conditionalFormatting>
  <conditionalFormatting sqref="G831">
    <cfRule type="containsText" dxfId="0" priority="320" operator="containsText" text="Problem">
      <formula>NOT(ISERROR(SEARCH(("Problem"),(G831))))</formula>
    </cfRule>
  </conditionalFormatting>
  <conditionalFormatting sqref="G831">
    <cfRule type="containsText" dxfId="0" priority="321" operator="containsText" text="Problem">
      <formula>NOT(ISERROR(SEARCH(("Problem"),(G831))))</formula>
    </cfRule>
  </conditionalFormatting>
  <conditionalFormatting sqref="B927:C927 B939:B942 B944:C945 C896:C926 C936:C942">
    <cfRule type="containsText" dxfId="0" priority="322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323" operator="containsText" text="Problem">
      <formula>NOT(ISERROR(SEARCH(("Problem"),(B927))))</formula>
    </cfRule>
  </conditionalFormatting>
  <conditionalFormatting sqref="B927:C927 B939:B942 B944:C945 C896:C926 C936:C942">
    <cfRule type="containsText" dxfId="0" priority="324" operator="containsText" text="Problem">
      <formula>NOT(ISERROR(SEARCH(("Problem"),(B927))))</formula>
    </cfRule>
  </conditionalFormatting>
  <conditionalFormatting sqref="D506:D530">
    <cfRule type="containsText" dxfId="0" priority="325" operator="containsText" text="Problem">
      <formula>NOT(ISERROR(SEARCH(("Problem"),(D506))))</formula>
    </cfRule>
  </conditionalFormatting>
  <conditionalFormatting sqref="D506:D530">
    <cfRule type="containsText" dxfId="0" priority="326" operator="containsText" text="Problem">
      <formula>NOT(ISERROR(SEARCH(("Problem"),(D506))))</formula>
    </cfRule>
  </conditionalFormatting>
  <conditionalFormatting sqref="E537:E564">
    <cfRule type="containsText" dxfId="0" priority="327" operator="containsText" text="Problem">
      <formula>NOT(ISERROR(SEARCH(("Problem"),(E537))))</formula>
    </cfRule>
  </conditionalFormatting>
  <conditionalFormatting sqref="E537:E564">
    <cfRule type="containsText" dxfId="0" priority="328" operator="containsText" text="Problem">
      <formula>NOT(ISERROR(SEARCH(("Problem"),(E537))))</formula>
    </cfRule>
  </conditionalFormatting>
  <conditionalFormatting sqref="E537:E564">
    <cfRule type="containsText" dxfId="0" priority="329" operator="containsText" text="Problem">
      <formula>NOT(ISERROR(SEARCH(("Problem"),(E537))))</formula>
    </cfRule>
  </conditionalFormatting>
  <conditionalFormatting sqref="F241">
    <cfRule type="containsText" dxfId="0" priority="330" operator="containsText" text="Problem">
      <formula>NOT(ISERROR(SEARCH(("Problem"),(F241))))</formula>
    </cfRule>
  </conditionalFormatting>
  <conditionalFormatting sqref="F241">
    <cfRule type="containsText" dxfId="0" priority="331" operator="containsText" text="Problem">
      <formula>NOT(ISERROR(SEARCH(("Problem"),(F241))))</formula>
    </cfRule>
  </conditionalFormatting>
  <conditionalFormatting sqref="F241">
    <cfRule type="containsText" dxfId="0" priority="332" operator="containsText" text="Problem">
      <formula>NOT(ISERROR(SEARCH(("Problem"),(F241))))</formula>
    </cfRule>
  </conditionalFormatting>
  <conditionalFormatting sqref="G360:G387">
    <cfRule type="containsText" dxfId="0" priority="333" operator="containsText" text="Problem">
      <formula>NOT(ISERROR(SEARCH(("Problem"),(G360))))</formula>
    </cfRule>
  </conditionalFormatting>
  <conditionalFormatting sqref="G360:G387">
    <cfRule type="containsText" dxfId="0" priority="334" operator="containsText" text="Problem">
      <formula>NOT(ISERROR(SEARCH(("Problem"),(G360))))</formula>
    </cfRule>
  </conditionalFormatting>
  <conditionalFormatting sqref="G360:G387">
    <cfRule type="containsText" dxfId="0" priority="335" operator="containsText" text="Problem">
      <formula>NOT(ISERROR(SEARCH(("Problem"),(G360))))</formula>
    </cfRule>
  </conditionalFormatting>
  <conditionalFormatting sqref="I65:I92">
    <cfRule type="containsText" dxfId="0" priority="336" operator="containsText" text="Problem">
      <formula>NOT(ISERROR(SEARCH(("Problem"),(I65))))</formula>
    </cfRule>
  </conditionalFormatting>
  <conditionalFormatting sqref="I65:I92">
    <cfRule type="containsText" dxfId="0" priority="337" operator="containsText" text="Problem">
      <formula>NOT(ISERROR(SEARCH(("Problem"),(I65))))</formula>
    </cfRule>
  </conditionalFormatting>
  <conditionalFormatting sqref="I65:I92">
    <cfRule type="containsText" dxfId="0" priority="338" operator="containsText" text="Problem">
      <formula>NOT(ISERROR(SEARCH(("Problem"),(I65))))</formula>
    </cfRule>
  </conditionalFormatting>
  <conditionalFormatting sqref="I65:I92">
    <cfRule type="containsText" dxfId="0" priority="339" operator="containsText" text="Problem">
      <formula>NOT(ISERROR(SEARCH(("Problem"),(I65))))</formula>
    </cfRule>
  </conditionalFormatting>
  <conditionalFormatting sqref="A652 J652:P652">
    <cfRule type="containsText" dxfId="0" priority="340" operator="containsText" text="Problem">
      <formula>NOT(ISERROR(SEARCH(("Problem"),(A652))))</formula>
    </cfRule>
  </conditionalFormatting>
  <conditionalFormatting sqref="A652 J652:P652">
    <cfRule type="containsText" dxfId="0" priority="341" operator="containsText" text="Problem">
      <formula>NOT(ISERROR(SEARCH(("Problem"),(A652))))</formula>
    </cfRule>
  </conditionalFormatting>
  <conditionalFormatting sqref="A652 J652:P652">
    <cfRule type="containsText" dxfId="0" priority="342" operator="containsText" text="Problem">
      <formula>NOT(ISERROR(SEARCH(("Problem"),(A652))))</formula>
    </cfRule>
  </conditionalFormatting>
  <conditionalFormatting sqref="D354:D355 E329:H355">
    <cfRule type="containsText" dxfId="0" priority="343" operator="containsText" text="Problem">
      <formula>NOT(ISERROR(SEARCH(("Problem"),(D354))))</formula>
    </cfRule>
  </conditionalFormatting>
  <conditionalFormatting sqref="D354:D355 E329:H355">
    <cfRule type="containsText" dxfId="0" priority="344" operator="containsText" text="Problem">
      <formula>NOT(ISERROR(SEARCH(("Problem"),(D354))))</formula>
    </cfRule>
  </conditionalFormatting>
  <conditionalFormatting sqref="D354:D355 E329:H355">
    <cfRule type="containsText" dxfId="0" priority="345" operator="containsText" text="Problem">
      <formula>NOT(ISERROR(SEARCH(("Problem"),(D354))))</formula>
    </cfRule>
  </conditionalFormatting>
  <conditionalFormatting sqref="E6:E34">
    <cfRule type="containsText" dxfId="0" priority="346" operator="containsText" text="Problem">
      <formula>NOT(ISERROR(SEARCH(("Problem"),(E6))))</formula>
    </cfRule>
  </conditionalFormatting>
  <conditionalFormatting sqref="E6:E34">
    <cfRule type="containsText" dxfId="0" priority="347" operator="containsText" text="Problem">
      <formula>NOT(ISERROR(SEARCH(("Problem"),(E6))))</formula>
    </cfRule>
  </conditionalFormatting>
  <conditionalFormatting sqref="E6:E34">
    <cfRule type="containsText" dxfId="0" priority="348" operator="containsText" text="Problem">
      <formula>NOT(ISERROR(SEARCH(("Problem"),(E6))))</formula>
    </cfRule>
  </conditionalFormatting>
  <conditionalFormatting sqref="D565:D589">
    <cfRule type="containsText" dxfId="0" priority="349" operator="containsText" text="Problem">
      <formula>NOT(ISERROR(SEARCH(("Problem"),(D565))))</formula>
    </cfRule>
  </conditionalFormatting>
  <conditionalFormatting sqref="D565:D589">
    <cfRule type="containsText" dxfId="0" priority="350" operator="containsText" text="Problem">
      <formula>NOT(ISERROR(SEARCH(("Problem"),(D565))))</formula>
    </cfRule>
  </conditionalFormatting>
  <conditionalFormatting sqref="H360:H387">
    <cfRule type="containsText" dxfId="0" priority="351" operator="containsText" text="Problem">
      <formula>NOT(ISERROR(SEARCH(("Problem"),(H360))))</formula>
    </cfRule>
  </conditionalFormatting>
  <conditionalFormatting sqref="H360:H387">
    <cfRule type="containsText" dxfId="0" priority="352" operator="containsText" text="Problem">
      <formula>NOT(ISERROR(SEARCH(("Problem"),(H360))))</formula>
    </cfRule>
  </conditionalFormatting>
  <conditionalFormatting sqref="H360:H387">
    <cfRule type="containsText" dxfId="0" priority="353" operator="containsText" text="Problem">
      <formula>NOT(ISERROR(SEARCH(("Problem"),(H360))))</formula>
    </cfRule>
  </conditionalFormatting>
  <conditionalFormatting sqref="A181:P181 A238:H238 I211:I238 J182:M238 O182:P238">
    <cfRule type="containsText" dxfId="0" priority="354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355" operator="containsText" text="Problem">
      <formula>NOT(ISERROR(SEARCH(("Problem"),(A181))))</formula>
    </cfRule>
  </conditionalFormatting>
  <conditionalFormatting sqref="A181:P181 A238:H238 I211:I238 J182:M238 O182:P238">
    <cfRule type="containsText" dxfId="0" priority="356" operator="containsText" text="Problem">
      <formula>NOT(ISERROR(SEARCH(("Problem"),(A181))))</formula>
    </cfRule>
  </conditionalFormatting>
  <conditionalFormatting sqref="A653:I653 A710:H710 I683:I710 J653:P710">
    <cfRule type="containsText" dxfId="0" priority="357" operator="containsText" text="Problem">
      <formula>NOT(ISERROR(SEARCH(("Problem"),(A653))))</formula>
    </cfRule>
  </conditionalFormatting>
  <conditionalFormatting sqref="A653:I653 A710:H710 I683:I710 J653:P710">
    <cfRule type="containsText" dxfId="0" priority="358" operator="containsText" text="Problem">
      <formula>NOT(ISERROR(SEARCH(("Problem"),(A653))))</formula>
    </cfRule>
  </conditionalFormatting>
  <conditionalFormatting sqref="A653:I653 A710:H710 I683:I710 J653:P710">
    <cfRule type="containsText" dxfId="0" priority="359" operator="containsText" text="Problem">
      <formula>NOT(ISERROR(SEARCH(("Problem"),(A653))))</formula>
    </cfRule>
  </conditionalFormatting>
  <conditionalFormatting sqref="C62 E62:I62">
    <cfRule type="containsText" dxfId="0" priority="360" operator="containsText" text="Problem">
      <formula>NOT(ISERROR(SEARCH(("Problem"),(C62))))</formula>
    </cfRule>
  </conditionalFormatting>
  <conditionalFormatting sqref="C62 E62:I62">
    <cfRule type="containsText" dxfId="0" priority="361" operator="containsText" text="Problem">
      <formula>NOT(ISERROR(SEARCH(("Problem"),(C62))))</formula>
    </cfRule>
  </conditionalFormatting>
  <conditionalFormatting sqref="C62 E62:I62">
    <cfRule type="containsText" dxfId="0" priority="362" operator="containsText" text="Problem">
      <formula>NOT(ISERROR(SEARCH(("Problem"),(C62))))</formula>
    </cfRule>
  </conditionalFormatting>
  <conditionalFormatting sqref="F64">
    <cfRule type="containsText" dxfId="0" priority="363" operator="containsText" text="Problem">
      <formula>NOT(ISERROR(SEARCH(("Problem"),(F64))))</formula>
    </cfRule>
  </conditionalFormatting>
  <conditionalFormatting sqref="F64">
    <cfRule type="containsText" dxfId="0" priority="364" operator="containsText" text="Problem">
      <formula>NOT(ISERROR(SEARCH(("Problem"),(F64))))</formula>
    </cfRule>
  </conditionalFormatting>
  <conditionalFormatting sqref="F64">
    <cfRule type="containsText" dxfId="0" priority="365" operator="containsText" text="Problem">
      <formula>NOT(ISERROR(SEARCH(("Problem"),(F64))))</formula>
    </cfRule>
  </conditionalFormatting>
  <conditionalFormatting sqref="I595">
    <cfRule type="containsText" dxfId="0" priority="366" operator="containsText" text="Problem">
      <formula>NOT(ISERROR(SEARCH(("Problem"),(I595))))</formula>
    </cfRule>
  </conditionalFormatting>
  <conditionalFormatting sqref="I595">
    <cfRule type="containsText" dxfId="0" priority="367" operator="containsText" text="Problem">
      <formula>NOT(ISERROR(SEARCH(("Problem"),(I595))))</formula>
    </cfRule>
  </conditionalFormatting>
  <conditionalFormatting sqref="I595">
    <cfRule type="containsText" dxfId="0" priority="368" operator="containsText" text="Problem">
      <formula>NOT(ISERROR(SEARCH(("Problem"),(I595))))</formula>
    </cfRule>
  </conditionalFormatting>
  <conditionalFormatting sqref="D826:D827 E801:H827">
    <cfRule type="containsText" dxfId="0" priority="369" operator="containsText" text="Problem">
      <formula>NOT(ISERROR(SEARCH(("Problem"),(D826))))</formula>
    </cfRule>
  </conditionalFormatting>
  <conditionalFormatting sqref="D826:D827 E801:H827">
    <cfRule type="containsText" dxfId="0" priority="370" operator="containsText" text="Problem">
      <formula>NOT(ISERROR(SEARCH(("Problem"),(D826))))</formula>
    </cfRule>
  </conditionalFormatting>
  <conditionalFormatting sqref="D826:D827 E801:H827">
    <cfRule type="containsText" dxfId="0" priority="371" operator="containsText" text="Problem">
      <formula>NOT(ISERROR(SEARCH(("Problem"),(D826))))</formula>
    </cfRule>
  </conditionalFormatting>
  <conditionalFormatting sqref="A594:I594 A651:H651 I624:I651 J594:P651">
    <cfRule type="containsText" dxfId="0" priority="372" operator="containsText" text="Problem">
      <formula>NOT(ISERROR(SEARCH(("Problem"),(A594))))</formula>
    </cfRule>
  </conditionalFormatting>
  <conditionalFormatting sqref="A594:I594 A651:H651 I624:I651 J594:P651">
    <cfRule type="containsText" dxfId="0" priority="373" operator="containsText" text="Problem">
      <formula>NOT(ISERROR(SEARCH(("Problem"),(A594))))</formula>
    </cfRule>
  </conditionalFormatting>
  <conditionalFormatting sqref="A594:I594 A651:H651 I624:I651 J594:P651">
    <cfRule type="containsText" dxfId="0" priority="374" operator="containsText" text="Problem">
      <formula>NOT(ISERROR(SEARCH(("Problem"),(A594))))</formula>
    </cfRule>
  </conditionalFormatting>
  <conditionalFormatting sqref="D860:D884">
    <cfRule type="containsText" dxfId="0" priority="375" operator="containsText" text="Problem">
      <formula>NOT(ISERROR(SEARCH(("Problem"),(D860))))</formula>
    </cfRule>
  </conditionalFormatting>
  <conditionalFormatting sqref="D860:D884">
    <cfRule type="containsText" dxfId="0" priority="376" operator="containsText" text="Problem">
      <formula>NOT(ISERROR(SEARCH(("Problem"),(D860))))</formula>
    </cfRule>
  </conditionalFormatting>
  <conditionalFormatting sqref="G418">
    <cfRule type="containsText" dxfId="0" priority="377" operator="containsText" text="Problem">
      <formula>NOT(ISERROR(SEARCH(("Problem"),(G418))))</formula>
    </cfRule>
  </conditionalFormatting>
  <conditionalFormatting sqref="G418">
    <cfRule type="containsText" dxfId="0" priority="378" operator="containsText" text="Problem">
      <formula>NOT(ISERROR(SEARCH(("Problem"),(G418))))</formula>
    </cfRule>
  </conditionalFormatting>
  <conditionalFormatting sqref="G418">
    <cfRule type="containsText" dxfId="0" priority="379" operator="containsText" text="Problem">
      <formula>NOT(ISERROR(SEARCH(("Problem"),(G418))))</formula>
    </cfRule>
  </conditionalFormatting>
  <conditionalFormatting sqref="A829 J829:P829">
    <cfRule type="containsText" dxfId="0" priority="380" operator="containsText" text="Problem">
      <formula>NOT(ISERROR(SEARCH(("Problem"),(A829))))</formula>
    </cfRule>
  </conditionalFormatting>
  <conditionalFormatting sqref="A829 J829:P829">
    <cfRule type="containsText" dxfId="0" priority="381" operator="containsText" text="Problem">
      <formula>NOT(ISERROR(SEARCH(("Problem"),(A829))))</formula>
    </cfRule>
  </conditionalFormatting>
  <conditionalFormatting sqref="A829 J829:P829">
    <cfRule type="containsText" dxfId="0" priority="382" operator="containsText" text="Problem">
      <formula>NOT(ISERROR(SEARCH(("Problem"),(A829))))</formula>
    </cfRule>
  </conditionalFormatting>
  <conditionalFormatting sqref="A416 J416:P416">
    <cfRule type="containsText" dxfId="0" priority="383" operator="containsText" text="Problem">
      <formula>NOT(ISERROR(SEARCH(("Problem"),(A416))))</formula>
    </cfRule>
  </conditionalFormatting>
  <conditionalFormatting sqref="A416 J416:P416">
    <cfRule type="containsText" dxfId="0" priority="384" operator="containsText" text="Problem">
      <formula>NOT(ISERROR(SEARCH(("Problem"),(A416))))</formula>
    </cfRule>
  </conditionalFormatting>
  <conditionalFormatting sqref="A416 J416:P416">
    <cfRule type="containsText" dxfId="0" priority="385" operator="containsText" text="Problem">
      <formula>NOT(ISERROR(SEARCH(("Problem"),(A416))))</formula>
    </cfRule>
  </conditionalFormatting>
  <conditionalFormatting sqref="G772">
    <cfRule type="containsText" dxfId="0" priority="386" operator="containsText" text="Problem">
      <formula>NOT(ISERROR(SEARCH(("Problem"),(G772))))</formula>
    </cfRule>
  </conditionalFormatting>
  <conditionalFormatting sqref="G772">
    <cfRule type="containsText" dxfId="0" priority="387" operator="containsText" text="Problem">
      <formula>NOT(ISERROR(SEARCH(("Problem"),(G772))))</formula>
    </cfRule>
  </conditionalFormatting>
  <conditionalFormatting sqref="G772">
    <cfRule type="containsText" dxfId="0" priority="388" operator="containsText" text="Problem">
      <formula>NOT(ISERROR(SEARCH(("Problem"),(G772))))</formula>
    </cfRule>
  </conditionalFormatting>
  <conditionalFormatting sqref="G123">
    <cfRule type="containsText" dxfId="0" priority="389" operator="containsText" text="Problem">
      <formula>NOT(ISERROR(SEARCH(("Problem"),(G123))))</formula>
    </cfRule>
  </conditionalFormatting>
  <conditionalFormatting sqref="G123">
    <cfRule type="containsText" dxfId="0" priority="390" operator="containsText" text="Problem">
      <formula>NOT(ISERROR(SEARCH(("Problem"),(G123))))</formula>
    </cfRule>
  </conditionalFormatting>
  <conditionalFormatting sqref="G123">
    <cfRule type="containsText" dxfId="0" priority="391" operator="containsText" text="Problem">
      <formula>NOT(ISERROR(SEARCH(("Problem"),(G123))))</formula>
    </cfRule>
  </conditionalFormatting>
  <conditionalFormatting sqref="A121 J121:P121">
    <cfRule type="containsText" dxfId="0" priority="392" operator="containsText" text="Problem">
      <formula>NOT(ISERROR(SEARCH(("Problem"),(A121))))</formula>
    </cfRule>
  </conditionalFormatting>
  <conditionalFormatting sqref="A121 J121:P121">
    <cfRule type="containsText" dxfId="0" priority="393" operator="containsText" text="Problem">
      <formula>NOT(ISERROR(SEARCH(("Problem"),(A121))))</formula>
    </cfRule>
  </conditionalFormatting>
  <conditionalFormatting sqref="A121 J121:P121">
    <cfRule type="containsText" dxfId="0" priority="394" operator="containsText" text="Problem">
      <formula>NOT(ISERROR(SEARCH(("Problem"),(A121))))</formula>
    </cfRule>
  </conditionalFormatting>
  <conditionalFormatting sqref="G595">
    <cfRule type="containsText" dxfId="0" priority="395" operator="containsText" text="Problem">
      <formula>NOT(ISERROR(SEARCH(("Problem"),(G595))))</formula>
    </cfRule>
  </conditionalFormatting>
  <conditionalFormatting sqref="G595">
    <cfRule type="containsText" dxfId="0" priority="396" operator="containsText" text="Problem">
      <formula>NOT(ISERROR(SEARCH(("Problem"),(G595))))</formula>
    </cfRule>
  </conditionalFormatting>
  <conditionalFormatting sqref="G595">
    <cfRule type="containsText" dxfId="0" priority="397" operator="containsText" text="Problem">
      <formula>NOT(ISERROR(SEARCH(("Problem"),(G595))))</formula>
    </cfRule>
  </conditionalFormatting>
  <conditionalFormatting sqref="D329:D353">
    <cfRule type="containsText" dxfId="0" priority="398" operator="containsText" text="Problem">
      <formula>NOT(ISERROR(SEARCH(("Problem"),(D329))))</formula>
    </cfRule>
  </conditionalFormatting>
  <conditionalFormatting sqref="D329:D353">
    <cfRule type="containsText" dxfId="0" priority="399" operator="containsText" text="Problem">
      <formula>NOT(ISERROR(SEARCH(("Problem"),(D329))))</formula>
    </cfRule>
  </conditionalFormatting>
  <conditionalFormatting sqref="D270:D294">
    <cfRule type="containsText" dxfId="0" priority="400" operator="containsText" text="Problem">
      <formula>NOT(ISERROR(SEARCH(("Problem"),(D270))))</formula>
    </cfRule>
  </conditionalFormatting>
  <conditionalFormatting sqref="D270:D294">
    <cfRule type="containsText" dxfId="0" priority="401" operator="containsText" text="Problem">
      <formula>NOT(ISERROR(SEARCH(("Problem"),(D270))))</formula>
    </cfRule>
  </conditionalFormatting>
  <conditionalFormatting sqref="H831">
    <cfRule type="containsText" dxfId="0" priority="402" operator="containsText" text="Problem">
      <formula>NOT(ISERROR(SEARCH(("Problem"),(H831))))</formula>
    </cfRule>
  </conditionalFormatting>
  <conditionalFormatting sqref="H831">
    <cfRule type="containsText" dxfId="0" priority="403" operator="containsText" text="Problem">
      <formula>NOT(ISERROR(SEARCH(("Problem"),(H831))))</formula>
    </cfRule>
  </conditionalFormatting>
  <conditionalFormatting sqref="H831">
    <cfRule type="containsText" dxfId="0" priority="404" operator="containsText" text="Problem">
      <formula>NOT(ISERROR(SEARCH(("Problem"),(H831))))</formula>
    </cfRule>
  </conditionalFormatting>
  <conditionalFormatting sqref="A241:A296">
    <cfRule type="containsText" dxfId="0" priority="405" operator="containsText" text="Problem">
      <formula>NOT(ISERROR(SEARCH(("Problem"),(A241))))</formula>
    </cfRule>
  </conditionalFormatting>
  <conditionalFormatting sqref="A241:A296">
    <cfRule type="containsText" dxfId="0" priority="406" operator="containsText" text="Problem">
      <formula>NOT(ISERROR(SEARCH(("Problem"),(A241))))</formula>
    </cfRule>
  </conditionalFormatting>
  <conditionalFormatting sqref="A241:A296">
    <cfRule type="containsText" dxfId="0" priority="407" operator="containsText" text="Problem">
      <formula>NOT(ISERROR(SEARCH(("Problem"),(A241))))</formula>
    </cfRule>
  </conditionalFormatting>
  <conditionalFormatting sqref="G714:G741">
    <cfRule type="containsText" dxfId="0" priority="408" operator="containsText" text="Problem">
      <formula>NOT(ISERROR(SEARCH(("Problem"),(G714))))</formula>
    </cfRule>
  </conditionalFormatting>
  <conditionalFormatting sqref="G714:G741">
    <cfRule type="containsText" dxfId="0" priority="409" operator="containsText" text="Problem">
      <formula>NOT(ISERROR(SEARCH(("Problem"),(G714))))</formula>
    </cfRule>
  </conditionalFormatting>
  <conditionalFormatting sqref="G714:G741">
    <cfRule type="containsText" dxfId="0" priority="410" operator="containsText" text="Problem">
      <formula>NOT(ISERROR(SEARCH(("Problem"),(G714))))</formula>
    </cfRule>
  </conditionalFormatting>
  <conditionalFormatting sqref="I713">
    <cfRule type="containsText" dxfId="0" priority="411" operator="containsText" text="Problem">
      <formula>NOT(ISERROR(SEARCH(("Problem"),(I713))))</formula>
    </cfRule>
  </conditionalFormatting>
  <conditionalFormatting sqref="I713">
    <cfRule type="containsText" dxfId="0" priority="412" operator="containsText" text="Problem">
      <formula>NOT(ISERROR(SEARCH(("Problem"),(I713))))</formula>
    </cfRule>
  </conditionalFormatting>
  <conditionalFormatting sqref="I713">
    <cfRule type="containsText" dxfId="0" priority="413" operator="containsText" text="Problem">
      <formula>NOT(ISERROR(SEARCH(("Problem"),(I713))))</formula>
    </cfRule>
  </conditionalFormatting>
  <conditionalFormatting sqref="B160:C160 B172:B175 B177:C178 C129:C159 C169:C175">
    <cfRule type="containsText" dxfId="0" priority="414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415" operator="containsText" text="Problem">
      <formula>NOT(ISERROR(SEARCH(("Problem"),(B160))))</formula>
    </cfRule>
  </conditionalFormatting>
  <conditionalFormatting sqref="B160:C160 B172:B175 B177:C178 C129:C159 C169:C175">
    <cfRule type="containsText" dxfId="0" priority="416" operator="containsText" text="Problem">
      <formula>NOT(ISERROR(SEARCH(("Problem"),(B160))))</formula>
    </cfRule>
  </conditionalFormatting>
  <conditionalFormatting sqref="F772">
    <cfRule type="containsText" dxfId="0" priority="417" operator="containsText" text="Problem">
      <formula>NOT(ISERROR(SEARCH(("Problem"),(F772))))</formula>
    </cfRule>
  </conditionalFormatting>
  <conditionalFormatting sqref="F772">
    <cfRule type="containsText" dxfId="0" priority="418" operator="containsText" text="Problem">
      <formula>NOT(ISERROR(SEARCH(("Problem"),(F772))))</formula>
    </cfRule>
  </conditionalFormatting>
  <conditionalFormatting sqref="F772">
    <cfRule type="containsText" dxfId="0" priority="419" operator="containsText" text="Problem">
      <formula>NOT(ISERROR(SEARCH(("Problem"),(F772))))</formula>
    </cfRule>
  </conditionalFormatting>
  <conditionalFormatting sqref="B337:C337 B349:B352 B354:C355 C306:C336 C346:C352">
    <cfRule type="containsText" dxfId="0" priority="420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21" operator="containsText" text="Problem">
      <formula>NOT(ISERROR(SEARCH(("Problem"),(B337))))</formula>
    </cfRule>
  </conditionalFormatting>
  <conditionalFormatting sqref="B337:C337 B349:B352 B354:C355 C306:C336 C346:C352">
    <cfRule type="containsText" dxfId="0" priority="422" operator="containsText" text="Problem">
      <formula>NOT(ISERROR(SEARCH(("Problem"),(B337))))</formula>
    </cfRule>
  </conditionalFormatting>
  <conditionalFormatting sqref="A3:A61 B42:C42 B54:B57 B59:C61 C11:C41 C51:C57 I35:I61 J3:P61">
    <cfRule type="containsText" dxfId="0" priority="423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424" operator="containsText" text="Problem">
      <formula>NOT(ISERROR(SEARCH(("Problem"),(A3))))</formula>
    </cfRule>
  </conditionalFormatting>
  <conditionalFormatting sqref="A3:A61 B42:C42 B54:B57 B59:C61 C11:C41 C51:C57 I35:I61 J3:P61">
    <cfRule type="containsText" dxfId="0" priority="425" operator="containsText" text="Problem">
      <formula>NOT(ISERROR(SEARCH(("Problem"),(A3))))</formula>
    </cfRule>
  </conditionalFormatting>
  <conditionalFormatting sqref="E182">
    <cfRule type="containsText" dxfId="0" priority="426" operator="containsText" text="Problem">
      <formula>NOT(ISERROR(SEARCH(("Problem"),(E182))))</formula>
    </cfRule>
  </conditionalFormatting>
  <conditionalFormatting sqref="E182">
    <cfRule type="containsText" dxfId="0" priority="427" operator="containsText" text="Problem">
      <formula>NOT(ISERROR(SEARCH(("Problem"),(E182))))</formula>
    </cfRule>
  </conditionalFormatting>
  <conditionalFormatting sqref="E182">
    <cfRule type="containsText" dxfId="0" priority="428" operator="containsText" text="Problem">
      <formula>NOT(ISERROR(SEARCH(("Problem"),(E182))))</formula>
    </cfRule>
  </conditionalFormatting>
  <conditionalFormatting sqref="F595">
    <cfRule type="containsText" dxfId="0" priority="429" operator="containsText" text="Problem">
      <formula>NOT(ISERROR(SEARCH(("Problem"),(F595))))</formula>
    </cfRule>
  </conditionalFormatting>
  <conditionalFormatting sqref="F595">
    <cfRule type="containsText" dxfId="0" priority="430" operator="containsText" text="Problem">
      <formula>NOT(ISERROR(SEARCH(("Problem"),(F595))))</formula>
    </cfRule>
  </conditionalFormatting>
  <conditionalFormatting sqref="F595">
    <cfRule type="containsText" dxfId="0" priority="431" operator="containsText" text="Problem">
      <formula>NOT(ISERROR(SEARCH(("Problem"),(F595))))</formula>
    </cfRule>
  </conditionalFormatting>
  <conditionalFormatting sqref="A123:A178">
    <cfRule type="containsText" dxfId="0" priority="432" operator="containsText" text="Problem">
      <formula>NOT(ISERROR(SEARCH(("Problem"),(A123))))</formula>
    </cfRule>
  </conditionalFormatting>
  <conditionalFormatting sqref="A123:A178">
    <cfRule type="containsText" dxfId="0" priority="433" operator="containsText" text="Problem">
      <formula>NOT(ISERROR(SEARCH(("Problem"),(A123))))</formula>
    </cfRule>
  </conditionalFormatting>
  <conditionalFormatting sqref="A123:A178">
    <cfRule type="containsText" dxfId="0" priority="434" operator="containsText" text="Problem">
      <formula>NOT(ISERROR(SEARCH(("Problem"),(A123))))</formula>
    </cfRule>
  </conditionalFormatting>
  <conditionalFormatting sqref="D773:D800">
    <cfRule type="containsText" dxfId="0" priority="435" operator="containsText" text="Problem">
      <formula>NOT(ISERROR(SEARCH(("Problem"),(D773))))</formula>
    </cfRule>
  </conditionalFormatting>
  <conditionalFormatting sqref="D773:D800">
    <cfRule type="containsText" dxfId="0" priority="436" operator="containsText" text="Problem">
      <formula>NOT(ISERROR(SEARCH(("Problem"),(D773))))</formula>
    </cfRule>
  </conditionalFormatting>
  <conditionalFormatting sqref="D773:D800">
    <cfRule type="containsText" dxfId="0" priority="437" operator="containsText" text="Problem">
      <formula>NOT(ISERROR(SEARCH(("Problem"),(D773))))</formula>
    </cfRule>
  </conditionalFormatting>
  <conditionalFormatting sqref="F6:F34">
    <cfRule type="containsText" dxfId="0" priority="438" operator="containsText" text="Problem">
      <formula>NOT(ISERROR(SEARCH(("Problem"),(F6))))</formula>
    </cfRule>
  </conditionalFormatting>
  <conditionalFormatting sqref="F6:F34">
    <cfRule type="containsText" dxfId="0" priority="439" operator="containsText" text="Problem">
      <formula>NOT(ISERROR(SEARCH(("Problem"),(F6))))</formula>
    </cfRule>
  </conditionalFormatting>
  <conditionalFormatting sqref="F6:F34">
    <cfRule type="containsText" dxfId="0" priority="440" operator="containsText" text="Problem">
      <formula>NOT(ISERROR(SEARCH(("Problem"),(F6))))</formula>
    </cfRule>
  </conditionalFormatting>
  <conditionalFormatting sqref="A595:A650">
    <cfRule type="containsText" dxfId="0" priority="441" operator="containsText" text="Problem">
      <formula>NOT(ISERROR(SEARCH(("Problem"),(A595))))</formula>
    </cfRule>
  </conditionalFormatting>
  <conditionalFormatting sqref="A595:A650">
    <cfRule type="containsText" dxfId="0" priority="442" operator="containsText" text="Problem">
      <formula>NOT(ISERROR(SEARCH(("Problem"),(A595))))</formula>
    </cfRule>
  </conditionalFormatting>
  <conditionalFormatting sqref="A595:A650">
    <cfRule type="containsText" dxfId="0" priority="443" operator="containsText" text="Problem">
      <formula>NOT(ISERROR(SEARCH(("Problem"),(A595))))</formula>
    </cfRule>
  </conditionalFormatting>
  <conditionalFormatting sqref="A712:I712 A769:H769 I742:I769 J712:P769">
    <cfRule type="containsText" dxfId="0" priority="444" operator="containsText" text="Problem">
      <formula>NOT(ISERROR(SEARCH(("Problem"),(A712))))</formula>
    </cfRule>
  </conditionalFormatting>
  <conditionalFormatting sqref="A712:I712 A769:H769 I742:I769 J712:P769">
    <cfRule type="containsText" dxfId="0" priority="445" operator="containsText" text="Problem">
      <formula>NOT(ISERROR(SEARCH(("Problem"),(A712))))</formula>
    </cfRule>
  </conditionalFormatting>
  <conditionalFormatting sqref="A712:I712 A769:H769 I742:I769 J712:P769">
    <cfRule type="containsText" dxfId="0" priority="446" operator="containsText" text="Problem">
      <formula>NOT(ISERROR(SEARCH(("Problem"),(A712))))</formula>
    </cfRule>
  </conditionalFormatting>
  <conditionalFormatting sqref="B4 C3:C4 D4 D61:H61 E3:I4 K917:P918">
    <cfRule type="containsText" dxfId="0" priority="447" operator="containsText" text="Problem">
      <formula>NOT(ISERROR(SEARCH(("Problem"),(B4))))</formula>
    </cfRule>
  </conditionalFormatting>
  <conditionalFormatting sqref="B4 C3:C4 D4 D61:H61 E3:I4 K917:P918">
    <cfRule type="containsText" dxfId="0" priority="448" operator="containsText" text="Problem">
      <formula>NOT(ISERROR(SEARCH(("Problem"),(B4))))</formula>
    </cfRule>
  </conditionalFormatting>
  <conditionalFormatting sqref="B4 C3:C4 D4 D61:H61 E3:I4 K917:P918">
    <cfRule type="containsText" dxfId="0" priority="449" operator="containsText" text="Problem">
      <formula>NOT(ISERROR(SEARCH(("Problem"),(B4))))</formula>
    </cfRule>
  </conditionalFormatting>
  <conditionalFormatting sqref="D472:D473 E447:H473">
    <cfRule type="containsText" dxfId="0" priority="450" operator="containsText" text="Problem">
      <formula>NOT(ISERROR(SEARCH(("Problem"),(D472))))</formula>
    </cfRule>
  </conditionalFormatting>
  <conditionalFormatting sqref="D472:D473 E447:H473">
    <cfRule type="containsText" dxfId="0" priority="451" operator="containsText" text="Problem">
      <formula>NOT(ISERROR(SEARCH(("Problem"),(D472))))</formula>
    </cfRule>
  </conditionalFormatting>
  <conditionalFormatting sqref="D472:D473 E447:H473">
    <cfRule type="containsText" dxfId="0" priority="452" operator="containsText" text="Problem">
      <formula>NOT(ISERROR(SEARCH(("Problem"),(D472))))</formula>
    </cfRule>
  </conditionalFormatting>
  <conditionalFormatting sqref="G124:G151">
    <cfRule type="containsText" dxfId="0" priority="453" operator="containsText" text="Problem">
      <formula>NOT(ISERROR(SEARCH(("Problem"),(G124))))</formula>
    </cfRule>
  </conditionalFormatting>
  <conditionalFormatting sqref="G124:G151">
    <cfRule type="containsText" dxfId="0" priority="454" operator="containsText" text="Problem">
      <formula>NOT(ISERROR(SEARCH(("Problem"),(G124))))</formula>
    </cfRule>
  </conditionalFormatting>
  <conditionalFormatting sqref="G124:G151">
    <cfRule type="containsText" dxfId="0" priority="455" operator="containsText" text="Problem">
      <formula>NOT(ISERROR(SEARCH(("Problem"),(G124))))</formula>
    </cfRule>
  </conditionalFormatting>
  <conditionalFormatting sqref="D832:D859">
    <cfRule type="containsText" dxfId="0" priority="456" operator="containsText" text="Problem">
      <formula>NOT(ISERROR(SEARCH(("Problem"),(D832))))</formula>
    </cfRule>
  </conditionalFormatting>
  <conditionalFormatting sqref="D832:D859">
    <cfRule type="containsText" dxfId="0" priority="457" operator="containsText" text="Problem">
      <formula>NOT(ISERROR(SEARCH(("Problem"),(D832))))</formula>
    </cfRule>
  </conditionalFormatting>
  <conditionalFormatting sqref="D832:D859">
    <cfRule type="containsText" dxfId="0" priority="458" operator="containsText" text="Problem">
      <formula>NOT(ISERROR(SEARCH(("Problem"),(D832))))</formula>
    </cfRule>
  </conditionalFormatting>
  <conditionalFormatting sqref="E478:E505">
    <cfRule type="containsText" dxfId="0" priority="459" operator="containsText" text="Problem">
      <formula>NOT(ISERROR(SEARCH(("Problem"),(E478))))</formula>
    </cfRule>
  </conditionalFormatting>
  <conditionalFormatting sqref="E478:E505">
    <cfRule type="containsText" dxfId="0" priority="460" operator="containsText" text="Problem">
      <formula>NOT(ISERROR(SEARCH(("Problem"),(E478))))</formula>
    </cfRule>
  </conditionalFormatting>
  <conditionalFormatting sqref="E478:E505">
    <cfRule type="containsText" dxfId="0" priority="461" operator="containsText" text="Problem">
      <formula>NOT(ISERROR(SEARCH(("Problem"),(E478))))</formula>
    </cfRule>
  </conditionalFormatting>
  <conditionalFormatting sqref="D683:D707">
    <cfRule type="containsText" dxfId="0" priority="462" operator="containsText" text="Problem">
      <formula>NOT(ISERROR(SEARCH(("Problem"),(D683))))</formula>
    </cfRule>
  </conditionalFormatting>
  <conditionalFormatting sqref="D683:D707">
    <cfRule type="containsText" dxfId="0" priority="463" operator="containsText" text="Problem">
      <formula>NOT(ISERROR(SEARCH(("Problem"),(D683))))</formula>
    </cfRule>
  </conditionalFormatting>
  <conditionalFormatting sqref="C711 E711:I711">
    <cfRule type="containsText" dxfId="0" priority="464" operator="containsText" text="Problem">
      <formula>NOT(ISERROR(SEARCH(("Problem"),(C711))))</formula>
    </cfRule>
  </conditionalFormatting>
  <conditionalFormatting sqref="C711 E711:I711">
    <cfRule type="containsText" dxfId="0" priority="465" operator="containsText" text="Problem">
      <formula>NOT(ISERROR(SEARCH(("Problem"),(C711))))</formula>
    </cfRule>
  </conditionalFormatting>
  <conditionalFormatting sqref="C711 E711:I711">
    <cfRule type="containsText" dxfId="0" priority="466" operator="containsText" text="Problem">
      <formula>NOT(ISERROR(SEARCH(("Problem"),(C711))))</formula>
    </cfRule>
  </conditionalFormatting>
  <conditionalFormatting sqref="B101:C101 B113:B116 B118:C119 C70:C100 C110:C116">
    <cfRule type="containsText" dxfId="0" priority="467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468" operator="containsText" text="Problem">
      <formula>NOT(ISERROR(SEARCH(("Problem"),(B101))))</formula>
    </cfRule>
  </conditionalFormatting>
  <conditionalFormatting sqref="B101:C101 B113:B116 B118:C119 C70:C100 C110:C116">
    <cfRule type="containsText" dxfId="0" priority="469" operator="containsText" text="Problem">
      <formula>NOT(ISERROR(SEARCH(("Problem"),(B101))))</formula>
    </cfRule>
  </conditionalFormatting>
  <conditionalFormatting sqref="E65:E92">
    <cfRule type="containsText" dxfId="0" priority="470" operator="containsText" text="Problem">
      <formula>NOT(ISERROR(SEARCH(("Problem"),(E65))))</formula>
    </cfRule>
  </conditionalFormatting>
  <conditionalFormatting sqref="E65:E92">
    <cfRule type="containsText" dxfId="0" priority="471" operator="containsText" text="Problem">
      <formula>NOT(ISERROR(SEARCH(("Problem"),(E65))))</formula>
    </cfRule>
  </conditionalFormatting>
  <conditionalFormatting sqref="E65:E92">
    <cfRule type="containsText" dxfId="0" priority="472" operator="containsText" text="Problem">
      <formula>NOT(ISERROR(SEARCH(("Problem"),(E65))))</formula>
    </cfRule>
  </conditionalFormatting>
  <conditionalFormatting sqref="H182">
    <cfRule type="containsText" dxfId="0" priority="473" operator="containsText" text="Problem">
      <formula>NOT(ISERROR(SEARCH(("Problem"),(H182))))</formula>
    </cfRule>
  </conditionalFormatting>
  <conditionalFormatting sqref="H182">
    <cfRule type="containsText" dxfId="0" priority="474" operator="containsText" text="Problem">
      <formula>NOT(ISERROR(SEARCH(("Problem"),(H182))))</formula>
    </cfRule>
  </conditionalFormatting>
  <conditionalFormatting sqref="H182">
    <cfRule type="containsText" dxfId="0" priority="475" operator="containsText" text="Problem">
      <formula>NOT(ISERROR(SEARCH(("Problem"),(H182))))</formula>
    </cfRule>
  </conditionalFormatting>
  <conditionalFormatting sqref="F773:F800">
    <cfRule type="containsText" dxfId="0" priority="476" operator="containsText" text="Problem">
      <formula>NOT(ISERROR(SEARCH(("Problem"),(F773))))</formula>
    </cfRule>
  </conditionalFormatting>
  <conditionalFormatting sqref="F773:F800">
    <cfRule type="containsText" dxfId="0" priority="477" operator="containsText" text="Problem">
      <formula>NOT(ISERROR(SEARCH(("Problem"),(F773))))</formula>
    </cfRule>
  </conditionalFormatting>
  <conditionalFormatting sqref="F773:F800">
    <cfRule type="containsText" dxfId="0" priority="478" operator="containsText" text="Problem">
      <formula>NOT(ISERROR(SEARCH(("Problem"),(F773))))</formula>
    </cfRule>
  </conditionalFormatting>
  <conditionalFormatting sqref="D65:D92">
    <cfRule type="containsText" dxfId="0" priority="479" operator="containsText" text="Problem">
      <formula>NOT(ISERROR(SEARCH(("Problem"),(D65))))</formula>
    </cfRule>
  </conditionalFormatting>
  <conditionalFormatting sqref="D65:D92">
    <cfRule type="containsText" dxfId="0" priority="480" operator="containsText" text="Problem">
      <formula>NOT(ISERROR(SEARCH(("Problem"),(D65))))</formula>
    </cfRule>
  </conditionalFormatting>
  <conditionalFormatting sqref="D65:D92">
    <cfRule type="containsText" dxfId="0" priority="481" operator="containsText" text="Problem">
      <formula>NOT(ISERROR(SEARCH(("Problem"),(D65))))</formula>
    </cfRule>
  </conditionalFormatting>
  <conditionalFormatting sqref="A62 J62:P62">
    <cfRule type="containsText" dxfId="0" priority="482" operator="containsText" text="Problem">
      <formula>NOT(ISERROR(SEARCH(("Problem"),(A62))))</formula>
    </cfRule>
  </conditionalFormatting>
  <conditionalFormatting sqref="A62 J62:P62">
    <cfRule type="containsText" dxfId="0" priority="483" operator="containsText" text="Problem">
      <formula>NOT(ISERROR(SEARCH(("Problem"),(A62))))</formula>
    </cfRule>
  </conditionalFormatting>
  <conditionalFormatting sqref="A62 J62:P62">
    <cfRule type="containsText" dxfId="0" priority="484" operator="containsText" text="Problem">
      <formula>NOT(ISERROR(SEARCH(("Problem"),(A62))))</formula>
    </cfRule>
  </conditionalFormatting>
  <conditionalFormatting sqref="A180 J180:P180">
    <cfRule type="containsText" dxfId="0" priority="485" operator="containsText" text="Problem">
      <formula>NOT(ISERROR(SEARCH(("Problem"),(A180))))</formula>
    </cfRule>
  </conditionalFormatting>
  <conditionalFormatting sqref="A180 J180:P180">
    <cfRule type="containsText" dxfId="0" priority="486" operator="containsText" text="Problem">
      <formula>NOT(ISERROR(SEARCH(("Problem"),(A180))))</formula>
    </cfRule>
  </conditionalFormatting>
  <conditionalFormatting sqref="A180 J180:P180">
    <cfRule type="containsText" dxfId="0" priority="487" operator="containsText" text="Problem">
      <formula>NOT(ISERROR(SEARCH(("Problem"),(A180))))</formula>
    </cfRule>
  </conditionalFormatting>
  <conditionalFormatting sqref="E64">
    <cfRule type="containsText" dxfId="0" priority="488" operator="containsText" text="Problem">
      <formula>NOT(ISERROR(SEARCH(("Problem"),(E64))))</formula>
    </cfRule>
  </conditionalFormatting>
  <conditionalFormatting sqref="E64">
    <cfRule type="containsText" dxfId="0" priority="489" operator="containsText" text="Problem">
      <formula>NOT(ISERROR(SEARCH(("Problem"),(E64))))</formula>
    </cfRule>
  </conditionalFormatting>
  <conditionalFormatting sqref="E64">
    <cfRule type="containsText" dxfId="0" priority="490" operator="containsText" text="Problem">
      <formula>NOT(ISERROR(SEARCH(("Problem"),(E64))))</formula>
    </cfRule>
  </conditionalFormatting>
  <conditionalFormatting sqref="C829 E829:I829">
    <cfRule type="containsText" dxfId="0" priority="491" operator="containsText" text="Problem">
      <formula>NOT(ISERROR(SEARCH(("Problem"),(C829))))</formula>
    </cfRule>
  </conditionalFormatting>
  <conditionalFormatting sqref="C829 E829:I829">
    <cfRule type="containsText" dxfId="0" priority="492" operator="containsText" text="Problem">
      <formula>NOT(ISERROR(SEARCH(("Problem"),(C829))))</formula>
    </cfRule>
  </conditionalFormatting>
  <conditionalFormatting sqref="C829 E829:I829">
    <cfRule type="containsText" dxfId="0" priority="493" operator="containsText" text="Problem">
      <formula>NOT(ISERROR(SEARCH(("Problem"),(C829))))</formula>
    </cfRule>
  </conditionalFormatting>
  <conditionalFormatting sqref="A240:I240 A297:H297 I270:I297 J240:P297">
    <cfRule type="containsText" dxfId="0" priority="494" operator="containsText" text="Problem">
      <formula>NOT(ISERROR(SEARCH(("Problem"),(A240))))</formula>
    </cfRule>
  </conditionalFormatting>
  <conditionalFormatting sqref="A240:I240 A297:H297 I270:I297 J240:P297">
    <cfRule type="containsText" dxfId="0" priority="495" operator="containsText" text="Problem">
      <formula>NOT(ISERROR(SEARCH(("Problem"),(A240))))</formula>
    </cfRule>
  </conditionalFormatting>
  <conditionalFormatting sqref="A240:I240 A297:H297 I270:I297 J240:P297">
    <cfRule type="containsText" dxfId="0" priority="496" operator="containsText" text="Problem">
      <formula>NOT(ISERROR(SEARCH(("Problem"),(A240))))</formula>
    </cfRule>
  </conditionalFormatting>
  <conditionalFormatting sqref="E300">
    <cfRule type="containsText" dxfId="0" priority="497" operator="containsText" text="Problem">
      <formula>NOT(ISERROR(SEARCH(("Problem"),(E300))))</formula>
    </cfRule>
  </conditionalFormatting>
  <conditionalFormatting sqref="E300">
    <cfRule type="containsText" dxfId="0" priority="498" operator="containsText" text="Problem">
      <formula>NOT(ISERROR(SEARCH(("Problem"),(E300))))</formula>
    </cfRule>
  </conditionalFormatting>
  <conditionalFormatting sqref="E300">
    <cfRule type="containsText" dxfId="0" priority="499" operator="containsText" text="Problem">
      <formula>NOT(ISERROR(SEARCH(("Problem"),(E300))))</formula>
    </cfRule>
  </conditionalFormatting>
  <conditionalFormatting sqref="G596:G623">
    <cfRule type="containsText" dxfId="0" priority="500" operator="containsText" text="Problem">
      <formula>NOT(ISERROR(SEARCH(("Problem"),(G596))))</formula>
    </cfRule>
  </conditionalFormatting>
  <conditionalFormatting sqref="G596:G623">
    <cfRule type="containsText" dxfId="0" priority="501" operator="containsText" text="Problem">
      <formula>NOT(ISERROR(SEARCH(("Problem"),(G596))))</formula>
    </cfRule>
  </conditionalFormatting>
  <conditionalFormatting sqref="G596:G623">
    <cfRule type="containsText" dxfId="0" priority="502" operator="containsText" text="Problem">
      <formula>NOT(ISERROR(SEARCH(("Problem"),(G596))))</formula>
    </cfRule>
  </conditionalFormatting>
  <conditionalFormatting sqref="I123">
    <cfRule type="containsText" dxfId="0" priority="503" operator="containsText" text="Problem">
      <formula>NOT(ISERROR(SEARCH(("Problem"),(I123))))</formula>
    </cfRule>
  </conditionalFormatting>
  <conditionalFormatting sqref="I123">
    <cfRule type="containsText" dxfId="0" priority="504" operator="containsText" text="Problem">
      <formula>NOT(ISERROR(SEARCH(("Problem"),(I123))))</formula>
    </cfRule>
  </conditionalFormatting>
  <conditionalFormatting sqref="I123">
    <cfRule type="containsText" dxfId="0" priority="505" operator="containsText" text="Problem">
      <formula>NOT(ISERROR(SEARCH(("Problem"),(I123))))</formula>
    </cfRule>
  </conditionalFormatting>
  <conditionalFormatting sqref="F359">
    <cfRule type="containsText" dxfId="0" priority="506" operator="containsText" text="Problem">
      <formula>NOT(ISERROR(SEARCH(("Problem"),(F359))))</formula>
    </cfRule>
  </conditionalFormatting>
  <conditionalFormatting sqref="F359">
    <cfRule type="containsText" dxfId="0" priority="507" operator="containsText" text="Problem">
      <formula>NOT(ISERROR(SEARCH(("Problem"),(F359))))</formula>
    </cfRule>
  </conditionalFormatting>
  <conditionalFormatting sqref="F359">
    <cfRule type="containsText" dxfId="0" priority="508" operator="containsText" text="Problem">
      <formula>NOT(ISERROR(SEARCH(("Problem"),(F359))))</formula>
    </cfRule>
  </conditionalFormatting>
  <conditionalFormatting sqref="A889:C889 A946:P946 D889:D890 E889:I889 J889:P890 K891:P945">
    <cfRule type="containsText" dxfId="0" priority="509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510" operator="containsText" text="Problem">
      <formula>NOT(ISERROR(SEARCH(("Problem"),(A889))))</formula>
    </cfRule>
  </conditionalFormatting>
  <conditionalFormatting sqref="A889:C889 A946:P946 D889:D890 E889:I889 J889:P890 K891:P945">
    <cfRule type="containsText" dxfId="0" priority="511" operator="containsText" text="Problem">
      <formula>NOT(ISERROR(SEARCH(("Problem"),(A889))))</formula>
    </cfRule>
  </conditionalFormatting>
  <conditionalFormatting sqref="E360:E387">
    <cfRule type="containsText" dxfId="0" priority="512" operator="containsText" text="Problem">
      <formula>NOT(ISERROR(SEARCH(("Problem"),(E360))))</formula>
    </cfRule>
  </conditionalFormatting>
  <conditionalFormatting sqref="E360:E387">
    <cfRule type="containsText" dxfId="0" priority="513" operator="containsText" text="Problem">
      <formula>NOT(ISERROR(SEARCH(("Problem"),(E360))))</formula>
    </cfRule>
  </conditionalFormatting>
  <conditionalFormatting sqref="E360:E387">
    <cfRule type="containsText" dxfId="0" priority="514" operator="containsText" text="Problem">
      <formula>NOT(ISERROR(SEARCH(("Problem"),(E360))))</formula>
    </cfRule>
  </conditionalFormatting>
  <conditionalFormatting sqref="E714:E741">
    <cfRule type="containsText" dxfId="0" priority="515" operator="containsText" text="Problem">
      <formula>NOT(ISERROR(SEARCH(("Problem"),(E714))))</formula>
    </cfRule>
  </conditionalFormatting>
  <conditionalFormatting sqref="E714:E741">
    <cfRule type="containsText" dxfId="0" priority="516" operator="containsText" text="Problem">
      <formula>NOT(ISERROR(SEARCH(("Problem"),(E714))))</formula>
    </cfRule>
  </conditionalFormatting>
  <conditionalFormatting sqref="E714:E741">
    <cfRule type="containsText" dxfId="0" priority="517" operator="containsText" text="Problem">
      <formula>NOT(ISERROR(SEARCH(("Problem"),(E714))))</formula>
    </cfRule>
  </conditionalFormatting>
  <conditionalFormatting sqref="C888">
    <cfRule type="containsText" dxfId="0" priority="518" operator="containsText" text="Problem">
      <formula>NOT(ISERROR(SEARCH(("Problem"),(C888))))</formula>
    </cfRule>
  </conditionalFormatting>
  <conditionalFormatting sqref="C888">
    <cfRule type="containsText" dxfId="0" priority="519" operator="containsText" text="Problem">
      <formula>NOT(ISERROR(SEARCH(("Problem"),(C888))))</formula>
    </cfRule>
  </conditionalFormatting>
  <conditionalFormatting sqref="C888">
    <cfRule type="containsText" dxfId="0" priority="520" operator="containsText" text="Problem">
      <formula>NOT(ISERROR(SEARCH(("Problem"),(C888))))</formula>
    </cfRule>
  </conditionalFormatting>
  <conditionalFormatting sqref="B278:C278 B290:B293 B295:C296 C247:C277 C287:C293">
    <cfRule type="containsText" dxfId="0" priority="521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522" operator="containsText" text="Problem">
      <formula>NOT(ISERROR(SEARCH(("Problem"),(B278))))</formula>
    </cfRule>
  </conditionalFormatting>
  <conditionalFormatting sqref="B278:C278 B290:B293 B295:C296 C247:C277 C287:C293">
    <cfRule type="containsText" dxfId="0" priority="523" operator="containsText" text="Problem">
      <formula>NOT(ISERROR(SEARCH(("Problem"),(B278))))</formula>
    </cfRule>
  </conditionalFormatting>
  <conditionalFormatting sqref="G182">
    <cfRule type="containsText" dxfId="0" priority="524" operator="containsText" text="Problem">
      <formula>NOT(ISERROR(SEARCH(("Problem"),(G182))))</formula>
    </cfRule>
  </conditionalFormatting>
  <conditionalFormatting sqref="G182">
    <cfRule type="containsText" dxfId="0" priority="525" operator="containsText" text="Problem">
      <formula>NOT(ISERROR(SEARCH(("Problem"),(G182))))</formula>
    </cfRule>
  </conditionalFormatting>
  <conditionalFormatting sqref="G182">
    <cfRule type="containsText" dxfId="0" priority="526" operator="containsText" text="Problem">
      <formula>NOT(ISERROR(SEARCH(("Problem"),(G182))))</formula>
    </cfRule>
  </conditionalFormatting>
  <conditionalFormatting sqref="A182:A237">
    <cfRule type="containsText" dxfId="0" priority="527" operator="containsText" text="Problem">
      <formula>NOT(ISERROR(SEARCH(("Problem"),(A182))))</formula>
    </cfRule>
  </conditionalFormatting>
  <conditionalFormatting sqref="A182:A237">
    <cfRule type="containsText" dxfId="0" priority="528" operator="containsText" text="Problem">
      <formula>NOT(ISERROR(SEARCH(("Problem"),(A182))))</formula>
    </cfRule>
  </conditionalFormatting>
  <conditionalFormatting sqref="A182:A237">
    <cfRule type="containsText" dxfId="0" priority="529" operator="containsText" text="Problem">
      <formula>NOT(ISERROR(SEARCH(("Problem"),(A182))))</formula>
    </cfRule>
  </conditionalFormatting>
  <conditionalFormatting sqref="I6:I34">
    <cfRule type="containsText" dxfId="0" priority="530" operator="containsText" text="Problem">
      <formula>NOT(ISERROR(SEARCH(("Problem"),(I6))))</formula>
    </cfRule>
  </conditionalFormatting>
  <conditionalFormatting sqref="I6:I34">
    <cfRule type="containsText" dxfId="0" priority="531" operator="containsText" text="Problem">
      <formula>NOT(ISERROR(SEARCH(("Problem"),(I6))))</formula>
    </cfRule>
  </conditionalFormatting>
  <conditionalFormatting sqref="I6:I34">
    <cfRule type="containsText" dxfId="0" priority="532" operator="containsText" text="Problem">
      <formula>NOT(ISERROR(SEARCH(("Problem"),(I6))))</formula>
    </cfRule>
  </conditionalFormatting>
  <conditionalFormatting sqref="I6:I34">
    <cfRule type="containsText" dxfId="0" priority="533" operator="containsText" text="Problem">
      <formula>NOT(ISERROR(SEARCH(("Problem"),(I6))))</formula>
    </cfRule>
  </conditionalFormatting>
  <conditionalFormatting sqref="I6:I34">
    <cfRule type="containsText" dxfId="0" priority="534" operator="containsText" text="Problem">
      <formula>NOT(ISERROR(SEARCH(("Problem"),(I6))))</formula>
    </cfRule>
  </conditionalFormatting>
  <conditionalFormatting sqref="I6:I34">
    <cfRule type="containsText" dxfId="0" priority="535" operator="containsText" text="Problem">
      <formula>NOT(ISERROR(SEARCH(("Problem"),(I6))))</formula>
    </cfRule>
  </conditionalFormatting>
  <conditionalFormatting sqref="A888 E888:P888">
    <cfRule type="containsText" dxfId="0" priority="536" operator="containsText" text="Problem">
      <formula>NOT(ISERROR(SEARCH(("Problem"),(A888))))</formula>
    </cfRule>
  </conditionalFormatting>
  <conditionalFormatting sqref="A888 E888:P888">
    <cfRule type="containsText" dxfId="0" priority="537" operator="containsText" text="Problem">
      <formula>NOT(ISERROR(SEARCH(("Problem"),(A888))))</formula>
    </cfRule>
  </conditionalFormatting>
  <conditionalFormatting sqref="A888 E888:P888">
    <cfRule type="containsText" dxfId="0" priority="538" operator="containsText" text="Problem">
      <formula>NOT(ISERROR(SEARCH(("Problem"),(A888))))</formula>
    </cfRule>
  </conditionalFormatting>
  <conditionalFormatting sqref="F419:F446">
    <cfRule type="containsText" dxfId="0" priority="539" operator="containsText" text="Problem">
      <formula>NOT(ISERROR(SEARCH(("Problem"),(F419))))</formula>
    </cfRule>
  </conditionalFormatting>
  <conditionalFormatting sqref="F419:F446">
    <cfRule type="containsText" dxfId="0" priority="540" operator="containsText" text="Problem">
      <formula>NOT(ISERROR(SEARCH(("Problem"),(F419))))</formula>
    </cfRule>
  </conditionalFormatting>
  <conditionalFormatting sqref="F419:F446">
    <cfRule type="containsText" dxfId="0" priority="541" operator="containsText" text="Problem">
      <formula>NOT(ISERROR(SEARCH(("Problem"),(F419))))</formula>
    </cfRule>
  </conditionalFormatting>
  <conditionalFormatting sqref="F713">
    <cfRule type="containsText" dxfId="0" priority="542" operator="containsText" text="Problem">
      <formula>NOT(ISERROR(SEARCH(("Problem"),(F713))))</formula>
    </cfRule>
  </conditionalFormatting>
  <conditionalFormatting sqref="F713">
    <cfRule type="containsText" dxfId="0" priority="543" operator="containsText" text="Problem">
      <formula>NOT(ISERROR(SEARCH(("Problem"),(F713))))</formula>
    </cfRule>
  </conditionalFormatting>
  <conditionalFormatting sqref="F713">
    <cfRule type="containsText" dxfId="0" priority="544" operator="containsText" text="Problem">
      <formula>NOT(ISERROR(SEARCH(("Problem"),(F713))))</formula>
    </cfRule>
  </conditionalFormatting>
  <conditionalFormatting sqref="D123">
    <cfRule type="containsText" dxfId="0" priority="545" operator="containsText" text="Problem">
      <formula>NOT(ISERROR(SEARCH(("Problem"),(D123))))</formula>
    </cfRule>
  </conditionalFormatting>
  <conditionalFormatting sqref="G241">
    <cfRule type="containsText" dxfId="0" priority="546" operator="containsText" text="Problem">
      <formula>NOT(ISERROR(SEARCH(("Problem"),(G241))))</formula>
    </cfRule>
  </conditionalFormatting>
  <conditionalFormatting sqref="G241">
    <cfRule type="containsText" dxfId="0" priority="547" operator="containsText" text="Problem">
      <formula>NOT(ISERROR(SEARCH(("Problem"),(G241))))</formula>
    </cfRule>
  </conditionalFormatting>
  <conditionalFormatting sqref="G241">
    <cfRule type="containsText" dxfId="0" priority="548" operator="containsText" text="Problem">
      <formula>NOT(ISERROR(SEARCH(("Problem"),(G241))))</formula>
    </cfRule>
  </conditionalFormatting>
  <conditionalFormatting sqref="C180 E180:I180">
    <cfRule type="containsText" dxfId="0" priority="549" operator="containsText" text="Problem">
      <formula>NOT(ISERROR(SEARCH(("Problem"),(C180))))</formula>
    </cfRule>
  </conditionalFormatting>
  <conditionalFormatting sqref="C180 E180:I180">
    <cfRule type="containsText" dxfId="0" priority="550" operator="containsText" text="Problem">
      <formula>NOT(ISERROR(SEARCH(("Problem"),(C180))))</formula>
    </cfRule>
  </conditionalFormatting>
  <conditionalFormatting sqref="C180 E180:I180">
    <cfRule type="containsText" dxfId="0" priority="551" operator="containsText" text="Problem">
      <formula>NOT(ISERROR(SEARCH(("Problem"),(C180))))</formula>
    </cfRule>
  </conditionalFormatting>
  <conditionalFormatting sqref="D183:D210">
    <cfRule type="containsText" dxfId="0" priority="552" operator="containsText" text="Problem">
      <formula>NOT(ISERROR(SEARCH(("Problem"),(D183))))</formula>
    </cfRule>
  </conditionalFormatting>
  <conditionalFormatting sqref="D183:D210">
    <cfRule type="containsText" dxfId="0" priority="553" operator="containsText" text="Problem">
      <formula>NOT(ISERROR(SEARCH(("Problem"),(D183))))</formula>
    </cfRule>
  </conditionalFormatting>
  <conditionalFormatting sqref="D183:D210">
    <cfRule type="containsText" dxfId="0" priority="554" operator="containsText" text="Problem">
      <formula>NOT(ISERROR(SEARCH(("Problem"),(D183))))</formula>
    </cfRule>
  </conditionalFormatting>
  <conditionalFormatting sqref="A535:I535 A592:H592 I565:I592 J535:P592">
    <cfRule type="containsText" dxfId="0" priority="555" operator="containsText" text="Problem">
      <formula>NOT(ISERROR(SEARCH(("Problem"),(A535))))</formula>
    </cfRule>
  </conditionalFormatting>
  <conditionalFormatting sqref="A535:I535 A592:H592 I565:I592 J535:P592">
    <cfRule type="containsText" dxfId="0" priority="556" operator="containsText" text="Problem">
      <formula>NOT(ISERROR(SEARCH(("Problem"),(A535))))</formula>
    </cfRule>
  </conditionalFormatting>
  <conditionalFormatting sqref="A535:I535 A592:H592 I565:I592 J535:P592">
    <cfRule type="containsText" dxfId="0" priority="557" operator="containsText" text="Problem">
      <formula>NOT(ISERROR(SEARCH(("Problem"),(A535))))</formula>
    </cfRule>
  </conditionalFormatting>
  <conditionalFormatting sqref="G6:G34">
    <cfRule type="containsText" dxfId="0" priority="558" operator="containsText" text="Problem">
      <formula>NOT(ISERROR(SEARCH(("Problem"),(G6))))</formula>
    </cfRule>
  </conditionalFormatting>
  <conditionalFormatting sqref="G6:G34">
    <cfRule type="containsText" dxfId="0" priority="559" operator="containsText" text="Problem">
      <formula>NOT(ISERROR(SEARCH(("Problem"),(G6))))</formula>
    </cfRule>
  </conditionalFormatting>
  <conditionalFormatting sqref="G6:G34">
    <cfRule type="containsText" dxfId="0" priority="560" operator="containsText" text="Problem">
      <formula>NOT(ISERROR(SEARCH(("Problem"),(G6))))</formula>
    </cfRule>
  </conditionalFormatting>
  <conditionalFormatting sqref="F301:F328">
    <cfRule type="containsText" dxfId="0" priority="561" operator="containsText" text="Problem">
      <formula>NOT(ISERROR(SEARCH(("Problem"),(F301))))</formula>
    </cfRule>
  </conditionalFormatting>
  <conditionalFormatting sqref="F301:F328">
    <cfRule type="containsText" dxfId="0" priority="562" operator="containsText" text="Problem">
      <formula>NOT(ISERROR(SEARCH(("Problem"),(F301))))</formula>
    </cfRule>
  </conditionalFormatting>
  <conditionalFormatting sqref="F301:F328">
    <cfRule type="containsText" dxfId="0" priority="563" operator="containsText" text="Problem">
      <formula>NOT(ISERROR(SEARCH(("Problem"),(F301))))</formula>
    </cfRule>
  </conditionalFormatting>
  <conditionalFormatting sqref="F831">
    <cfRule type="containsText" dxfId="0" priority="564" operator="containsText" text="Problem">
      <formula>NOT(ISERROR(SEARCH(("Problem"),(F831))))</formula>
    </cfRule>
  </conditionalFormatting>
  <conditionalFormatting sqref="F831">
    <cfRule type="containsText" dxfId="0" priority="565" operator="containsText" text="Problem">
      <formula>NOT(ISERROR(SEARCH(("Problem"),(F831))))</formula>
    </cfRule>
  </conditionalFormatting>
  <conditionalFormatting sqref="F831">
    <cfRule type="containsText" dxfId="0" priority="566" operator="containsText" text="Problem">
      <formula>NOT(ISERROR(SEARCH(("Problem"),(F831))))</formula>
    </cfRule>
  </conditionalFormatting>
  <conditionalFormatting sqref="G832:G859">
    <cfRule type="containsText" dxfId="0" priority="567" operator="containsText" text="Problem">
      <formula>NOT(ISERROR(SEARCH(("Problem"),(G832))))</formula>
    </cfRule>
  </conditionalFormatting>
  <conditionalFormatting sqref="G832:G859">
    <cfRule type="containsText" dxfId="0" priority="568" operator="containsText" text="Problem">
      <formula>NOT(ISERROR(SEARCH(("Problem"),(G832))))</formula>
    </cfRule>
  </conditionalFormatting>
  <conditionalFormatting sqref="G832:G859">
    <cfRule type="containsText" dxfId="0" priority="569" operator="containsText" text="Problem">
      <formula>NOT(ISERROR(SEARCH(("Problem"),(G832))))</formula>
    </cfRule>
  </conditionalFormatting>
  <conditionalFormatting sqref="E241">
    <cfRule type="containsText" dxfId="0" priority="570" operator="containsText" text="Problem">
      <formula>NOT(ISERROR(SEARCH(("Problem"),(E241))))</formula>
    </cfRule>
  </conditionalFormatting>
  <conditionalFormatting sqref="E241">
    <cfRule type="containsText" dxfId="0" priority="571" operator="containsText" text="Problem">
      <formula>NOT(ISERROR(SEARCH(("Problem"),(E241))))</formula>
    </cfRule>
  </conditionalFormatting>
  <conditionalFormatting sqref="E241">
    <cfRule type="containsText" dxfId="0" priority="572" operator="containsText" text="Problem">
      <formula>NOT(ISERROR(SEARCH(("Problem"),(E241))))</formula>
    </cfRule>
  </conditionalFormatting>
  <conditionalFormatting sqref="H536">
    <cfRule type="containsText" dxfId="0" priority="573" operator="containsText" text="Problem">
      <formula>NOT(ISERROR(SEARCH(("Problem"),(H536))))</formula>
    </cfRule>
  </conditionalFormatting>
  <conditionalFormatting sqref="H536">
    <cfRule type="containsText" dxfId="0" priority="574" operator="containsText" text="Problem">
      <formula>NOT(ISERROR(SEARCH(("Problem"),(H536))))</formula>
    </cfRule>
  </conditionalFormatting>
  <conditionalFormatting sqref="H536">
    <cfRule type="containsText" dxfId="0" priority="575" operator="containsText" text="Problem">
      <formula>NOT(ISERROR(SEARCH(("Problem"),(H536))))</formula>
    </cfRule>
  </conditionalFormatting>
  <conditionalFormatting sqref="D595">
    <cfRule type="containsText" dxfId="0" priority="576" operator="containsText" text="Problem">
      <formula>NOT(ISERROR(SEARCH(("Problem"),(D595))))</formula>
    </cfRule>
  </conditionalFormatting>
  <conditionalFormatting sqref="H5">
    <cfRule type="containsText" dxfId="0" priority="577" operator="containsText" text="Problem">
      <formula>NOT(ISERROR(SEARCH(("Problem"),(H5))))</formula>
    </cfRule>
  </conditionalFormatting>
  <conditionalFormatting sqref="H5">
    <cfRule type="containsText" dxfId="0" priority="578" operator="containsText" text="Problem">
      <formula>NOT(ISERROR(SEARCH(("Problem"),(H5))))</formula>
    </cfRule>
  </conditionalFormatting>
  <conditionalFormatting sqref="H5">
    <cfRule type="containsText" dxfId="0" priority="579" operator="containsText" text="Problem">
      <formula>NOT(ISERROR(SEARCH(("Problem"),(H5))))</formula>
    </cfRule>
  </conditionalFormatting>
  <conditionalFormatting sqref="D152:D176">
    <cfRule type="containsText" dxfId="0" priority="580" operator="containsText" text="Problem">
      <formula>NOT(ISERROR(SEARCH(("Problem"),(D152))))</formula>
    </cfRule>
  </conditionalFormatting>
  <conditionalFormatting sqref="D152:D176">
    <cfRule type="containsText" dxfId="0" priority="581" operator="containsText" text="Problem">
      <formula>NOT(ISERROR(SEARCH(("Problem"),(D152))))</formula>
    </cfRule>
  </conditionalFormatting>
  <conditionalFormatting sqref="I655:I682">
    <cfRule type="containsText" dxfId="0" priority="582" operator="containsText" text="Problem">
      <formula>NOT(ISERROR(SEARCH(("Problem"),(I655))))</formula>
    </cfRule>
  </conditionalFormatting>
  <conditionalFormatting sqref="I655:I682">
    <cfRule type="containsText" dxfId="0" priority="583" operator="containsText" text="Problem">
      <formula>NOT(ISERROR(SEARCH(("Problem"),(I655))))</formula>
    </cfRule>
  </conditionalFormatting>
  <conditionalFormatting sqref="I655:I682">
    <cfRule type="containsText" dxfId="0" priority="584" operator="containsText" text="Problem">
      <formula>NOT(ISERROR(SEARCH(("Problem"),(I655))))</formula>
    </cfRule>
  </conditionalFormatting>
  <conditionalFormatting sqref="I655:I682">
    <cfRule type="containsText" dxfId="0" priority="585" operator="containsText" text="Problem">
      <formula>NOT(ISERROR(SEARCH(("Problem"),(I655))))</formula>
    </cfRule>
  </conditionalFormatting>
  <conditionalFormatting sqref="G300">
    <cfRule type="containsText" dxfId="0" priority="586" operator="containsText" text="Problem">
      <formula>NOT(ISERROR(SEARCH(("Problem"),(G300))))</formula>
    </cfRule>
  </conditionalFormatting>
  <conditionalFormatting sqref="G300">
    <cfRule type="containsText" dxfId="0" priority="587" operator="containsText" text="Problem">
      <formula>NOT(ISERROR(SEARCH(("Problem"),(G300))))</formula>
    </cfRule>
  </conditionalFormatting>
  <conditionalFormatting sqref="G300">
    <cfRule type="containsText" dxfId="0" priority="588" operator="containsText" text="Problem">
      <formula>NOT(ISERROR(SEARCH(("Problem"),(G300))))</formula>
    </cfRule>
  </conditionalFormatting>
  <conditionalFormatting sqref="F536">
    <cfRule type="containsText" dxfId="0" priority="589" operator="containsText" text="Problem">
      <formula>NOT(ISERROR(SEARCH(("Problem"),(F536))))</formula>
    </cfRule>
  </conditionalFormatting>
  <conditionalFormatting sqref="F536">
    <cfRule type="containsText" dxfId="0" priority="590" operator="containsText" text="Problem">
      <formula>NOT(ISERROR(SEARCH(("Problem"),(F536))))</formula>
    </cfRule>
  </conditionalFormatting>
  <conditionalFormatting sqref="F536">
    <cfRule type="containsText" dxfId="0" priority="591" operator="containsText" text="Problem">
      <formula>NOT(ISERROR(SEARCH(("Problem"),(F536))))</formula>
    </cfRule>
  </conditionalFormatting>
  <conditionalFormatting sqref="G478:G505">
    <cfRule type="containsText" dxfId="0" priority="592" operator="containsText" text="Problem">
      <formula>NOT(ISERROR(SEARCH(("Problem"),(G478))))</formula>
    </cfRule>
  </conditionalFormatting>
  <conditionalFormatting sqref="G478:G505">
    <cfRule type="containsText" dxfId="0" priority="593" operator="containsText" text="Problem">
      <formula>NOT(ISERROR(SEARCH(("Problem"),(G478))))</formula>
    </cfRule>
  </conditionalFormatting>
  <conditionalFormatting sqref="G478:G505">
    <cfRule type="containsText" dxfId="0" priority="594" operator="containsText" text="Problem">
      <formula>NOT(ISERROR(SEARCH(("Problem"),(G478))))</formula>
    </cfRule>
  </conditionalFormatting>
  <conditionalFormatting sqref="I773:I800">
    <cfRule type="containsText" dxfId="0" priority="595" operator="containsText" text="Problem">
      <formula>NOT(ISERROR(SEARCH(("Problem"),(I773))))</formula>
    </cfRule>
  </conditionalFormatting>
  <conditionalFormatting sqref="I773:I800">
    <cfRule type="containsText" dxfId="0" priority="596" operator="containsText" text="Problem">
      <formula>NOT(ISERROR(SEARCH(("Problem"),(I773))))</formula>
    </cfRule>
  </conditionalFormatting>
  <conditionalFormatting sqref="I773:I800">
    <cfRule type="containsText" dxfId="0" priority="597" operator="containsText" text="Problem">
      <formula>NOT(ISERROR(SEARCH(("Problem"),(I773))))</formula>
    </cfRule>
  </conditionalFormatting>
  <conditionalFormatting sqref="I773:I800">
    <cfRule type="containsText" dxfId="0" priority="598" operator="containsText" text="Problem">
      <formula>NOT(ISERROR(SEARCH(("Problem"),(I773))))</formula>
    </cfRule>
  </conditionalFormatting>
  <conditionalFormatting sqref="D35:D59">
    <cfRule type="containsText" dxfId="0" priority="599" operator="containsText" text="Problem">
      <formula>NOT(ISERROR(SEARCH(("Problem"),(D35))))</formula>
    </cfRule>
  </conditionalFormatting>
  <conditionalFormatting sqref="D35:D59">
    <cfRule type="containsText" dxfId="0" priority="600" operator="containsText" text="Problem">
      <formula>NOT(ISERROR(SEARCH(("Problem"),(D35))))</formula>
    </cfRule>
  </conditionalFormatting>
  <conditionalFormatting sqref="D35:D59">
    <cfRule type="containsText" dxfId="0" priority="601" operator="containsText" text="Problem">
      <formula>NOT(ISERROR(SEARCH(("Problem"),(D35))))</formula>
    </cfRule>
  </conditionalFormatting>
  <conditionalFormatting sqref="H64">
    <cfRule type="containsText" dxfId="0" priority="602" operator="containsText" text="Problem">
      <formula>NOT(ISERROR(SEARCH(("Problem"),(H64))))</formula>
    </cfRule>
  </conditionalFormatting>
  <conditionalFormatting sqref="H64">
    <cfRule type="containsText" dxfId="0" priority="603" operator="containsText" text="Problem">
      <formula>NOT(ISERROR(SEARCH(("Problem"),(H64))))</formula>
    </cfRule>
  </conditionalFormatting>
  <conditionalFormatting sqref="H64">
    <cfRule type="containsText" dxfId="0" priority="604" operator="containsText" text="Problem">
      <formula>NOT(ISERROR(SEARCH(("Problem"),(H64))))</formula>
    </cfRule>
  </conditionalFormatting>
  <conditionalFormatting sqref="C770 E770:I770">
    <cfRule type="containsText" dxfId="0" priority="605" operator="containsText" text="Problem">
      <formula>NOT(ISERROR(SEARCH(("Problem"),(C770))))</formula>
    </cfRule>
  </conditionalFormatting>
  <conditionalFormatting sqref="C770 E770:I770">
    <cfRule type="containsText" dxfId="0" priority="606" operator="containsText" text="Problem">
      <formula>NOT(ISERROR(SEARCH(("Problem"),(C770))))</formula>
    </cfRule>
  </conditionalFormatting>
  <conditionalFormatting sqref="C770 E770:I770">
    <cfRule type="containsText" dxfId="0" priority="607" operator="containsText" text="Problem">
      <formula>NOT(ISERROR(SEARCH(("Problem"),(C770))))</formula>
    </cfRule>
  </conditionalFormatting>
  <conditionalFormatting sqref="D413:D414 E388:H414">
    <cfRule type="containsText" dxfId="0" priority="608" operator="containsText" text="Problem">
      <formula>NOT(ISERROR(SEARCH(("Problem"),(D413))))</formula>
    </cfRule>
  </conditionalFormatting>
  <conditionalFormatting sqref="D413:D414 E388:H414">
    <cfRule type="containsText" dxfId="0" priority="609" operator="containsText" text="Problem">
      <formula>NOT(ISERROR(SEARCH(("Problem"),(D413))))</formula>
    </cfRule>
  </conditionalFormatting>
  <conditionalFormatting sqref="D413:D414 E388:H414">
    <cfRule type="containsText" dxfId="0" priority="610" operator="containsText" text="Problem">
      <formula>NOT(ISERROR(SEARCH(("Problem"),(D413))))</formula>
    </cfRule>
  </conditionalFormatting>
  <conditionalFormatting sqref="D537:D564">
    <cfRule type="containsText" dxfId="0" priority="611" operator="containsText" text="Problem">
      <formula>NOT(ISERROR(SEARCH(("Problem"),(D537))))</formula>
    </cfRule>
  </conditionalFormatting>
  <conditionalFormatting sqref="D537:D564">
    <cfRule type="containsText" dxfId="0" priority="612" operator="containsText" text="Problem">
      <formula>NOT(ISERROR(SEARCH(("Problem"),(D537))))</formula>
    </cfRule>
  </conditionalFormatting>
  <conditionalFormatting sqref="D537:D564">
    <cfRule type="containsText" dxfId="0" priority="613" operator="containsText" text="Problem">
      <formula>NOT(ISERROR(SEARCH(("Problem"),(D537))))</formula>
    </cfRule>
  </conditionalFormatting>
  <conditionalFormatting sqref="D64">
    <cfRule type="containsText" dxfId="0" priority="614" operator="containsText" text="Problem">
      <formula>NOT(ISERROR(SEARCH(("Problem"),(D64))))</formula>
    </cfRule>
  </conditionalFormatting>
  <conditionalFormatting sqref="A298 J298:P298">
    <cfRule type="containsText" dxfId="0" priority="615" operator="containsText" text="Problem">
      <formula>NOT(ISERROR(SEARCH(("Problem"),(A298))))</formula>
    </cfRule>
  </conditionalFormatting>
  <conditionalFormatting sqref="A298 J298:P298">
    <cfRule type="containsText" dxfId="0" priority="616" operator="containsText" text="Problem">
      <formula>NOT(ISERROR(SEARCH(("Problem"),(A298))))</formula>
    </cfRule>
  </conditionalFormatting>
  <conditionalFormatting sqref="A298 J298:P298">
    <cfRule type="containsText" dxfId="0" priority="617" operator="containsText" text="Problem">
      <formula>NOT(ISERROR(SEARCH(("Problem"),(A298))))</formula>
    </cfRule>
  </conditionalFormatting>
  <conditionalFormatting sqref="H655:H682">
    <cfRule type="containsText" dxfId="0" priority="618" operator="containsText" text="Problem">
      <formula>NOT(ISERROR(SEARCH(("Problem"),(H655))))</formula>
    </cfRule>
  </conditionalFormatting>
  <conditionalFormatting sqref="H655:H682">
    <cfRule type="containsText" dxfId="0" priority="619" operator="containsText" text="Problem">
      <formula>NOT(ISERROR(SEARCH(("Problem"),(H655))))</formula>
    </cfRule>
  </conditionalFormatting>
  <conditionalFormatting sqref="H655:H682">
    <cfRule type="containsText" dxfId="0" priority="620" operator="containsText" text="Problem">
      <formula>NOT(ISERROR(SEARCH(("Problem"),(H655))))</formula>
    </cfRule>
  </conditionalFormatting>
  <conditionalFormatting sqref="G537:G564">
    <cfRule type="containsText" dxfId="0" priority="621" operator="containsText" text="Problem">
      <formula>NOT(ISERROR(SEARCH(("Problem"),(G537))))</formula>
    </cfRule>
  </conditionalFormatting>
  <conditionalFormatting sqref="G537:G564">
    <cfRule type="containsText" dxfId="0" priority="622" operator="containsText" text="Problem">
      <formula>NOT(ISERROR(SEARCH(("Problem"),(G537))))</formula>
    </cfRule>
  </conditionalFormatting>
  <conditionalFormatting sqref="G537:G564">
    <cfRule type="containsText" dxfId="0" priority="623" operator="containsText" text="Problem">
      <formula>NOT(ISERROR(SEARCH(("Problem"),(G537))))</formula>
    </cfRule>
  </conditionalFormatting>
  <conditionalFormatting sqref="C416 E416:I416">
    <cfRule type="containsText" dxfId="0" priority="624" operator="containsText" text="Problem">
      <formula>NOT(ISERROR(SEARCH(("Problem"),(C416))))</formula>
    </cfRule>
  </conditionalFormatting>
  <conditionalFormatting sqref="C416 E416:I416">
    <cfRule type="containsText" dxfId="0" priority="625" operator="containsText" text="Problem">
      <formula>NOT(ISERROR(SEARCH(("Problem"),(C416))))</formula>
    </cfRule>
  </conditionalFormatting>
  <conditionalFormatting sqref="C416 E416:I416">
    <cfRule type="containsText" dxfId="0" priority="626" operator="containsText" text="Problem">
      <formula>NOT(ISERROR(SEARCH(("Problem"),(C416))))</formula>
    </cfRule>
  </conditionalFormatting>
  <conditionalFormatting sqref="D590:D591 E565:H591">
    <cfRule type="containsText" dxfId="0" priority="627" operator="containsText" text="Problem">
      <formula>NOT(ISERROR(SEARCH(("Problem"),(D590))))</formula>
    </cfRule>
  </conditionalFormatting>
  <conditionalFormatting sqref="D590:D591 E565:H591">
    <cfRule type="containsText" dxfId="0" priority="628" operator="containsText" text="Problem">
      <formula>NOT(ISERROR(SEARCH(("Problem"),(D590))))</formula>
    </cfRule>
  </conditionalFormatting>
  <conditionalFormatting sqref="D590:D591 E565:H591">
    <cfRule type="containsText" dxfId="0" priority="629" operator="containsText" text="Problem">
      <formula>NOT(ISERROR(SEARCH(("Problem"),(D590))))</formula>
    </cfRule>
  </conditionalFormatting>
  <conditionalFormatting sqref="D388:D412">
    <cfRule type="containsText" dxfId="0" priority="630" operator="containsText" text="Problem">
      <formula>NOT(ISERROR(SEARCH(("Problem"),(D388))))</formula>
    </cfRule>
  </conditionalFormatting>
  <conditionalFormatting sqref="D388:D412">
    <cfRule type="containsText" dxfId="0" priority="631" operator="containsText" text="Problem">
      <formula>NOT(ISERROR(SEARCH(("Problem"),(D388))))</formula>
    </cfRule>
  </conditionalFormatting>
  <conditionalFormatting sqref="A713:A768">
    <cfRule type="containsText" dxfId="0" priority="632" operator="containsText" text="Problem">
      <formula>NOT(ISERROR(SEARCH(("Problem"),(A713))))</formula>
    </cfRule>
  </conditionalFormatting>
  <conditionalFormatting sqref="A713:A768">
    <cfRule type="containsText" dxfId="0" priority="633" operator="containsText" text="Problem">
      <formula>NOT(ISERROR(SEARCH(("Problem"),(A713))))</formula>
    </cfRule>
  </conditionalFormatting>
  <conditionalFormatting sqref="A713:A768">
    <cfRule type="containsText" dxfId="0" priority="634" operator="containsText" text="Problem">
      <formula>NOT(ISERROR(SEARCH(("Problem"),(A713))))</formula>
    </cfRule>
  </conditionalFormatting>
  <conditionalFormatting sqref="C652 E652:I652">
    <cfRule type="containsText" dxfId="0" priority="635" operator="containsText" text="Problem">
      <formula>NOT(ISERROR(SEARCH(("Problem"),(C652))))</formula>
    </cfRule>
  </conditionalFormatting>
  <conditionalFormatting sqref="C652 E652:I652">
    <cfRule type="containsText" dxfId="0" priority="636" operator="containsText" text="Problem">
      <formula>NOT(ISERROR(SEARCH(("Problem"),(C652))))</formula>
    </cfRule>
  </conditionalFormatting>
  <conditionalFormatting sqref="C652 E652:I652">
    <cfRule type="containsText" dxfId="0" priority="637" operator="containsText" text="Problem">
      <formula>NOT(ISERROR(SEARCH(("Problem"),(C652))))</formula>
    </cfRule>
  </conditionalFormatting>
  <conditionalFormatting sqref="A122:I122 A179:H179 I152:I179 J122:P179">
    <cfRule type="containsText" dxfId="0" priority="638" operator="containsText" text="Problem">
      <formula>NOT(ISERROR(SEARCH(("Problem"),(A122))))</formula>
    </cfRule>
  </conditionalFormatting>
  <conditionalFormatting sqref="A122:I122 A179:H179 I152:I179 J122:P179">
    <cfRule type="containsText" dxfId="0" priority="639" operator="containsText" text="Problem">
      <formula>NOT(ISERROR(SEARCH(("Problem"),(A122))))</formula>
    </cfRule>
  </conditionalFormatting>
  <conditionalFormatting sqref="A122:I122 A179:H179 I152:I179 J122:P179">
    <cfRule type="containsText" dxfId="0" priority="640" operator="containsText" text="Problem">
      <formula>NOT(ISERROR(SEARCH(("Problem"),(A122))))</formula>
    </cfRule>
  </conditionalFormatting>
  <conditionalFormatting sqref="C121 E121:I121">
    <cfRule type="containsText" dxfId="0" priority="641" operator="containsText" text="Problem">
      <formula>NOT(ISERROR(SEARCH(("Problem"),(C121))))</formula>
    </cfRule>
  </conditionalFormatting>
  <conditionalFormatting sqref="C121 E121:I121">
    <cfRule type="containsText" dxfId="0" priority="642" operator="containsText" text="Problem">
      <formula>NOT(ISERROR(SEARCH(("Problem"),(C121))))</formula>
    </cfRule>
  </conditionalFormatting>
  <conditionalFormatting sqref="C121 E121:I121">
    <cfRule type="containsText" dxfId="0" priority="643" operator="containsText" text="Problem">
      <formula>NOT(ISERROR(SEARCH(("Problem"),(C121))))</formula>
    </cfRule>
  </conditionalFormatting>
  <conditionalFormatting sqref="D654">
    <cfRule type="containsText" dxfId="0" priority="644" operator="containsText" text="Problem">
      <formula>NOT(ISERROR(SEARCH(("Problem"),(D654))))</formula>
    </cfRule>
  </conditionalFormatting>
  <conditionalFormatting sqref="A890:A945">
    <cfRule type="containsText" dxfId="0" priority="645" operator="containsText" text="Problem">
      <formula>NOT(ISERROR(SEARCH(("Problem"),(A890))))</formula>
    </cfRule>
  </conditionalFormatting>
  <conditionalFormatting sqref="A890:A945">
    <cfRule type="containsText" dxfId="0" priority="646" operator="containsText" text="Problem">
      <formula>NOT(ISERROR(SEARCH(("Problem"),(A890))))</formula>
    </cfRule>
  </conditionalFormatting>
  <conditionalFormatting sqref="A890:A945">
    <cfRule type="containsText" dxfId="0" priority="647" operator="containsText" text="Problem">
      <formula>NOT(ISERROR(SEARCH(("Problem"),(A890))))</formula>
    </cfRule>
  </conditionalFormatting>
  <conditionalFormatting sqref="I241">
    <cfRule type="containsText" dxfId="0" priority="648" operator="containsText" text="Problem">
      <formula>NOT(ISERROR(SEARCH(("Problem"),(I241))))</formula>
    </cfRule>
  </conditionalFormatting>
  <conditionalFormatting sqref="I241">
    <cfRule type="containsText" dxfId="0" priority="649" operator="containsText" text="Problem">
      <formula>NOT(ISERROR(SEARCH(("Problem"),(I241))))</formula>
    </cfRule>
  </conditionalFormatting>
  <conditionalFormatting sqref="I241">
    <cfRule type="containsText" dxfId="0" priority="650" operator="containsText" text="Problem">
      <formula>NOT(ISERROR(SEARCH(("Problem"),(I241))))</formula>
    </cfRule>
  </conditionalFormatting>
  <conditionalFormatting sqref="D419:D446">
    <cfRule type="containsText" dxfId="0" priority="651" operator="containsText" text="Problem">
      <formula>NOT(ISERROR(SEARCH(("Problem"),(D419))))</formula>
    </cfRule>
  </conditionalFormatting>
  <conditionalFormatting sqref="D419:D446">
    <cfRule type="containsText" dxfId="0" priority="652" operator="containsText" text="Problem">
      <formula>NOT(ISERROR(SEARCH(("Problem"),(D419))))</formula>
    </cfRule>
  </conditionalFormatting>
  <conditionalFormatting sqref="D419:D446">
    <cfRule type="containsText" dxfId="0" priority="653" operator="containsText" text="Problem">
      <formula>NOT(ISERROR(SEARCH(("Problem"),(D419))))</formula>
    </cfRule>
  </conditionalFormatting>
  <conditionalFormatting sqref="G773:G800">
    <cfRule type="containsText" dxfId="0" priority="654" operator="containsText" text="Problem">
      <formula>NOT(ISERROR(SEARCH(("Problem"),(G773))))</formula>
    </cfRule>
  </conditionalFormatting>
  <conditionalFormatting sqref="G773:G800">
    <cfRule type="containsText" dxfId="0" priority="655" operator="containsText" text="Problem">
      <formula>NOT(ISERROR(SEARCH(("Problem"),(G773))))</formula>
    </cfRule>
  </conditionalFormatting>
  <conditionalFormatting sqref="G773:G800">
    <cfRule type="containsText" dxfId="0" priority="656" operator="containsText" text="Problem">
      <formula>NOT(ISERROR(SEARCH(("Problem"),(G773))))</formula>
    </cfRule>
  </conditionalFormatting>
  <conditionalFormatting sqref="A64:A119">
    <cfRule type="containsText" dxfId="0" priority="657" operator="containsText" text="Problem">
      <formula>NOT(ISERROR(SEARCH(("Problem"),(A64))))</formula>
    </cfRule>
  </conditionalFormatting>
  <conditionalFormatting sqref="A64:A119">
    <cfRule type="containsText" dxfId="0" priority="658" operator="containsText" text="Problem">
      <formula>NOT(ISERROR(SEARCH(("Problem"),(A64))))</formula>
    </cfRule>
  </conditionalFormatting>
  <conditionalFormatting sqref="A64:A119">
    <cfRule type="containsText" dxfId="0" priority="659" operator="containsText" text="Problem">
      <formula>NOT(ISERROR(SEARCH(("Problem"),(A64))))</formula>
    </cfRule>
  </conditionalFormatting>
  <conditionalFormatting sqref="D5">
    <cfRule type="containsText" dxfId="0" priority="660" operator="containsText" text="Problem">
      <formula>NOT(ISERROR(SEARCH(("Problem"),(D5))))</formula>
    </cfRule>
  </conditionalFormatting>
  <conditionalFormatting sqref="D5">
    <cfRule type="containsText" dxfId="0" priority="661" operator="containsText" text="Problem">
      <formula>NOT(ISERROR(SEARCH(("Problem"),(D5))))</formula>
    </cfRule>
  </conditionalFormatting>
  <conditionalFormatting sqref="D5">
    <cfRule type="containsText" dxfId="0" priority="662" operator="containsText" text="Problem">
      <formula>NOT(ISERROR(SEARCH(("Problem"),(D5))))</formula>
    </cfRule>
  </conditionalFormatting>
  <conditionalFormatting sqref="G65:G92">
    <cfRule type="containsText" dxfId="0" priority="663" operator="containsText" text="Problem">
      <formula>NOT(ISERROR(SEARCH(("Problem"),(G65))))</formula>
    </cfRule>
  </conditionalFormatting>
  <conditionalFormatting sqref="G65:G92">
    <cfRule type="containsText" dxfId="0" priority="664" operator="containsText" text="Problem">
      <formula>NOT(ISERROR(SEARCH(("Problem"),(G65))))</formula>
    </cfRule>
  </conditionalFormatting>
  <conditionalFormatting sqref="G65:G92">
    <cfRule type="containsText" dxfId="0" priority="665" operator="containsText" text="Problem">
      <formula>NOT(ISERROR(SEARCH(("Problem"),(G65))))</formula>
    </cfRule>
  </conditionalFormatting>
  <conditionalFormatting sqref="F596:F623">
    <cfRule type="containsText" dxfId="0" priority="666" operator="containsText" text="Problem">
      <formula>NOT(ISERROR(SEARCH(("Problem"),(F596))))</formula>
    </cfRule>
  </conditionalFormatting>
  <conditionalFormatting sqref="F596:F623">
    <cfRule type="containsText" dxfId="0" priority="667" operator="containsText" text="Problem">
      <formula>NOT(ISERROR(SEARCH(("Problem"),(F596))))</formula>
    </cfRule>
  </conditionalFormatting>
  <conditionalFormatting sqref="F596:F623">
    <cfRule type="containsText" dxfId="0" priority="668" operator="containsText" text="Problem">
      <formula>NOT(ISERROR(SEARCH(("Problem"),(F596))))</formula>
    </cfRule>
  </conditionalFormatting>
  <conditionalFormatting sqref="I242:I269">
    <cfRule type="containsText" dxfId="0" priority="669" operator="containsText" text="Problem">
      <formula>NOT(ISERROR(SEARCH(("Problem"),(I242))))</formula>
    </cfRule>
  </conditionalFormatting>
  <conditionalFormatting sqref="I242:I269">
    <cfRule type="containsText" dxfId="0" priority="670" operator="containsText" text="Problem">
      <formula>NOT(ISERROR(SEARCH(("Problem"),(I242))))</formula>
    </cfRule>
  </conditionalFormatting>
  <conditionalFormatting sqref="I242:I269">
    <cfRule type="containsText" dxfId="0" priority="671" operator="containsText" text="Problem">
      <formula>NOT(ISERROR(SEARCH(("Problem"),(I242))))</formula>
    </cfRule>
  </conditionalFormatting>
  <conditionalFormatting sqref="I242:I269">
    <cfRule type="containsText" dxfId="0" priority="672" operator="containsText" text="Problem">
      <formula>NOT(ISERROR(SEARCH(("Problem"),(I242))))</formula>
    </cfRule>
  </conditionalFormatting>
  <conditionalFormatting sqref="A654:A709">
    <cfRule type="containsText" dxfId="0" priority="673" operator="containsText" text="Problem">
      <formula>NOT(ISERROR(SEARCH(("Problem"),(A654))))</formula>
    </cfRule>
  </conditionalFormatting>
  <conditionalFormatting sqref="A654:A709">
    <cfRule type="containsText" dxfId="0" priority="674" operator="containsText" text="Problem">
      <formula>NOT(ISERROR(SEARCH(("Problem"),(A654))))</formula>
    </cfRule>
  </conditionalFormatting>
  <conditionalFormatting sqref="A654:A709">
    <cfRule type="containsText" dxfId="0" priority="675" operator="containsText" text="Problem">
      <formula>NOT(ISERROR(SEARCH(("Problem"),(A654))))</formula>
    </cfRule>
  </conditionalFormatting>
  <conditionalFormatting sqref="A239 J239:P239">
    <cfRule type="containsText" dxfId="0" priority="676" operator="containsText" text="Problem">
      <formula>NOT(ISERROR(SEARCH(("Problem"),(A239))))</formula>
    </cfRule>
  </conditionalFormatting>
  <conditionalFormatting sqref="A239 J239:P239">
    <cfRule type="containsText" dxfId="0" priority="677" operator="containsText" text="Problem">
      <formula>NOT(ISERROR(SEARCH(("Problem"),(A239))))</formula>
    </cfRule>
  </conditionalFormatting>
  <conditionalFormatting sqref="A239 J239:P239">
    <cfRule type="containsText" dxfId="0" priority="678" operator="containsText" text="Problem">
      <formula>NOT(ISERROR(SEARCH(("Problem"),(A239))))</formula>
    </cfRule>
  </conditionalFormatting>
  <conditionalFormatting sqref="E773:E800">
    <cfRule type="containsText" dxfId="0" priority="679" operator="containsText" text="Problem">
      <formula>NOT(ISERROR(SEARCH(("Problem"),(E773))))</formula>
    </cfRule>
  </conditionalFormatting>
  <conditionalFormatting sqref="E773:E800">
    <cfRule type="containsText" dxfId="0" priority="680" operator="containsText" text="Problem">
      <formula>NOT(ISERROR(SEARCH(("Problem"),(E773))))</formula>
    </cfRule>
  </conditionalFormatting>
  <conditionalFormatting sqref="E773:E800">
    <cfRule type="containsText" dxfId="0" priority="681" operator="containsText" text="Problem">
      <formula>NOT(ISERROR(SEARCH(("Problem"),(E773))))</formula>
    </cfRule>
  </conditionalFormatting>
  <conditionalFormatting sqref="A831:A886">
    <cfRule type="containsText" dxfId="0" priority="682" operator="containsText" text="Problem">
      <formula>NOT(ISERROR(SEARCH(("Problem"),(A831))))</formula>
    </cfRule>
  </conditionalFormatting>
  <conditionalFormatting sqref="A831:A886">
    <cfRule type="containsText" dxfId="0" priority="683" operator="containsText" text="Problem">
      <formula>NOT(ISERROR(SEARCH(("Problem"),(A831))))</formula>
    </cfRule>
  </conditionalFormatting>
  <conditionalFormatting sqref="A831:A886">
    <cfRule type="containsText" dxfId="0" priority="684" operator="containsText" text="Problem">
      <formula>NOT(ISERROR(SEARCH(("Problem"),(A831))))</formula>
    </cfRule>
  </conditionalFormatting>
  <conditionalFormatting sqref="E596:E623">
    <cfRule type="containsText" dxfId="0" priority="685" operator="containsText" text="Problem">
      <formula>NOT(ISERROR(SEARCH(("Problem"),(E596))))</formula>
    </cfRule>
  </conditionalFormatting>
  <conditionalFormatting sqref="E596:E623">
    <cfRule type="containsText" dxfId="0" priority="686" operator="containsText" text="Problem">
      <formula>NOT(ISERROR(SEARCH(("Problem"),(E596))))</formula>
    </cfRule>
  </conditionalFormatting>
  <conditionalFormatting sqref="E596:E623">
    <cfRule type="containsText" dxfId="0" priority="687" operator="containsText" text="Problem">
      <formula>NOT(ISERROR(SEARCH(("Problem"),(E596))))</formula>
    </cfRule>
  </conditionalFormatting>
  <conditionalFormatting sqref="F124:F151">
    <cfRule type="containsText" dxfId="0" priority="688" operator="containsText" text="Problem">
      <formula>NOT(ISERROR(SEARCH(("Problem"),(F124))))</formula>
    </cfRule>
  </conditionalFormatting>
  <conditionalFormatting sqref="F124:F151">
    <cfRule type="containsText" dxfId="0" priority="689" operator="containsText" text="Problem">
      <formula>NOT(ISERROR(SEARCH(("Problem"),(F124))))</formula>
    </cfRule>
  </conditionalFormatting>
  <conditionalFormatting sqref="F124:F151">
    <cfRule type="containsText" dxfId="0" priority="690" operator="containsText" text="Problem">
      <formula>NOT(ISERROR(SEARCH(("Problem"),(F124))))</formula>
    </cfRule>
  </conditionalFormatting>
  <conditionalFormatting sqref="H183:H210">
    <cfRule type="containsText" dxfId="0" priority="691" operator="containsText" text="Problem">
      <formula>NOT(ISERROR(SEARCH(("Problem"),(H183))))</formula>
    </cfRule>
  </conditionalFormatting>
  <conditionalFormatting sqref="H183:H210">
    <cfRule type="containsText" dxfId="0" priority="692" operator="containsText" text="Problem">
      <formula>NOT(ISERROR(SEARCH(("Problem"),(H183))))</formula>
    </cfRule>
  </conditionalFormatting>
  <conditionalFormatting sqref="H183:H210">
    <cfRule type="containsText" dxfId="0" priority="693" operator="containsText" text="Problem">
      <formula>NOT(ISERROR(SEARCH(("Problem"),(H183))))</formula>
    </cfRule>
  </conditionalFormatting>
  <conditionalFormatting sqref="G5">
    <cfRule type="containsText" dxfId="0" priority="694" operator="containsText" text="Problem">
      <formula>NOT(ISERROR(SEARCH(("Problem"),(G5))))</formula>
    </cfRule>
  </conditionalFormatting>
  <conditionalFormatting sqref="G5">
    <cfRule type="containsText" dxfId="0" priority="695" operator="containsText" text="Problem">
      <formula>NOT(ISERROR(SEARCH(("Problem"),(G5))))</formula>
    </cfRule>
  </conditionalFormatting>
  <conditionalFormatting sqref="G5">
    <cfRule type="containsText" dxfId="0" priority="696" operator="containsText" text="Problem">
      <formula>NOT(ISERROR(SEARCH(("Problem"),(G5))))</formula>
    </cfRule>
  </conditionalFormatting>
  <conditionalFormatting sqref="E359">
    <cfRule type="containsText" dxfId="0" priority="697" operator="containsText" text="Problem">
      <formula>NOT(ISERROR(SEARCH(("Problem"),(E359))))</formula>
    </cfRule>
  </conditionalFormatting>
  <conditionalFormatting sqref="E359">
    <cfRule type="containsText" dxfId="0" priority="698" operator="containsText" text="Problem">
      <formula>NOT(ISERROR(SEARCH(("Problem"),(E359))))</formula>
    </cfRule>
  </conditionalFormatting>
  <conditionalFormatting sqref="E359">
    <cfRule type="containsText" dxfId="0" priority="699" operator="containsText" text="Problem">
      <formula>NOT(ISERROR(SEARCH(("Problem"),(E359))))</formula>
    </cfRule>
  </conditionalFormatting>
  <conditionalFormatting sqref="D6:D34">
    <cfRule type="containsText" dxfId="0" priority="700" operator="containsText" text="Problem">
      <formula>NOT(ISERROR(SEARCH(("Problem"),(D6))))</formula>
    </cfRule>
  </conditionalFormatting>
  <conditionalFormatting sqref="D6:D34">
    <cfRule type="containsText" dxfId="0" priority="701" operator="containsText" text="Problem">
      <formula>NOT(ISERROR(SEARCH(("Problem"),(D6))))</formula>
    </cfRule>
  </conditionalFormatting>
  <conditionalFormatting sqref="D6:D34">
    <cfRule type="containsText" dxfId="0" priority="702" operator="containsText" text="Problem">
      <formula>NOT(ISERROR(SEARCH(("Problem"),(D6))))</formula>
    </cfRule>
  </conditionalFormatting>
  <conditionalFormatting sqref="F477">
    <cfRule type="containsText" dxfId="0" priority="703" operator="containsText" text="Problem">
      <formula>NOT(ISERROR(SEARCH(("Problem"),(F477))))</formula>
    </cfRule>
  </conditionalFormatting>
  <conditionalFormatting sqref="F477">
    <cfRule type="containsText" dxfId="0" priority="704" operator="containsText" text="Problem">
      <formula>NOT(ISERROR(SEARCH(("Problem"),(F477))))</formula>
    </cfRule>
  </conditionalFormatting>
  <conditionalFormatting sqref="F477">
    <cfRule type="containsText" dxfId="0" priority="705" operator="containsText" text="Problem">
      <formula>NOT(ISERROR(SEARCH(("Problem"),(F477))))</formula>
    </cfRule>
  </conditionalFormatting>
  <conditionalFormatting sqref="H6:H34">
    <cfRule type="containsText" dxfId="0" priority="706" operator="containsText" text="Problem">
      <formula>NOT(ISERROR(SEARCH(("Problem"),(H6))))</formula>
    </cfRule>
  </conditionalFormatting>
  <conditionalFormatting sqref="H6:H34">
    <cfRule type="containsText" dxfId="0" priority="707" operator="containsText" text="Problem">
      <formula>NOT(ISERROR(SEARCH(("Problem"),(H6))))</formula>
    </cfRule>
  </conditionalFormatting>
  <conditionalFormatting sqref="H6:H34">
    <cfRule type="containsText" dxfId="0" priority="708" operator="containsText" text="Problem">
      <formula>NOT(ISERROR(SEARCH(("Problem"),(H6))))</formula>
    </cfRule>
  </conditionalFormatting>
  <conditionalFormatting sqref="D447:D471">
    <cfRule type="containsText" dxfId="0" priority="709" operator="containsText" text="Problem">
      <formula>NOT(ISERROR(SEARCH(("Problem"),(D447))))</formula>
    </cfRule>
  </conditionalFormatting>
  <conditionalFormatting sqref="D447:D471">
    <cfRule type="containsText" dxfId="0" priority="710" operator="containsText" text="Problem">
      <formula>NOT(ISERROR(SEARCH(("Problem"),(D447))))</formula>
    </cfRule>
  </conditionalFormatting>
  <conditionalFormatting sqref="A476:I476 A533:H533 I506:I533 J476:P533">
    <cfRule type="containsText" dxfId="0" priority="711" operator="containsText" text="Problem">
      <formula>NOT(ISERROR(SEARCH(("Problem"),(A476))))</formula>
    </cfRule>
  </conditionalFormatting>
  <conditionalFormatting sqref="A476:I476 A533:H533 I506:I533 J476:P533">
    <cfRule type="containsText" dxfId="0" priority="712" operator="containsText" text="Problem">
      <formula>NOT(ISERROR(SEARCH(("Problem"),(A476))))</formula>
    </cfRule>
  </conditionalFormatting>
  <conditionalFormatting sqref="A476:I476 A533:H533 I506:I533 J476:P533">
    <cfRule type="containsText" dxfId="0" priority="713" operator="containsText" text="Problem">
      <formula>NOT(ISERROR(SEARCH(("Problem"),(A476))))</formula>
    </cfRule>
  </conditionalFormatting>
  <conditionalFormatting sqref="E123">
    <cfRule type="containsText" dxfId="0" priority="714" operator="containsText" text="Problem">
      <formula>NOT(ISERROR(SEARCH(("Problem"),(E123))))</formula>
    </cfRule>
  </conditionalFormatting>
  <conditionalFormatting sqref="E123">
    <cfRule type="containsText" dxfId="0" priority="715" operator="containsText" text="Problem">
      <formula>NOT(ISERROR(SEARCH(("Problem"),(E123))))</formula>
    </cfRule>
  </conditionalFormatting>
  <conditionalFormatting sqref="E123">
    <cfRule type="containsText" dxfId="0" priority="716" operator="containsText" text="Problem">
      <formula>NOT(ISERROR(SEARCH(("Problem"),(E123))))</formula>
    </cfRule>
  </conditionalFormatting>
  <conditionalFormatting sqref="A359:A414">
    <cfRule type="containsText" dxfId="0" priority="717" operator="containsText" text="Problem">
      <formula>NOT(ISERROR(SEARCH(("Problem"),(A359))))</formula>
    </cfRule>
  </conditionalFormatting>
  <conditionalFormatting sqref="A359:A414">
    <cfRule type="containsText" dxfId="0" priority="718" operator="containsText" text="Problem">
      <formula>NOT(ISERROR(SEARCH(("Problem"),(A359))))</formula>
    </cfRule>
  </conditionalFormatting>
  <conditionalFormatting sqref="A359:A414">
    <cfRule type="containsText" dxfId="0" priority="719" operator="containsText" text="Problem">
      <formula>NOT(ISERROR(SEARCH(("Problem"),(A359))))</formula>
    </cfRule>
  </conditionalFormatting>
  <conditionalFormatting sqref="D236:D237 E211:H237">
    <cfRule type="containsText" dxfId="0" priority="720" operator="containsText" text="Problem">
      <formula>NOT(ISERROR(SEARCH(("Problem"),(D236))))</formula>
    </cfRule>
  </conditionalFormatting>
  <conditionalFormatting sqref="D236:D237 E211:H237">
    <cfRule type="containsText" dxfId="0" priority="721" operator="containsText" text="Problem">
      <formula>NOT(ISERROR(SEARCH(("Problem"),(D236))))</formula>
    </cfRule>
  </conditionalFormatting>
  <conditionalFormatting sqref="D236:D237 E211:H237">
    <cfRule type="containsText" dxfId="0" priority="722" operator="containsText" text="Problem">
      <formula>NOT(ISERROR(SEARCH(("Problem"),(D236))))</formula>
    </cfRule>
  </conditionalFormatting>
  <conditionalFormatting sqref="C534 E534:I534">
    <cfRule type="containsText" dxfId="0" priority="723" operator="containsText" text="Problem">
      <formula>NOT(ISERROR(SEARCH(("Problem"),(C534))))</formula>
    </cfRule>
  </conditionalFormatting>
  <conditionalFormatting sqref="C534 E534:I534">
    <cfRule type="containsText" dxfId="0" priority="724" operator="containsText" text="Problem">
      <formula>NOT(ISERROR(SEARCH(("Problem"),(C534))))</formula>
    </cfRule>
  </conditionalFormatting>
  <conditionalFormatting sqref="C534 E534:I534">
    <cfRule type="containsText" dxfId="0" priority="725" operator="containsText" text="Problem">
      <formula>NOT(ISERROR(SEARCH(("Problem"),(C534))))</formula>
    </cfRule>
  </conditionalFormatting>
  <conditionalFormatting sqref="B455:C455 B467:B470 B472:C473 C424:C454 C464:C470">
    <cfRule type="containsText" dxfId="0" priority="726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727" operator="containsText" text="Problem">
      <formula>NOT(ISERROR(SEARCH(("Problem"),(B455))))</formula>
    </cfRule>
  </conditionalFormatting>
  <conditionalFormatting sqref="B455:C455 B467:B470 B472:C473 C424:C454 C464:C470">
    <cfRule type="containsText" dxfId="0" priority="728" operator="containsText" text="Problem">
      <formula>NOT(ISERROR(SEARCH(("Problem"),(B455))))</formula>
    </cfRule>
  </conditionalFormatting>
  <conditionalFormatting sqref="A300:A355">
    <cfRule type="containsText" dxfId="0" priority="729" operator="containsText" text="Problem">
      <formula>NOT(ISERROR(SEARCH(("Problem"),(A300))))</formula>
    </cfRule>
  </conditionalFormatting>
  <conditionalFormatting sqref="A300:A355">
    <cfRule type="containsText" dxfId="0" priority="730" operator="containsText" text="Problem">
      <formula>NOT(ISERROR(SEARCH(("Problem"),(A300))))</formula>
    </cfRule>
  </conditionalFormatting>
  <conditionalFormatting sqref="A300:A355">
    <cfRule type="containsText" dxfId="0" priority="731" operator="containsText" text="Problem">
      <formula>NOT(ISERROR(SEARCH(("Problem"),(A300))))</formula>
    </cfRule>
  </conditionalFormatting>
  <conditionalFormatting sqref="H596:H623">
    <cfRule type="containsText" dxfId="0" priority="732" operator="containsText" text="Problem">
      <formula>NOT(ISERROR(SEARCH(("Problem"),(H596))))</formula>
    </cfRule>
  </conditionalFormatting>
  <conditionalFormatting sqref="H596:H623">
    <cfRule type="containsText" dxfId="0" priority="733" operator="containsText" text="Problem">
      <formula>NOT(ISERROR(SEARCH(("Problem"),(H596))))</formula>
    </cfRule>
  </conditionalFormatting>
  <conditionalFormatting sqref="H596:H623">
    <cfRule type="containsText" dxfId="0" priority="734" operator="containsText" text="Problem">
      <formula>NOT(ISERROR(SEARCH(("Problem"),(H596))))</formula>
    </cfRule>
  </conditionalFormatting>
  <conditionalFormatting sqref="D182">
    <cfRule type="containsText" dxfId="0" priority="735" operator="containsText" text="Problem">
      <formula>NOT(ISERROR(SEARCH(("Problem"),(D182))))</formula>
    </cfRule>
  </conditionalFormatting>
  <conditionalFormatting sqref="E772">
    <cfRule type="containsText" dxfId="0" priority="736" operator="containsText" text="Problem">
      <formula>NOT(ISERROR(SEARCH(("Problem"),(E772))))</formula>
    </cfRule>
  </conditionalFormatting>
  <conditionalFormatting sqref="E772">
    <cfRule type="containsText" dxfId="0" priority="737" operator="containsText" text="Problem">
      <formula>NOT(ISERROR(SEARCH(("Problem"),(E772))))</formula>
    </cfRule>
  </conditionalFormatting>
  <conditionalFormatting sqref="E772">
    <cfRule type="containsText" dxfId="0" priority="738" operator="containsText" text="Problem">
      <formula>NOT(ISERROR(SEARCH(("Problem"),(E772))))</formula>
    </cfRule>
  </conditionalFormatting>
  <conditionalFormatting sqref="I477">
    <cfRule type="containsText" dxfId="0" priority="739" operator="containsText" text="Problem">
      <formula>NOT(ISERROR(SEARCH(("Problem"),(I477))))</formula>
    </cfRule>
  </conditionalFormatting>
  <conditionalFormatting sqref="I477">
    <cfRule type="containsText" dxfId="0" priority="740" operator="containsText" text="Problem">
      <formula>NOT(ISERROR(SEARCH(("Problem"),(I477))))</formula>
    </cfRule>
  </conditionalFormatting>
  <conditionalFormatting sqref="I477">
    <cfRule type="containsText" dxfId="0" priority="741" operator="containsText" text="Problem">
      <formula>NOT(ISERROR(SEARCH(("Problem"),(I477))))</formula>
    </cfRule>
  </conditionalFormatting>
  <conditionalFormatting sqref="F300">
    <cfRule type="containsText" dxfId="0" priority="742" operator="containsText" text="Problem">
      <formula>NOT(ISERROR(SEARCH(("Problem"),(F300))))</formula>
    </cfRule>
  </conditionalFormatting>
  <conditionalFormatting sqref="F300">
    <cfRule type="containsText" dxfId="0" priority="743" operator="containsText" text="Problem">
      <formula>NOT(ISERROR(SEARCH(("Problem"),(F300))))</formula>
    </cfRule>
  </conditionalFormatting>
  <conditionalFormatting sqref="F300">
    <cfRule type="containsText" dxfId="0" priority="744" operator="containsText" text="Problem">
      <formula>NOT(ISERROR(SEARCH(("Problem"),(F300))))</formula>
    </cfRule>
  </conditionalFormatting>
  <conditionalFormatting sqref="D300">
    <cfRule type="containsText" dxfId="0" priority="745" operator="containsText" text="Problem">
      <formula>NOT(ISERROR(SEARCH(("Problem"),(D300))))</formula>
    </cfRule>
  </conditionalFormatting>
  <conditionalFormatting sqref="D478:D505">
    <cfRule type="containsText" dxfId="0" priority="746" operator="containsText" text="Problem">
      <formula>NOT(ISERROR(SEARCH(("Problem"),(D478))))</formula>
    </cfRule>
  </conditionalFormatting>
  <conditionalFormatting sqref="D478:D505">
    <cfRule type="containsText" dxfId="0" priority="747" operator="containsText" text="Problem">
      <formula>NOT(ISERROR(SEARCH(("Problem"),(D478))))</formula>
    </cfRule>
  </conditionalFormatting>
  <conditionalFormatting sqref="D478:D505">
    <cfRule type="containsText" dxfId="0" priority="748" operator="containsText" text="Problem">
      <formula>NOT(ISERROR(SEARCH(("Problem"),(D478))))</formula>
    </cfRule>
  </conditionalFormatting>
  <conditionalFormatting sqref="I596:I623">
    <cfRule type="containsText" dxfId="0" priority="749" operator="containsText" text="Problem">
      <formula>NOT(ISERROR(SEARCH(("Problem"),(I596))))</formula>
    </cfRule>
  </conditionalFormatting>
  <conditionalFormatting sqref="I596:I623">
    <cfRule type="containsText" dxfId="0" priority="750" operator="containsText" text="Problem">
      <formula>NOT(ISERROR(SEARCH(("Problem"),(I596))))</formula>
    </cfRule>
  </conditionalFormatting>
  <conditionalFormatting sqref="I596:I623">
    <cfRule type="containsText" dxfId="0" priority="751" operator="containsText" text="Problem">
      <formula>NOT(ISERROR(SEARCH(("Problem"),(I596))))</formula>
    </cfRule>
  </conditionalFormatting>
  <conditionalFormatting sqref="I596:I623">
    <cfRule type="containsText" dxfId="0" priority="752" operator="containsText" text="Problem">
      <formula>NOT(ISERROR(SEARCH(("Problem"),(I596))))</formula>
    </cfRule>
  </conditionalFormatting>
  <conditionalFormatting sqref="D211:D235">
    <cfRule type="containsText" dxfId="0" priority="753" operator="containsText" text="Problem">
      <formula>NOT(ISERROR(SEARCH(("Problem"),(D211))))</formula>
    </cfRule>
  </conditionalFormatting>
  <conditionalFormatting sqref="D211:D235">
    <cfRule type="containsText" dxfId="0" priority="754" operator="containsText" text="Problem">
      <formula>NOT(ISERROR(SEARCH(("Problem"),(D211))))</formula>
    </cfRule>
  </conditionalFormatting>
  <conditionalFormatting sqref="A417:I417 A474:H474 I447:I474 J417:P474">
    <cfRule type="containsText" dxfId="0" priority="755" operator="containsText" text="Problem">
      <formula>NOT(ISERROR(SEARCH(("Problem"),(A417))))</formula>
    </cfRule>
  </conditionalFormatting>
  <conditionalFormatting sqref="A417:I417 A474:H474 I447:I474 J417:P474">
    <cfRule type="containsText" dxfId="0" priority="756" operator="containsText" text="Problem">
      <formula>NOT(ISERROR(SEARCH(("Problem"),(A417))))</formula>
    </cfRule>
  </conditionalFormatting>
  <conditionalFormatting sqref="A417:I417 A474:H474 I447:I474 J417:P474">
    <cfRule type="containsText" dxfId="0" priority="757" operator="containsText" text="Problem">
      <formula>NOT(ISERROR(SEARCH(("Problem"),(A417))))</formula>
    </cfRule>
  </conditionalFormatting>
  <conditionalFormatting sqref="D359">
    <cfRule type="containsText" dxfId="0" priority="758" operator="containsText" text="Problem">
      <formula>NOT(ISERROR(SEARCH(("Problem"),(D359))))</formula>
    </cfRule>
  </conditionalFormatting>
  <conditionalFormatting sqref="H714:H741">
    <cfRule type="containsText" dxfId="0" priority="759" operator="containsText" text="Problem">
      <formula>NOT(ISERROR(SEARCH(("Problem"),(H714))))</formula>
    </cfRule>
  </conditionalFormatting>
  <conditionalFormatting sqref="H714:H741">
    <cfRule type="containsText" dxfId="0" priority="760" operator="containsText" text="Problem">
      <formula>NOT(ISERROR(SEARCH(("Problem"),(H714))))</formula>
    </cfRule>
  </conditionalFormatting>
  <conditionalFormatting sqref="H714:H741">
    <cfRule type="containsText" dxfId="0" priority="761" operator="containsText" text="Problem">
      <formula>NOT(ISERROR(SEARCH(("Problem"),(H714))))</formula>
    </cfRule>
  </conditionalFormatting>
  <conditionalFormatting sqref="F242:F269">
    <cfRule type="containsText" dxfId="0" priority="762" operator="containsText" text="Problem">
      <formula>NOT(ISERROR(SEARCH(("Problem"),(F242))))</formula>
    </cfRule>
  </conditionalFormatting>
  <conditionalFormatting sqref="F242:F269">
    <cfRule type="containsText" dxfId="0" priority="763" operator="containsText" text="Problem">
      <formula>NOT(ISERROR(SEARCH(("Problem"),(F242))))</formula>
    </cfRule>
  </conditionalFormatting>
  <conditionalFormatting sqref="F242:F269">
    <cfRule type="containsText" dxfId="0" priority="764" operator="containsText" text="Problem">
      <formula>NOT(ISERROR(SEARCH(("Problem"),(F242))))</formula>
    </cfRule>
  </conditionalFormatting>
  <conditionalFormatting sqref="E419:E446">
    <cfRule type="containsText" dxfId="0" priority="765" operator="containsText" text="Problem">
      <formula>NOT(ISERROR(SEARCH(("Problem"),(E419))))</formula>
    </cfRule>
  </conditionalFormatting>
  <conditionalFormatting sqref="E419:E446">
    <cfRule type="containsText" dxfId="0" priority="766" operator="containsText" text="Problem">
      <formula>NOT(ISERROR(SEARCH(("Problem"),(E419))))</formula>
    </cfRule>
  </conditionalFormatting>
  <conditionalFormatting sqref="E419:E446">
    <cfRule type="containsText" dxfId="0" priority="767" operator="containsText" text="Problem">
      <formula>NOT(ISERROR(SEARCH(("Problem"),(E419))))</formula>
    </cfRule>
  </conditionalFormatting>
  <conditionalFormatting sqref="B691:C691 B703:B706 B708:C709 C660:C690 C700:C706">
    <cfRule type="containsText" dxfId="0" priority="768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769" operator="containsText" text="Problem">
      <formula>NOT(ISERROR(SEARCH(("Problem"),(B691))))</formula>
    </cfRule>
  </conditionalFormatting>
  <conditionalFormatting sqref="B691:C691 B703:B706 B708:C709 C660:C690 C700:C706">
    <cfRule type="containsText" dxfId="0" priority="770" operator="containsText" text="Problem">
      <formula>NOT(ISERROR(SEARCH(("Problem"),(B691))))</formula>
    </cfRule>
  </conditionalFormatting>
  <conditionalFormatting sqref="I418">
    <cfRule type="containsText" dxfId="0" priority="771" operator="containsText" text="Problem">
      <formula>NOT(ISERROR(SEARCH(("Problem"),(I418))))</formula>
    </cfRule>
  </conditionalFormatting>
  <conditionalFormatting sqref="I418">
    <cfRule type="containsText" dxfId="0" priority="772" operator="containsText" text="Problem">
      <formula>NOT(ISERROR(SEARCH(("Problem"),(I418))))</formula>
    </cfRule>
  </conditionalFormatting>
  <conditionalFormatting sqref="I418">
    <cfRule type="containsText" dxfId="0" priority="773" operator="containsText" text="Problem">
      <formula>NOT(ISERROR(SEARCH(("Problem"),(I418))))</formula>
    </cfRule>
  </conditionalFormatting>
  <conditionalFormatting sqref="E832:E859">
    <cfRule type="containsText" dxfId="0" priority="774" operator="containsText" text="Problem">
      <formula>NOT(ISERROR(SEARCH(("Problem"),(E832))))</formula>
    </cfRule>
  </conditionalFormatting>
  <conditionalFormatting sqref="E832:E859">
    <cfRule type="containsText" dxfId="0" priority="775" operator="containsText" text="Problem">
      <formula>NOT(ISERROR(SEARCH(("Problem"),(E832))))</formula>
    </cfRule>
  </conditionalFormatting>
  <conditionalFormatting sqref="E832:E859">
    <cfRule type="containsText" dxfId="0" priority="776" operator="containsText" text="Problem">
      <formula>NOT(ISERROR(SEARCH(("Problem"),(E832))))</formula>
    </cfRule>
  </conditionalFormatting>
  <conditionalFormatting sqref="B809:C809 B821:B824 B826:C827 C778:C808 C818:C824">
    <cfRule type="containsText" dxfId="0" priority="777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778" operator="containsText" text="Problem">
      <formula>NOT(ISERROR(SEARCH(("Problem"),(B809))))</formula>
    </cfRule>
  </conditionalFormatting>
  <conditionalFormatting sqref="B809:C809 B821:B824 B826:C827 C778:C808 C818:C824">
    <cfRule type="containsText" dxfId="0" priority="779" operator="containsText" text="Problem">
      <formula>NOT(ISERROR(SEARCH(("Problem"),(B809))))</formula>
    </cfRule>
  </conditionalFormatting>
  <conditionalFormatting sqref="D295:D296 E270:H296">
    <cfRule type="containsText" dxfId="0" priority="780" operator="containsText" text="Problem">
      <formula>NOT(ISERROR(SEARCH(("Problem"),(D295))))</formula>
    </cfRule>
  </conditionalFormatting>
  <conditionalFormatting sqref="D295:D296 E270:H296">
    <cfRule type="containsText" dxfId="0" priority="781" operator="containsText" text="Problem">
      <formula>NOT(ISERROR(SEARCH(("Problem"),(D295))))</formula>
    </cfRule>
  </conditionalFormatting>
  <conditionalFormatting sqref="D295:D296 E270:H296">
    <cfRule type="containsText" dxfId="0" priority="782" operator="containsText" text="Problem">
      <formula>NOT(ISERROR(SEARCH(("Problem"),(D295))))</formula>
    </cfRule>
  </conditionalFormatting>
  <conditionalFormatting sqref="H713">
    <cfRule type="containsText" dxfId="0" priority="783" operator="containsText" text="Problem">
      <formula>NOT(ISERROR(SEARCH(("Problem"),(H713))))</formula>
    </cfRule>
  </conditionalFormatting>
  <conditionalFormatting sqref="H713">
    <cfRule type="containsText" dxfId="0" priority="784" operator="containsText" text="Problem">
      <formula>NOT(ISERROR(SEARCH(("Problem"),(H713))))</formula>
    </cfRule>
  </conditionalFormatting>
  <conditionalFormatting sqref="H713">
    <cfRule type="containsText" dxfId="0" priority="785" operator="containsText" text="Problem">
      <formula>NOT(ISERROR(SEARCH(("Problem"),(H713))))</formula>
    </cfRule>
  </conditionalFormatting>
  <conditionalFormatting sqref="E301:E328">
    <cfRule type="containsText" dxfId="0" priority="786" operator="containsText" text="Problem">
      <formula>NOT(ISERROR(SEARCH(("Problem"),(E301))))</formula>
    </cfRule>
  </conditionalFormatting>
  <conditionalFormatting sqref="E301:E328">
    <cfRule type="containsText" dxfId="0" priority="787" operator="containsText" text="Problem">
      <formula>NOT(ISERROR(SEARCH(("Problem"),(E301))))</formula>
    </cfRule>
  </conditionalFormatting>
  <conditionalFormatting sqref="E301:E328">
    <cfRule type="containsText" dxfId="0" priority="788" operator="containsText" text="Problem">
      <formula>NOT(ISERROR(SEARCH(("Problem"),(E301))))</formula>
    </cfRule>
  </conditionalFormatting>
  <conditionalFormatting sqref="D477">
    <cfRule type="containsText" dxfId="0" priority="789" operator="containsText" text="Problem">
      <formula>NOT(ISERROR(SEARCH(("Problem"),(D477))))</formula>
    </cfRule>
  </conditionalFormatting>
  <conditionalFormatting sqref="E890:I890">
    <cfRule type="containsText" dxfId="0" priority="790" operator="containsText" text="Problem">
      <formula>NOT(ISERROR(SEARCH(("Problem"),(E890))))</formula>
    </cfRule>
  </conditionalFormatting>
  <conditionalFormatting sqref="E890:I890">
    <cfRule type="containsText" dxfId="0" priority="791" operator="containsText" text="Problem">
      <formula>NOT(ISERROR(SEARCH(("Problem"),(E890))))</formula>
    </cfRule>
  </conditionalFormatting>
  <conditionalFormatting sqref="E890:I890">
    <cfRule type="containsText" dxfId="0" priority="792" operator="containsText" text="Problem">
      <formula>NOT(ISERROR(SEARCH(("Problem"),(E890))))</formula>
    </cfRule>
  </conditionalFormatting>
  <conditionalFormatting sqref="A299:I299 A356:H356 I329:I356 J299:P356">
    <cfRule type="containsText" dxfId="0" priority="793" operator="containsText" text="Problem">
      <formula>NOT(ISERROR(SEARCH(("Problem"),(A299))))</formula>
    </cfRule>
  </conditionalFormatting>
  <conditionalFormatting sqref="A299:I299 A356:H356 I329:I356 J299:P356">
    <cfRule type="containsText" dxfId="0" priority="794" operator="containsText" text="Problem">
      <formula>NOT(ISERROR(SEARCH(("Problem"),(A299))))</formula>
    </cfRule>
  </conditionalFormatting>
  <conditionalFormatting sqref="A299:I299 A356:H356 I329:I356 J299:P356">
    <cfRule type="containsText" dxfId="0" priority="795" operator="containsText" text="Problem">
      <formula>NOT(ISERROR(SEARCH(("Problem"),(A299))))</formula>
    </cfRule>
  </conditionalFormatting>
  <conditionalFormatting sqref="D124:D151">
    <cfRule type="containsText" dxfId="0" priority="796" operator="containsText" text="Problem">
      <formula>NOT(ISERROR(SEARCH(("Problem"),(D124))))</formula>
    </cfRule>
  </conditionalFormatting>
  <conditionalFormatting sqref="D124:D151">
    <cfRule type="containsText" dxfId="0" priority="797" operator="containsText" text="Problem">
      <formula>NOT(ISERROR(SEARCH(("Problem"),(D124))))</formula>
    </cfRule>
  </conditionalFormatting>
  <conditionalFormatting sqref="D124:D151">
    <cfRule type="containsText" dxfId="0" priority="798" operator="containsText" text="Problem">
      <formula>NOT(ISERROR(SEARCH(("Problem"),(D124))))</formula>
    </cfRule>
  </conditionalFormatting>
  <conditionalFormatting sqref="B573:C573 B585:B588 B590:C591 C542:C572 C582:C588">
    <cfRule type="containsText" dxfId="0" priority="799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800" operator="containsText" text="Problem">
      <formula>NOT(ISERROR(SEARCH(("Problem"),(B573))))</formula>
    </cfRule>
  </conditionalFormatting>
  <conditionalFormatting sqref="B573:C573 B585:B588 B590:C591 C542:C572 C582:C588">
    <cfRule type="containsText" dxfId="0" priority="801" operator="containsText" text="Problem">
      <formula>NOT(ISERROR(SEARCH(("Problem"),(B573))))</formula>
    </cfRule>
  </conditionalFormatting>
  <conditionalFormatting sqref="H300">
    <cfRule type="containsText" dxfId="0" priority="802" operator="containsText" text="Problem">
      <formula>NOT(ISERROR(SEARCH(("Problem"),(H300))))</formula>
    </cfRule>
  </conditionalFormatting>
  <conditionalFormatting sqref="H300">
    <cfRule type="containsText" dxfId="0" priority="803" operator="containsText" text="Problem">
      <formula>NOT(ISERROR(SEARCH(("Problem"),(H300))))</formula>
    </cfRule>
  </conditionalFormatting>
  <conditionalFormatting sqref="H300">
    <cfRule type="containsText" dxfId="0" priority="804" operator="containsText" text="Problem">
      <formula>NOT(ISERROR(SEARCH(("Problem"),(H300))))</formula>
    </cfRule>
  </conditionalFormatting>
  <conditionalFormatting sqref="H123">
    <cfRule type="containsText" dxfId="0" priority="805" operator="containsText" text="Problem">
      <formula>NOT(ISERROR(SEARCH(("Problem"),(H123))))</formula>
    </cfRule>
  </conditionalFormatting>
  <conditionalFormatting sqref="H123">
    <cfRule type="containsText" dxfId="0" priority="806" operator="containsText" text="Problem">
      <formula>NOT(ISERROR(SEARCH(("Problem"),(H123))))</formula>
    </cfRule>
  </conditionalFormatting>
  <conditionalFormatting sqref="H123">
    <cfRule type="containsText" dxfId="0" priority="807" operator="containsText" text="Problem">
      <formula>NOT(ISERROR(SEARCH(("Problem"),(H123))))</formula>
    </cfRule>
  </conditionalFormatting>
  <conditionalFormatting sqref="E655:E682">
    <cfRule type="containsText" dxfId="0" priority="808" operator="containsText" text="Problem">
      <formula>NOT(ISERROR(SEARCH(("Problem"),(E655))))</formula>
    </cfRule>
  </conditionalFormatting>
  <conditionalFormatting sqref="E655:E682">
    <cfRule type="containsText" dxfId="0" priority="809" operator="containsText" text="Problem">
      <formula>NOT(ISERROR(SEARCH(("Problem"),(E655))))</formula>
    </cfRule>
  </conditionalFormatting>
  <conditionalFormatting sqref="E655:E682">
    <cfRule type="containsText" dxfId="0" priority="810" operator="containsText" text="Problem">
      <formula>NOT(ISERROR(SEARCH(("Problem"),(E655))))</formula>
    </cfRule>
  </conditionalFormatting>
  <conditionalFormatting sqref="B514:C514 B526:B529 B531:C532 C483:C513 C523:C529">
    <cfRule type="containsText" dxfId="0" priority="811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812" operator="containsText" text="Problem">
      <formula>NOT(ISERROR(SEARCH(("Problem"),(B514))))</formula>
    </cfRule>
  </conditionalFormatting>
  <conditionalFormatting sqref="B514:C514 B526:B529 B531:C532 C483:C513 C523:C529">
    <cfRule type="containsText" dxfId="0" priority="813" operator="containsText" text="Problem">
      <formula>NOT(ISERROR(SEARCH(("Problem"),(B514))))</formula>
    </cfRule>
  </conditionalFormatting>
  <conditionalFormatting sqref="G64">
    <cfRule type="containsText" dxfId="0" priority="814" operator="containsText" text="Problem">
      <formula>NOT(ISERROR(SEARCH(("Problem"),(G64))))</formula>
    </cfRule>
  </conditionalFormatting>
  <conditionalFormatting sqref="G64">
    <cfRule type="containsText" dxfId="0" priority="815" operator="containsText" text="Problem">
      <formula>NOT(ISERROR(SEARCH(("Problem"),(G64))))</formula>
    </cfRule>
  </conditionalFormatting>
  <conditionalFormatting sqref="G64">
    <cfRule type="containsText" dxfId="0" priority="816" operator="containsText" text="Problem">
      <formula>NOT(ISERROR(SEARCH(("Problem"),(G64))))</formula>
    </cfRule>
  </conditionalFormatting>
  <conditionalFormatting sqref="D241">
    <cfRule type="containsText" dxfId="0" priority="817" operator="containsText" text="Problem">
      <formula>NOT(ISERROR(SEARCH(("Problem"),(D241))))</formula>
    </cfRule>
  </conditionalFormatting>
  <conditionalFormatting sqref="G713">
    <cfRule type="containsText" dxfId="0" priority="818" operator="containsText" text="Problem">
      <formula>NOT(ISERROR(SEARCH(("Problem"),(G713))))</formula>
    </cfRule>
  </conditionalFormatting>
  <conditionalFormatting sqref="G713">
    <cfRule type="containsText" dxfId="0" priority="819" operator="containsText" text="Problem">
      <formula>NOT(ISERROR(SEARCH(("Problem"),(G713))))</formula>
    </cfRule>
  </conditionalFormatting>
  <conditionalFormatting sqref="G713">
    <cfRule type="containsText" dxfId="0" priority="820" operator="containsText" text="Problem">
      <formula>NOT(ISERROR(SEARCH(("Problem"),(G713))))</formula>
    </cfRule>
  </conditionalFormatting>
  <conditionalFormatting sqref="A475 J475:P475">
    <cfRule type="containsText" dxfId="0" priority="821" operator="containsText" text="Problem">
      <formula>NOT(ISERROR(SEARCH(("Problem"),(A475))))</formula>
    </cfRule>
  </conditionalFormatting>
  <conditionalFormatting sqref="A475 J475:P475">
    <cfRule type="containsText" dxfId="0" priority="822" operator="containsText" text="Problem">
      <formula>NOT(ISERROR(SEARCH(("Problem"),(A475))))</formula>
    </cfRule>
  </conditionalFormatting>
  <conditionalFormatting sqref="A475 J475:P475">
    <cfRule type="containsText" dxfId="0" priority="823" operator="containsText" text="Problem">
      <formula>NOT(ISERROR(SEARCH(("Problem"),(A475))))</formula>
    </cfRule>
  </conditionalFormatting>
  <conditionalFormatting sqref="D772">
    <cfRule type="containsText" dxfId="0" priority="824" operator="containsText" text="Problem">
      <formula>NOT(ISERROR(SEARCH(("Problem"),(D772))))</formula>
    </cfRule>
  </conditionalFormatting>
  <conditionalFormatting sqref="H832:H859">
    <cfRule type="containsText" dxfId="0" priority="825" operator="containsText" text="Problem">
      <formula>NOT(ISERROR(SEARCH(("Problem"),(H832))))</formula>
    </cfRule>
  </conditionalFormatting>
  <conditionalFormatting sqref="H832:H859">
    <cfRule type="containsText" dxfId="0" priority="826" operator="containsText" text="Problem">
      <formula>NOT(ISERROR(SEARCH(("Problem"),(H832))))</formula>
    </cfRule>
  </conditionalFormatting>
  <conditionalFormatting sqref="H832:H859">
    <cfRule type="containsText" dxfId="0" priority="827" operator="containsText" text="Problem">
      <formula>NOT(ISERROR(SEARCH(("Problem"),(H832))))</formula>
    </cfRule>
  </conditionalFormatting>
  <conditionalFormatting sqref="B396:C396 B408:B411 B413:C414 C365:C395 C405:C411">
    <cfRule type="containsText" dxfId="0" priority="828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829" operator="containsText" text="Problem">
      <formula>NOT(ISERROR(SEARCH(("Problem"),(B396))))</formula>
    </cfRule>
  </conditionalFormatting>
  <conditionalFormatting sqref="B396:C396 B408:B411 B413:C414 C365:C395 C405:C411">
    <cfRule type="containsText" dxfId="0" priority="830" operator="containsText" text="Problem">
      <formula>NOT(ISERROR(SEARCH(("Problem"),(B396))))</formula>
    </cfRule>
  </conditionalFormatting>
  <conditionalFormatting sqref="H595">
    <cfRule type="containsText" dxfId="0" priority="831" operator="containsText" text="Problem">
      <formula>NOT(ISERROR(SEARCH(("Problem"),(H595))))</formula>
    </cfRule>
  </conditionalFormatting>
  <conditionalFormatting sqref="H595">
    <cfRule type="containsText" dxfId="0" priority="832" operator="containsText" text="Problem">
      <formula>NOT(ISERROR(SEARCH(("Problem"),(H595))))</formula>
    </cfRule>
  </conditionalFormatting>
  <conditionalFormatting sqref="H595">
    <cfRule type="containsText" dxfId="0" priority="833" operator="containsText" text="Problem">
      <formula>NOT(ISERROR(SEARCH(("Problem"),(H595))))</formula>
    </cfRule>
  </conditionalFormatting>
  <conditionalFormatting sqref="D885:D886 E860:H886">
    <cfRule type="containsText" dxfId="0" priority="834" operator="containsText" text="Problem">
      <formula>NOT(ISERROR(SEARCH(("Problem"),(D885))))</formula>
    </cfRule>
  </conditionalFormatting>
  <conditionalFormatting sqref="D885:D886 E860:H886">
    <cfRule type="containsText" dxfId="0" priority="835" operator="containsText" text="Problem">
      <formula>NOT(ISERROR(SEARCH(("Problem"),(D885))))</formula>
    </cfRule>
  </conditionalFormatting>
  <conditionalFormatting sqref="D885:D886 E860:H886">
    <cfRule type="containsText" dxfId="0" priority="836" operator="containsText" text="Problem">
      <formula>NOT(ISERROR(SEARCH(("Problem"),(D885))))</formula>
    </cfRule>
  </conditionalFormatting>
  <conditionalFormatting sqref="D831">
    <cfRule type="containsText" dxfId="0" priority="837" operator="containsText" text="Problem">
      <formula>NOT(ISERROR(SEARCH(("Problem"),(D831))))</formula>
    </cfRule>
  </conditionalFormatting>
  <conditionalFormatting sqref="I182">
    <cfRule type="containsText" dxfId="0" priority="838" operator="containsText" text="Problem">
      <formula>NOT(ISERROR(SEARCH(("Problem"),(I182))))</formula>
    </cfRule>
  </conditionalFormatting>
  <conditionalFormatting sqref="I182">
    <cfRule type="containsText" dxfId="0" priority="839" operator="containsText" text="Problem">
      <formula>NOT(ISERROR(SEARCH(("Problem"),(I182))))</formula>
    </cfRule>
  </conditionalFormatting>
  <conditionalFormatting sqref="I182">
    <cfRule type="containsText" dxfId="0" priority="840" operator="containsText" text="Problem">
      <formula>NOT(ISERROR(SEARCH(("Problem"),(I182))))</formula>
    </cfRule>
  </conditionalFormatting>
  <conditionalFormatting sqref="H773:H800">
    <cfRule type="containsText" dxfId="0" priority="841" operator="containsText" text="Problem">
      <formula>NOT(ISERROR(SEARCH(("Problem"),(H773))))</formula>
    </cfRule>
  </conditionalFormatting>
  <conditionalFormatting sqref="H773:H800">
    <cfRule type="containsText" dxfId="0" priority="842" operator="containsText" text="Problem">
      <formula>NOT(ISERROR(SEARCH(("Problem"),(H773))))</formula>
    </cfRule>
  </conditionalFormatting>
  <conditionalFormatting sqref="H773:H800">
    <cfRule type="containsText" dxfId="0" priority="843" operator="containsText" text="Problem">
      <formula>NOT(ISERROR(SEARCH(("Problem"),(H773))))</formula>
    </cfRule>
  </conditionalFormatting>
  <conditionalFormatting sqref="D713">
    <cfRule type="containsText" dxfId="0" priority="844" operator="containsText" text="Problem">
      <formula>NOT(ISERROR(SEARCH(("Problem"),(D713))))</formula>
    </cfRule>
  </conditionalFormatting>
  <conditionalFormatting sqref="E654">
    <cfRule type="containsText" dxfId="0" priority="845" operator="containsText" text="Problem">
      <formula>NOT(ISERROR(SEARCH(("Problem"),(E654))))</formula>
    </cfRule>
  </conditionalFormatting>
  <conditionalFormatting sqref="E654">
    <cfRule type="containsText" dxfId="0" priority="846" operator="containsText" text="Problem">
      <formula>NOT(ISERROR(SEARCH(("Problem"),(E654))))</formula>
    </cfRule>
  </conditionalFormatting>
  <conditionalFormatting sqref="E654">
    <cfRule type="containsText" dxfId="0" priority="847" operator="containsText" text="Problem">
      <formula>NOT(ISERROR(SEARCH(("Problem"),(E654))))</formula>
    </cfRule>
  </conditionalFormatting>
  <conditionalFormatting sqref="D536">
    <cfRule type="containsText" dxfId="0" priority="848" operator="containsText" text="Problem">
      <formula>NOT(ISERROR(SEARCH(("Problem"),(D536))))</formula>
    </cfRule>
  </conditionalFormatting>
  <dataValidations>
    <dataValidation type="date" allowBlank="1" showErrorMessage="1" sqref="G3 G62 G121 G180 G239 G298 G357 G416 G475 G534 G593 G652 G711 G770 G829 G888">
      <formula1>43466.0</formula1>
      <formula2>43920.0</formula2>
    </dataValidation>
    <dataValidation type="date" allowBlank="1" showErrorMessage="1" sqref="J3 J62 J121 J180 J239 J298 J357 J416 J475 J534 J593 J652 J711 J770 J829 J888">
      <formula1>43466.0</formula1>
      <formula2>43921.0</formula2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LinksUpToDate>false</LinksUpToDate>
  <Application>Kingsoft Office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2026-03-30T01:04:42Z</dcterms:created>
  <dc:creator>acer</dc:creator>
  <cp:lastModifiedBy>acer</cp:lastModifiedBy>
  <dcterms:modified xsi:type="dcterms:W3CDTF">2026-06-05T04:06:26Z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3ea0ac26ff0545e1b75eb8e4467f76fb</vt:lpwstr>
  </property>
</Properties>
</file>