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7185"/>
  </bookViews>
  <sheets>
    <sheet name="XLS476" sheetId="1" r:id="rId1"/>
  </sheets>
  <calcPr calcId="124519"/>
</workbook>
</file>

<file path=xl/calcChain.xml><?xml version="1.0" encoding="utf-8"?>
<calcChain xmlns="http://schemas.openxmlformats.org/spreadsheetml/2006/main">
  <c r="T7" i="1"/>
  <c r="S7"/>
  <c r="R7"/>
  <c r="Q7"/>
  <c r="P7"/>
  <c r="O7"/>
  <c r="N7"/>
  <c r="M7"/>
  <c r="L7"/>
  <c r="K7"/>
  <c r="J7"/>
  <c r="I7"/>
  <c r="H7"/>
  <c r="G7"/>
  <c r="F7"/>
  <c r="E7"/>
  <c r="D7"/>
  <c r="C7"/>
  <c r="B7"/>
  <c r="A7"/>
</calcChain>
</file>

<file path=xl/sharedStrings.xml><?xml version="1.0" encoding="utf-8"?>
<sst xmlns="http://schemas.openxmlformats.org/spreadsheetml/2006/main" count="316" uniqueCount="166">
  <si>
    <t>ACOTOP ER TAB</t>
  </si>
  <si>
    <t>10 TAB</t>
  </si>
  <si>
    <t>30049099</t>
  </si>
  <si>
    <t>AD 10 DT TAB</t>
  </si>
  <si>
    <t>AD 10 SACHETS</t>
  </si>
  <si>
    <t>1 GM</t>
  </si>
  <si>
    <t>AD 100 CAP</t>
  </si>
  <si>
    <t>10 CAP</t>
  </si>
  <si>
    <t>AD 30 SACHET</t>
  </si>
  <si>
    <t>3 GM</t>
  </si>
  <si>
    <t>BILASET 20 TAB</t>
  </si>
  <si>
    <t>10*TAB</t>
  </si>
  <si>
    <t>BILASET M TAB</t>
  </si>
  <si>
    <t>D3 RICH 1000 CAP</t>
  </si>
  <si>
    <t>D3 RICH 60K CAP</t>
  </si>
  <si>
    <t>FAVIVIR 200MG TABLET</t>
  </si>
  <si>
    <t>34 TAB</t>
  </si>
  <si>
    <t>FX-24 120MG TAB</t>
  </si>
  <si>
    <t>FX-24 180MG TAB</t>
  </si>
  <si>
    <t>FX-24 SYRUP</t>
  </si>
  <si>
    <t>100 ML</t>
  </si>
  <si>
    <t>GENXVAST 10 TAB</t>
  </si>
  <si>
    <t>GENXVAST 20 TAB</t>
  </si>
  <si>
    <t>GENXVAST F TAB</t>
  </si>
  <si>
    <t>GOCAN-150 TAB</t>
  </si>
  <si>
    <t>1 TAB</t>
  </si>
  <si>
    <t>ITBOR 100 CAP</t>
  </si>
  <si>
    <t>7 CAP</t>
  </si>
  <si>
    <t>ITBOR 200 CAP</t>
  </si>
  <si>
    <t>10CAP</t>
  </si>
  <si>
    <t>LAZ 250 TAB</t>
  </si>
  <si>
    <t>6 TAB</t>
  </si>
  <si>
    <t>LAZ 500 TAB</t>
  </si>
  <si>
    <t>LAZ-100 SUSP.</t>
  </si>
  <si>
    <t>15 ML</t>
  </si>
  <si>
    <t>LAZ-100 TAB</t>
  </si>
  <si>
    <t>3 TAB</t>
  </si>
  <si>
    <t>LAZ-125 PLUS TAB</t>
  </si>
  <si>
    <t>10TAB</t>
  </si>
  <si>
    <t>LAZ-200 SUSP.</t>
  </si>
  <si>
    <t>LAZ-AX 250 TAB</t>
  </si>
  <si>
    <t>LAZ-AX 500 TAB</t>
  </si>
  <si>
    <t>LAZ-PLUS 250 TAB</t>
  </si>
  <si>
    <t>LAZ-XL 100 SYR</t>
  </si>
  <si>
    <t>60 ML</t>
  </si>
  <si>
    <t>LAZ-XL 200 SYR</t>
  </si>
  <si>
    <t>60 ml</t>
  </si>
  <si>
    <t>LAZINE M TAB</t>
  </si>
  <si>
    <t>LAZINE SYRUP</t>
  </si>
  <si>
    <t>30 ML</t>
  </si>
  <si>
    <t>LAZINE TAB</t>
  </si>
  <si>
    <t>LAZINE-D TAB</t>
  </si>
  <si>
    <t>LAZINE-D-PLUS TAB</t>
  </si>
  <si>
    <t>LAZINE-M DRY SYRUP</t>
  </si>
  <si>
    <t>LAZINE-M-KID TAB</t>
  </si>
  <si>
    <t>LULIBOR 1% CREAM 15GM</t>
  </si>
  <si>
    <t>15 GM</t>
  </si>
  <si>
    <t>LULIBOR 1% LOTION</t>
  </si>
  <si>
    <t>LULIBOR CREAM 1% 30GM [BIG]</t>
  </si>
  <si>
    <t>30*GM</t>
  </si>
  <si>
    <t>MOISTE CREAM</t>
  </si>
  <si>
    <t>50 GM</t>
  </si>
  <si>
    <t>NAPIBOR CREAM</t>
  </si>
  <si>
    <t>30 GM</t>
  </si>
  <si>
    <t>OPOX 100 DRY SYRUP</t>
  </si>
  <si>
    <t>OPOX 100 DT TAB</t>
  </si>
  <si>
    <t>OPOX 200 TAB</t>
  </si>
  <si>
    <t>OPOX 50 DRY SYRUP</t>
  </si>
  <si>
    <t>OPOX 50 DT TAB</t>
  </si>
  <si>
    <t>OPOX CV 100 DT TAB</t>
  </si>
  <si>
    <t>OPOX CV 100 SYRUP</t>
  </si>
  <si>
    <t>OPOX CV 200 TAB</t>
  </si>
  <si>
    <t>OPOX CV 50 DRY SYRUP</t>
  </si>
  <si>
    <t>OPOX DROPS</t>
  </si>
  <si>
    <t>10 ML</t>
  </si>
  <si>
    <t>OPOX-CV 50 DT TAB</t>
  </si>
  <si>
    <t>OPOX-FX 100 TAB</t>
  </si>
  <si>
    <t>OPOX-FX 200 TAB</t>
  </si>
  <si>
    <t>PANTIN 40 TAB</t>
  </si>
  <si>
    <t>15 TAB</t>
  </si>
  <si>
    <t>PANTIN D CAP</t>
  </si>
  <si>
    <t>PANTIN IV 40MG [VIAL]</t>
  </si>
  <si>
    <t>1 VIAL</t>
  </si>
  <si>
    <t>PANTIN L CAP</t>
  </si>
  <si>
    <t>PANTIN RD TAB</t>
  </si>
  <si>
    <t>PANTIN-80 TAB</t>
  </si>
  <si>
    <t>RIFGEM 200 TAB</t>
  </si>
  <si>
    <t>RIFGEM 400 TAB</t>
  </si>
  <si>
    <t>RX-PLUS CAP</t>
  </si>
  <si>
    <t>15 CAP</t>
  </si>
  <si>
    <t>SERTABOR 2% CREAM</t>
  </si>
  <si>
    <t>TANZ TAB</t>
  </si>
  <si>
    <t>TENOLAM TAB</t>
  </si>
  <si>
    <t>30 TAB</t>
  </si>
  <si>
    <t>TRIKAST TAB</t>
  </si>
  <si>
    <t>VERTIGEN TAB</t>
  </si>
  <si>
    <t>ZINVITA TAB</t>
  </si>
  <si>
    <t>30TABS</t>
  </si>
  <si>
    <t>21061000</t>
  </si>
  <si>
    <t/>
  </si>
  <si>
    <t>MR.Balance:    12797.00</t>
  </si>
  <si>
    <t>OPENING :  148367.46</t>
  </si>
  <si>
    <t>PURCHASE :  126863.00</t>
  </si>
  <si>
    <t>SALES :   85904.66</t>
  </si>
  <si>
    <t>UC SALE :   55160.15</t>
  </si>
  <si>
    <t>CL.STK.:  205364.49</t>
  </si>
  <si>
    <t>Opening On SaleRate:  164747.9</t>
  </si>
  <si>
    <t>Purchase On SaleRate:  140949.</t>
  </si>
  <si>
    <t>Closing On SaleRate:  228072.6</t>
  </si>
  <si>
    <t xml:space="preserve">SUNDARLAL ENTERPRISES                   </t>
  </si>
  <si>
    <t>S.L.HEIGHTS,MAIN BAZZAR PETH,            From : 01/05/26</t>
  </si>
  <si>
    <t>NEAR RAILWAY STATION,URULI KANCHAN,      To : 30/05/26</t>
  </si>
  <si>
    <t>PUNE-412202                             Report Date : 28-May-2026</t>
  </si>
  <si>
    <t>STOCK &amp; SALE STATEMENT</t>
  </si>
  <si>
    <t>Company Name : HETERO HEALTHCARE LTD.[GENX]</t>
  </si>
  <si>
    <t>MR WISE OUTSTANDING REPORT</t>
  </si>
  <si>
    <t>SrNo.</t>
  </si>
  <si>
    <t>Bill No</t>
  </si>
  <si>
    <t>Type</t>
  </si>
  <si>
    <t>BillDate</t>
  </si>
  <si>
    <t>Party Name</t>
  </si>
  <si>
    <t>Address</t>
  </si>
  <si>
    <t>Address2</t>
  </si>
  <si>
    <t>Bill Amount</t>
  </si>
  <si>
    <t>Balance</t>
  </si>
  <si>
    <t>Received</t>
  </si>
  <si>
    <t>OverDays</t>
  </si>
  <si>
    <t>Intrest</t>
  </si>
  <si>
    <t>Remark</t>
  </si>
  <si>
    <t xml:space="preserve"> 14350L</t>
  </si>
  <si>
    <t>Cash/Credit</t>
  </si>
  <si>
    <t>17/10/20</t>
  </si>
  <si>
    <t xml:space="preserve">OM MEDICO                     </t>
  </si>
  <si>
    <t>GANGA COMPLEX,JAIL ROAD,YERAVD</t>
  </si>
  <si>
    <t xml:space="preserve">                              </t>
  </si>
  <si>
    <t>**MSD PHARMA **[JANUMET/JANUVIA] AVAILAB</t>
  </si>
  <si>
    <t xml:space="preserve">  3729L</t>
  </si>
  <si>
    <t xml:space="preserve">YOG MEDICO                    </t>
  </si>
  <si>
    <t xml:space="preserve">SHOP NO.3,THIRD FLR,YOG HOSP. </t>
  </si>
  <si>
    <t xml:space="preserve">WARD NO.5,MANJRI GREENS       </t>
  </si>
  <si>
    <t xml:space="preserve"> 36773L</t>
  </si>
  <si>
    <t>23/01/25</t>
  </si>
  <si>
    <t xml:space="preserve">UNICARE PHARMA HUB            </t>
  </si>
  <si>
    <t>MUNDHAWA-MANJARI RD,GAWALI WAS</t>
  </si>
  <si>
    <t xml:space="preserve">TI,MANJARI BK.                </t>
  </si>
  <si>
    <t xml:space="preserve">  1603L</t>
  </si>
  <si>
    <t>14/04/25</t>
  </si>
  <si>
    <t xml:space="preserve">SHREERAM MEDICAL &amp; GEN STORE  </t>
  </si>
  <si>
    <t xml:space="preserve">MANJARI,SHREENATH DEVELOPERS  </t>
  </si>
  <si>
    <t>NEAR EXPIRY REPORT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</si>
  <si>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</si>
  <si>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</si>
  <si>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</si>
  <si>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</si>
  <si>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</si>
  <si>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</si>
  <si>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</si>
  <si>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</si>
  <si>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OPOX CV 200 TAB               </t>
  </si>
  <si>
    <t>GNX</t>
  </si>
  <si>
    <t xml:space="preserve">HH2501042      </t>
  </si>
  <si>
    <t xml:space="preserve">PANTIN RD TAB                 </t>
  </si>
  <si>
    <t xml:space="preserve">GT24533A*      </t>
  </si>
  <si>
    <t xml:space="preserve">PANTIN L CAP                  </t>
  </si>
  <si>
    <t xml:space="preserve">GC24678A*      </t>
  </si>
  <si>
    <t xml:space="preserve">Grand Total :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</si>
</sst>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Continuous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7"/>
  <sheetViews>
    <sheetView tabSelected="1" workbookViewId="0">
      <pane ySplit="7" topLeftCell="A8" activePane="bottomLeft" state="frozen"/>
      <selection pane="bottomLeft" activeCell="A8" sqref="A8:T8"/>
    </sheetView>
  </sheetViews>
  <sheetFormatPr defaultRowHeight="15"/>
  <cols>
    <col min="1" max="1" width="29.28515625" bestFit="1" customWidth="1"/>
    <col min="2" max="2" width="7.42578125" bestFit="1" customWidth="1"/>
    <col min="3" max="3" width="9.7109375" bestFit="1" customWidth="1"/>
    <col min="4" max="4" width="8.42578125" bestFit="1" customWidth="1"/>
    <col min="5" max="5" width="9.28515625" bestFit="1" customWidth="1"/>
    <col min="6" max="6" width="8" bestFit="1" customWidth="1"/>
    <col min="7" max="7" width="8.85546875" bestFit="1" customWidth="1"/>
    <col min="8" max="8" width="7.42578125" bestFit="1" customWidth="1"/>
    <col min="9" max="9" width="7.28515625" bestFit="1" customWidth="1"/>
    <col min="10" max="10" width="8.140625" bestFit="1" customWidth="1"/>
    <col min="11" max="11" width="7.140625" bestFit="1" customWidth="1"/>
    <col min="12" max="12" width="10.140625" bestFit="1" customWidth="1"/>
    <col min="13" max="13" width="10" bestFit="1" customWidth="1"/>
    <col min="14" max="14" width="8.7109375" bestFit="1" customWidth="1"/>
    <col min="15" max="15" width="9.140625" bestFit="1" customWidth="1"/>
    <col min="16" max="16" width="10" bestFit="1" customWidth="1"/>
    <col min="17" max="17" width="10.140625" bestFit="1" customWidth="1"/>
    <col min="18" max="18" width="8.28515625" bestFit="1" customWidth="1"/>
    <col min="19" max="19" width="10.28515625" bestFit="1" customWidth="1"/>
    <col min="20" max="20" width="12.42578125" bestFit="1" customWidth="1"/>
  </cols>
  <sheetData>
    <row r="1" spans="1:20">
      <c r="A1" s="4" t="s">
        <v>109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4" t="s">
        <v>110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>
      <c r="A3" s="4" t="s">
        <v>111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4" t="s">
        <v>112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s="3" t="s">
        <v>113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 t="s">
        <v>114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UPPER("purscm")</f>
        <v>PURSCM</v>
      </c>
      <c r="F7" s="1" t="str">
        <f>UPPER("crestk")</f>
        <v>CRESTK</v>
      </c>
      <c r="G7" s="1" t="str">
        <f>UPPER("salestk")</f>
        <v>SALESTK</v>
      </c>
      <c r="H7" s="1" t="str">
        <f>UPPER("slscm")</f>
        <v>SLSCM</v>
      </c>
      <c r="I7" s="1" t="str">
        <f>UPPER("ucstk")</f>
        <v>UCSTK</v>
      </c>
      <c r="J7" s="1" t="str">
        <f>UPPER("ucscm")</f>
        <v>UCSCM</v>
      </c>
      <c r="K7" s="1" t="str">
        <f>UPPER("dbstk")</f>
        <v>DBSTK</v>
      </c>
      <c r="L7" s="1" t="str">
        <f>UPPER("closestk")</f>
        <v>CLOSESTK</v>
      </c>
      <c r="M7" s="1" t="str">
        <f>UPPER("openval")</f>
        <v>OPENVAL</v>
      </c>
      <c r="N7" s="1" t="str">
        <f>UPPER("purval")</f>
        <v>PURVAL</v>
      </c>
      <c r="O7" s="1" t="str">
        <f>UPPER("saleval")</f>
        <v>SALEVAL</v>
      </c>
      <c r="P7" s="1" t="str">
        <f>UPPER("clsval")</f>
        <v>CLSVAL</v>
      </c>
      <c r="Q7" s="1" t="str">
        <f>UPPER("hsncode")</f>
        <v>HSNCODE</v>
      </c>
      <c r="R7" s="1" t="str">
        <f>UPPER("taxper")</f>
        <v>TAXPER</v>
      </c>
      <c r="S7" s="1" t="str">
        <f>UPPER("slgstval")</f>
        <v>SLGSTVAL</v>
      </c>
      <c r="T7" s="1" t="str">
        <f>UPPER("scmgstval")</f>
        <v>SCMGSTVAL</v>
      </c>
    </row>
    <row r="8" spans="1:20">
      <c r="A8" t="s">
        <v>0</v>
      </c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</v>
      </c>
      <c r="R8">
        <v>5</v>
      </c>
      <c r="S8">
        <v>0</v>
      </c>
      <c r="T8">
        <v>0</v>
      </c>
    </row>
    <row r="9" spans="1:20">
      <c r="A9" t="s">
        <v>3</v>
      </c>
      <c r="B9" t="s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2</v>
      </c>
      <c r="R9">
        <v>5</v>
      </c>
      <c r="S9">
        <v>0</v>
      </c>
      <c r="T9">
        <v>0</v>
      </c>
    </row>
    <row r="10" spans="1:20">
      <c r="A10" t="s">
        <v>4</v>
      </c>
      <c r="B10" t="s">
        <v>5</v>
      </c>
      <c r="C10">
        <v>428</v>
      </c>
      <c r="D10">
        <v>300</v>
      </c>
      <c r="E10">
        <v>0</v>
      </c>
      <c r="F10">
        <v>0</v>
      </c>
      <c r="G10">
        <v>200</v>
      </c>
      <c r="H10">
        <v>0</v>
      </c>
      <c r="I10">
        <v>500</v>
      </c>
      <c r="J10">
        <v>0</v>
      </c>
      <c r="K10">
        <v>0</v>
      </c>
      <c r="L10">
        <v>28</v>
      </c>
      <c r="M10">
        <v>3963.28</v>
      </c>
      <c r="N10">
        <v>2778</v>
      </c>
      <c r="O10">
        <v>2058</v>
      </c>
      <c r="P10">
        <v>259.27999999999997</v>
      </c>
      <c r="Q10" t="s">
        <v>2</v>
      </c>
      <c r="R10">
        <v>5</v>
      </c>
      <c r="S10">
        <v>2160.9</v>
      </c>
      <c r="T10">
        <v>0</v>
      </c>
    </row>
    <row r="11" spans="1:20">
      <c r="A11" t="s">
        <v>6</v>
      </c>
      <c r="B11" t="s">
        <v>7</v>
      </c>
      <c r="C11">
        <v>41</v>
      </c>
      <c r="D11">
        <v>30</v>
      </c>
      <c r="E11">
        <v>0</v>
      </c>
      <c r="F11">
        <v>0</v>
      </c>
      <c r="G11">
        <v>7</v>
      </c>
      <c r="H11">
        <v>0</v>
      </c>
      <c r="I11">
        <v>60</v>
      </c>
      <c r="J11">
        <v>0</v>
      </c>
      <c r="K11">
        <v>0</v>
      </c>
      <c r="L11">
        <v>4</v>
      </c>
      <c r="M11">
        <v>3598.57</v>
      </c>
      <c r="N11">
        <v>2633.1</v>
      </c>
      <c r="O11">
        <v>682.64</v>
      </c>
      <c r="P11">
        <v>351.08</v>
      </c>
      <c r="Q11" t="s">
        <v>2</v>
      </c>
      <c r="R11">
        <v>5</v>
      </c>
      <c r="S11">
        <v>716.77</v>
      </c>
      <c r="T11">
        <v>0</v>
      </c>
    </row>
    <row r="12" spans="1:20">
      <c r="A12" t="s">
        <v>8</v>
      </c>
      <c r="B12" t="s">
        <v>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</v>
      </c>
      <c r="R12">
        <v>5</v>
      </c>
      <c r="S12">
        <v>0</v>
      </c>
      <c r="T12">
        <v>0</v>
      </c>
    </row>
    <row r="13" spans="1:20">
      <c r="A13" t="s">
        <v>10</v>
      </c>
      <c r="B13" t="s">
        <v>11</v>
      </c>
      <c r="C13">
        <v>69</v>
      </c>
      <c r="D13">
        <v>0</v>
      </c>
      <c r="E13">
        <v>0</v>
      </c>
      <c r="F13">
        <v>0</v>
      </c>
      <c r="G13">
        <v>14</v>
      </c>
      <c r="H13">
        <v>2</v>
      </c>
      <c r="I13">
        <v>20</v>
      </c>
      <c r="J13">
        <v>6</v>
      </c>
      <c r="K13">
        <v>0</v>
      </c>
      <c r="L13">
        <v>27</v>
      </c>
      <c r="M13">
        <v>3766.02</v>
      </c>
      <c r="N13">
        <v>0</v>
      </c>
      <c r="O13">
        <v>849.16</v>
      </c>
      <c r="P13">
        <v>1473.66</v>
      </c>
      <c r="Q13" t="s">
        <v>2</v>
      </c>
      <c r="R13">
        <v>5</v>
      </c>
      <c r="S13">
        <v>891.56</v>
      </c>
      <c r="T13">
        <v>127.37</v>
      </c>
    </row>
    <row r="14" spans="1:20">
      <c r="A14" t="s">
        <v>12</v>
      </c>
      <c r="B14" t="s">
        <v>11</v>
      </c>
      <c r="C14">
        <v>21</v>
      </c>
      <c r="D14">
        <v>0</v>
      </c>
      <c r="E14">
        <v>0</v>
      </c>
      <c r="F14">
        <v>0</v>
      </c>
      <c r="G14">
        <v>4</v>
      </c>
      <c r="H14">
        <v>0</v>
      </c>
      <c r="I14">
        <v>0</v>
      </c>
      <c r="J14">
        <v>0</v>
      </c>
      <c r="K14">
        <v>0</v>
      </c>
      <c r="L14">
        <v>17</v>
      </c>
      <c r="M14">
        <v>1470.21</v>
      </c>
      <c r="N14">
        <v>0</v>
      </c>
      <c r="O14">
        <v>311.16000000000003</v>
      </c>
      <c r="P14">
        <v>1190.17</v>
      </c>
      <c r="Q14" t="s">
        <v>2</v>
      </c>
      <c r="R14">
        <v>5</v>
      </c>
      <c r="S14">
        <v>326.72000000000003</v>
      </c>
      <c r="T14">
        <v>0</v>
      </c>
    </row>
    <row r="15" spans="1:20">
      <c r="A15" t="s">
        <v>13</v>
      </c>
      <c r="B15" t="s">
        <v>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</v>
      </c>
      <c r="R15">
        <v>5</v>
      </c>
      <c r="S15">
        <v>0</v>
      </c>
      <c r="T15">
        <v>0</v>
      </c>
    </row>
    <row r="16" spans="1:20">
      <c r="A16" t="s">
        <v>14</v>
      </c>
      <c r="B16" t="s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</v>
      </c>
      <c r="R16">
        <v>5</v>
      </c>
      <c r="S16">
        <v>0</v>
      </c>
      <c r="T16">
        <v>0</v>
      </c>
    </row>
    <row r="17" spans="1:20">
      <c r="A17" t="s">
        <v>15</v>
      </c>
      <c r="B17" t="s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</v>
      </c>
      <c r="R17">
        <v>5</v>
      </c>
      <c r="S17">
        <v>0</v>
      </c>
      <c r="T17">
        <v>0</v>
      </c>
    </row>
    <row r="18" spans="1:20">
      <c r="A18" t="s">
        <v>17</v>
      </c>
      <c r="B18" t="s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</v>
      </c>
      <c r="R18">
        <v>5</v>
      </c>
      <c r="S18">
        <v>0</v>
      </c>
      <c r="T18">
        <v>0</v>
      </c>
    </row>
    <row r="19" spans="1:20">
      <c r="A19" t="s">
        <v>18</v>
      </c>
      <c r="B19" t="s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2</v>
      </c>
      <c r="R19">
        <v>5</v>
      </c>
      <c r="S19">
        <v>0</v>
      </c>
      <c r="T19">
        <v>0</v>
      </c>
    </row>
    <row r="20" spans="1:20">
      <c r="A20" t="s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</v>
      </c>
      <c r="R20">
        <v>5</v>
      </c>
      <c r="S20">
        <v>0</v>
      </c>
      <c r="T20">
        <v>0</v>
      </c>
    </row>
    <row r="21" spans="1:20">
      <c r="A21" t="s">
        <v>21</v>
      </c>
      <c r="B21" t="s">
        <v>1</v>
      </c>
      <c r="C21">
        <v>7</v>
      </c>
      <c r="D21">
        <v>50</v>
      </c>
      <c r="E21">
        <v>0</v>
      </c>
      <c r="F21">
        <v>0</v>
      </c>
      <c r="G21">
        <v>6</v>
      </c>
      <c r="H21">
        <v>0</v>
      </c>
      <c r="I21">
        <v>40</v>
      </c>
      <c r="J21">
        <v>0</v>
      </c>
      <c r="K21">
        <v>0</v>
      </c>
      <c r="L21">
        <v>11</v>
      </c>
      <c r="M21">
        <v>93.45</v>
      </c>
      <c r="N21">
        <v>667.5</v>
      </c>
      <c r="O21">
        <v>88.08</v>
      </c>
      <c r="P21">
        <v>146.85</v>
      </c>
      <c r="Q21" t="s">
        <v>2</v>
      </c>
      <c r="R21">
        <v>5</v>
      </c>
      <c r="S21">
        <v>92.48</v>
      </c>
      <c r="T21">
        <v>0</v>
      </c>
    </row>
    <row r="22" spans="1:20">
      <c r="A22" t="s">
        <v>22</v>
      </c>
      <c r="B22" t="s">
        <v>1</v>
      </c>
      <c r="C22">
        <v>36</v>
      </c>
      <c r="D22">
        <v>0</v>
      </c>
      <c r="E22">
        <v>0</v>
      </c>
      <c r="F22">
        <v>0</v>
      </c>
      <c r="G22">
        <v>0</v>
      </c>
      <c r="H22">
        <v>0</v>
      </c>
      <c r="I22">
        <v>20</v>
      </c>
      <c r="J22">
        <v>0</v>
      </c>
      <c r="K22">
        <v>0</v>
      </c>
      <c r="L22">
        <v>16</v>
      </c>
      <c r="M22">
        <v>698.76</v>
      </c>
      <c r="N22">
        <v>0</v>
      </c>
      <c r="O22">
        <v>0</v>
      </c>
      <c r="P22">
        <v>310.56</v>
      </c>
      <c r="Q22" t="s">
        <v>2</v>
      </c>
      <c r="R22">
        <v>5</v>
      </c>
      <c r="S22">
        <v>0</v>
      </c>
      <c r="T22">
        <v>0</v>
      </c>
    </row>
    <row r="23" spans="1:20">
      <c r="A23" t="s">
        <v>23</v>
      </c>
      <c r="B23" t="s">
        <v>1</v>
      </c>
      <c r="C23">
        <v>34</v>
      </c>
      <c r="D23">
        <v>0</v>
      </c>
      <c r="E23">
        <v>0</v>
      </c>
      <c r="F23">
        <v>0</v>
      </c>
      <c r="G23">
        <v>6</v>
      </c>
      <c r="H23">
        <v>0</v>
      </c>
      <c r="I23">
        <v>0</v>
      </c>
      <c r="J23">
        <v>0</v>
      </c>
      <c r="K23">
        <v>0</v>
      </c>
      <c r="L23">
        <v>28</v>
      </c>
      <c r="M23">
        <v>1014.22</v>
      </c>
      <c r="N23">
        <v>0</v>
      </c>
      <c r="O23">
        <v>198.84</v>
      </c>
      <c r="P23">
        <v>835.24</v>
      </c>
      <c r="Q23" t="s">
        <v>2</v>
      </c>
      <c r="R23">
        <v>5</v>
      </c>
      <c r="S23">
        <v>208.78</v>
      </c>
      <c r="T23">
        <v>0</v>
      </c>
    </row>
    <row r="24" spans="1:20">
      <c r="A24" t="s">
        <v>24</v>
      </c>
      <c r="B24" t="s">
        <v>25</v>
      </c>
      <c r="C24">
        <v>435</v>
      </c>
      <c r="D24">
        <v>0</v>
      </c>
      <c r="E24">
        <v>0</v>
      </c>
      <c r="F24">
        <v>0</v>
      </c>
      <c r="G24">
        <v>60</v>
      </c>
      <c r="H24">
        <v>30</v>
      </c>
      <c r="I24">
        <v>80</v>
      </c>
      <c r="J24">
        <v>40</v>
      </c>
      <c r="K24">
        <v>0</v>
      </c>
      <c r="L24">
        <v>225</v>
      </c>
      <c r="M24">
        <v>3701.85</v>
      </c>
      <c r="N24">
        <v>0</v>
      </c>
      <c r="O24">
        <v>562.20000000000005</v>
      </c>
      <c r="P24">
        <v>1914.75</v>
      </c>
      <c r="Q24" t="s">
        <v>2</v>
      </c>
      <c r="R24">
        <v>5</v>
      </c>
      <c r="S24">
        <v>590.30999999999995</v>
      </c>
      <c r="T24">
        <v>295.16000000000003</v>
      </c>
    </row>
    <row r="25" spans="1:20">
      <c r="A25" t="s">
        <v>26</v>
      </c>
      <c r="B25" t="s">
        <v>27</v>
      </c>
      <c r="C25">
        <v>77</v>
      </c>
      <c r="D25">
        <v>0</v>
      </c>
      <c r="E25">
        <v>0</v>
      </c>
      <c r="F25">
        <v>0</v>
      </c>
      <c r="G25">
        <v>14</v>
      </c>
      <c r="H25">
        <v>5</v>
      </c>
      <c r="I25">
        <v>0</v>
      </c>
      <c r="J25">
        <v>0</v>
      </c>
      <c r="K25">
        <v>0</v>
      </c>
      <c r="L25">
        <v>58</v>
      </c>
      <c r="M25">
        <v>4614.6099999999997</v>
      </c>
      <c r="N25">
        <v>0</v>
      </c>
      <c r="O25">
        <v>932.26</v>
      </c>
      <c r="P25">
        <v>3475.94</v>
      </c>
      <c r="Q25" t="s">
        <v>2</v>
      </c>
      <c r="R25">
        <v>5</v>
      </c>
      <c r="S25">
        <v>978.87</v>
      </c>
      <c r="T25">
        <v>349.6</v>
      </c>
    </row>
    <row r="26" spans="1:20">
      <c r="A26" t="s">
        <v>28</v>
      </c>
      <c r="B26" t="s">
        <v>29</v>
      </c>
      <c r="C26">
        <v>25</v>
      </c>
      <c r="D26">
        <v>50</v>
      </c>
      <c r="E26">
        <v>20</v>
      </c>
      <c r="F26">
        <v>0</v>
      </c>
      <c r="G26">
        <v>10</v>
      </c>
      <c r="H26">
        <v>4</v>
      </c>
      <c r="I26">
        <v>10</v>
      </c>
      <c r="J26">
        <v>4</v>
      </c>
      <c r="K26">
        <v>0</v>
      </c>
      <c r="L26">
        <v>67</v>
      </c>
      <c r="M26">
        <v>2928</v>
      </c>
      <c r="N26">
        <v>5856</v>
      </c>
      <c r="O26">
        <v>1301.3</v>
      </c>
      <c r="P26">
        <v>7847.04</v>
      </c>
      <c r="Q26" t="s">
        <v>2</v>
      </c>
      <c r="R26">
        <v>5</v>
      </c>
      <c r="S26">
        <v>1366.37</v>
      </c>
      <c r="T26">
        <v>546.54999999999995</v>
      </c>
    </row>
    <row r="27" spans="1:20">
      <c r="A27" t="s">
        <v>30</v>
      </c>
      <c r="B27" t="s">
        <v>31</v>
      </c>
      <c r="C27">
        <v>72</v>
      </c>
      <c r="D27">
        <v>0</v>
      </c>
      <c r="E27">
        <v>0</v>
      </c>
      <c r="F27">
        <v>0</v>
      </c>
      <c r="G27">
        <v>23</v>
      </c>
      <c r="H27">
        <v>4</v>
      </c>
      <c r="I27">
        <v>25</v>
      </c>
      <c r="J27">
        <v>5</v>
      </c>
      <c r="K27">
        <v>0</v>
      </c>
      <c r="L27">
        <v>15</v>
      </c>
      <c r="M27">
        <v>3782.16</v>
      </c>
      <c r="N27">
        <v>0</v>
      </c>
      <c r="O27">
        <v>1328.94</v>
      </c>
      <c r="P27">
        <v>787.95</v>
      </c>
      <c r="Q27" t="s">
        <v>2</v>
      </c>
      <c r="R27">
        <v>5</v>
      </c>
      <c r="S27">
        <v>1395.39</v>
      </c>
      <c r="T27">
        <v>242.68</v>
      </c>
    </row>
    <row r="28" spans="1:20">
      <c r="A28" t="s">
        <v>32</v>
      </c>
      <c r="B28" t="s">
        <v>31</v>
      </c>
      <c r="C28">
        <v>90</v>
      </c>
      <c r="D28">
        <v>0</v>
      </c>
      <c r="E28">
        <v>0</v>
      </c>
      <c r="F28">
        <v>0</v>
      </c>
      <c r="G28">
        <v>15</v>
      </c>
      <c r="H28">
        <v>3</v>
      </c>
      <c r="I28">
        <v>10</v>
      </c>
      <c r="J28">
        <v>2</v>
      </c>
      <c r="K28">
        <v>0</v>
      </c>
      <c r="L28">
        <v>60</v>
      </c>
      <c r="M28">
        <v>8331.2999999999993</v>
      </c>
      <c r="N28">
        <v>0</v>
      </c>
      <c r="O28">
        <v>1542.9</v>
      </c>
      <c r="P28">
        <v>5554.2</v>
      </c>
      <c r="Q28" t="s">
        <v>2</v>
      </c>
      <c r="R28">
        <v>5</v>
      </c>
      <c r="S28">
        <v>1620.05</v>
      </c>
      <c r="T28">
        <v>324.01</v>
      </c>
    </row>
    <row r="29" spans="1:20">
      <c r="A29" t="s">
        <v>33</v>
      </c>
      <c r="B29" t="s">
        <v>34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</v>
      </c>
      <c r="R29">
        <v>5</v>
      </c>
      <c r="S29">
        <v>0</v>
      </c>
      <c r="T29">
        <v>0</v>
      </c>
    </row>
    <row r="30" spans="1:20">
      <c r="A30" t="s">
        <v>35</v>
      </c>
      <c r="B30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</v>
      </c>
      <c r="R30">
        <v>5</v>
      </c>
      <c r="S30">
        <v>0</v>
      </c>
      <c r="T30">
        <v>0</v>
      </c>
    </row>
    <row r="31" spans="1:20">
      <c r="A31" t="s">
        <v>37</v>
      </c>
      <c r="B31" t="s">
        <v>38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</v>
      </c>
      <c r="R31">
        <v>5</v>
      </c>
      <c r="S31">
        <v>0</v>
      </c>
      <c r="T31">
        <v>0</v>
      </c>
    </row>
    <row r="32" spans="1:20">
      <c r="A32" t="s">
        <v>39</v>
      </c>
      <c r="B32" t="s">
        <v>34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</v>
      </c>
      <c r="R32">
        <v>5</v>
      </c>
      <c r="S32">
        <v>0</v>
      </c>
      <c r="T32">
        <v>0</v>
      </c>
    </row>
    <row r="33" spans="1:20">
      <c r="A33" t="s">
        <v>40</v>
      </c>
      <c r="B33" t="s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</v>
      </c>
      <c r="R33">
        <v>5</v>
      </c>
      <c r="S33">
        <v>0</v>
      </c>
      <c r="T33">
        <v>0</v>
      </c>
    </row>
    <row r="34" spans="1:20">
      <c r="A34" t="s">
        <v>41</v>
      </c>
      <c r="B34" t="s">
        <v>36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</v>
      </c>
      <c r="R34">
        <v>5</v>
      </c>
      <c r="S34">
        <v>0</v>
      </c>
      <c r="T34">
        <v>0</v>
      </c>
    </row>
    <row r="35" spans="1:20">
      <c r="A35" t="s">
        <v>42</v>
      </c>
      <c r="B35" t="s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</v>
      </c>
      <c r="R35">
        <v>5</v>
      </c>
      <c r="S35">
        <v>0</v>
      </c>
      <c r="T35">
        <v>0</v>
      </c>
    </row>
    <row r="36" spans="1:20">
      <c r="A36" t="s">
        <v>43</v>
      </c>
      <c r="B36" t="s">
        <v>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</v>
      </c>
      <c r="R36">
        <v>5</v>
      </c>
      <c r="S36">
        <v>0</v>
      </c>
      <c r="T36">
        <v>0</v>
      </c>
    </row>
    <row r="37" spans="1:20">
      <c r="A37" t="s">
        <v>45</v>
      </c>
      <c r="B37" t="s">
        <v>46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</v>
      </c>
      <c r="R37">
        <v>5</v>
      </c>
      <c r="S37">
        <v>0</v>
      </c>
      <c r="T37">
        <v>0</v>
      </c>
    </row>
    <row r="38" spans="1:20">
      <c r="A38" t="s">
        <v>47</v>
      </c>
      <c r="B38" t="s">
        <v>1</v>
      </c>
      <c r="C38">
        <v>2</v>
      </c>
      <c r="D38">
        <v>50</v>
      </c>
      <c r="E38">
        <v>15</v>
      </c>
      <c r="F38">
        <v>0</v>
      </c>
      <c r="G38">
        <v>0</v>
      </c>
      <c r="H38">
        <v>0</v>
      </c>
      <c r="I38">
        <v>20</v>
      </c>
      <c r="J38">
        <v>6</v>
      </c>
      <c r="K38">
        <v>0</v>
      </c>
      <c r="L38">
        <v>41</v>
      </c>
      <c r="M38">
        <v>122.06</v>
      </c>
      <c r="N38">
        <v>3051.5</v>
      </c>
      <c r="O38">
        <v>0</v>
      </c>
      <c r="P38">
        <v>2502.23</v>
      </c>
      <c r="Q38" t="s">
        <v>2</v>
      </c>
      <c r="R38">
        <v>5</v>
      </c>
      <c r="S38">
        <v>0</v>
      </c>
      <c r="T38">
        <v>0</v>
      </c>
    </row>
    <row r="39" spans="1:20">
      <c r="A39" t="s">
        <v>48</v>
      </c>
      <c r="B39" t="s">
        <v>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</v>
      </c>
      <c r="R39">
        <v>5</v>
      </c>
      <c r="S39">
        <v>0</v>
      </c>
      <c r="T39">
        <v>0</v>
      </c>
    </row>
    <row r="40" spans="1:20">
      <c r="A40" t="s">
        <v>50</v>
      </c>
      <c r="B40" t="s">
        <v>1</v>
      </c>
      <c r="C40">
        <v>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69</v>
      </c>
      <c r="M40">
        <v>2528.16</v>
      </c>
      <c r="N40">
        <v>0</v>
      </c>
      <c r="O40">
        <v>0</v>
      </c>
      <c r="P40">
        <v>2528.16</v>
      </c>
      <c r="Q40" t="s">
        <v>2</v>
      </c>
      <c r="R40">
        <v>5</v>
      </c>
      <c r="S40">
        <v>0</v>
      </c>
      <c r="T40">
        <v>0</v>
      </c>
    </row>
    <row r="41" spans="1:20">
      <c r="A41" t="s">
        <v>51</v>
      </c>
      <c r="B41" t="s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</v>
      </c>
      <c r="R41">
        <v>5</v>
      </c>
      <c r="S41">
        <v>0</v>
      </c>
      <c r="T41">
        <v>0</v>
      </c>
    </row>
    <row r="42" spans="1:20">
      <c r="A42" t="s">
        <v>52</v>
      </c>
      <c r="B42" t="s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</v>
      </c>
      <c r="R42">
        <v>5</v>
      </c>
      <c r="S42">
        <v>0</v>
      </c>
      <c r="T42">
        <v>0</v>
      </c>
    </row>
    <row r="43" spans="1:20">
      <c r="A43" t="s">
        <v>53</v>
      </c>
      <c r="B43" t="s">
        <v>49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</v>
      </c>
      <c r="R43">
        <v>5</v>
      </c>
      <c r="S43">
        <v>0</v>
      </c>
      <c r="T43">
        <v>0</v>
      </c>
    </row>
    <row r="44" spans="1:20">
      <c r="A44" t="s">
        <v>54</v>
      </c>
      <c r="B44" t="s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</v>
      </c>
      <c r="R44">
        <v>5</v>
      </c>
      <c r="S44">
        <v>0</v>
      </c>
      <c r="T44">
        <v>0</v>
      </c>
    </row>
    <row r="45" spans="1:20">
      <c r="A45" t="s">
        <v>55</v>
      </c>
      <c r="B45" t="s">
        <v>56</v>
      </c>
      <c r="C45">
        <v>0</v>
      </c>
      <c r="D45">
        <v>50</v>
      </c>
      <c r="E45">
        <v>20</v>
      </c>
      <c r="F45">
        <v>0</v>
      </c>
      <c r="G45">
        <v>38</v>
      </c>
      <c r="H45">
        <v>9</v>
      </c>
      <c r="I45">
        <v>10</v>
      </c>
      <c r="J45">
        <v>3</v>
      </c>
      <c r="K45">
        <v>0</v>
      </c>
      <c r="L45">
        <v>10</v>
      </c>
      <c r="M45">
        <v>0</v>
      </c>
      <c r="N45">
        <v>4015</v>
      </c>
      <c r="O45">
        <v>3390.36</v>
      </c>
      <c r="P45">
        <v>803</v>
      </c>
      <c r="Q45" t="s">
        <v>2</v>
      </c>
      <c r="R45">
        <v>5</v>
      </c>
      <c r="S45">
        <v>3559.88</v>
      </c>
      <c r="T45">
        <v>843.13</v>
      </c>
    </row>
    <row r="46" spans="1:20">
      <c r="A46" t="s">
        <v>57</v>
      </c>
      <c r="B46" t="s">
        <v>49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186.43</v>
      </c>
      <c r="N46">
        <v>0</v>
      </c>
      <c r="O46">
        <v>0</v>
      </c>
      <c r="P46">
        <v>186.43</v>
      </c>
      <c r="Q46" t="s">
        <v>2</v>
      </c>
      <c r="R46">
        <v>5</v>
      </c>
      <c r="S46">
        <v>0</v>
      </c>
      <c r="T46">
        <v>0</v>
      </c>
    </row>
    <row r="47" spans="1:20">
      <c r="A47" t="s">
        <v>58</v>
      </c>
      <c r="B47" t="s">
        <v>59</v>
      </c>
      <c r="C47">
        <v>9</v>
      </c>
      <c r="D47">
        <v>50</v>
      </c>
      <c r="E47">
        <v>20</v>
      </c>
      <c r="F47">
        <v>0</v>
      </c>
      <c r="G47">
        <v>7</v>
      </c>
      <c r="H47">
        <v>0</v>
      </c>
      <c r="I47">
        <v>30</v>
      </c>
      <c r="J47">
        <v>12</v>
      </c>
      <c r="K47">
        <v>0</v>
      </c>
      <c r="L47">
        <v>30</v>
      </c>
      <c r="M47">
        <v>1445.67</v>
      </c>
      <c r="N47">
        <v>8031.5</v>
      </c>
      <c r="O47">
        <v>1249.3599999999999</v>
      </c>
      <c r="P47">
        <v>4818.8999999999996</v>
      </c>
      <c r="Q47" t="s">
        <v>2</v>
      </c>
      <c r="R47">
        <v>5</v>
      </c>
      <c r="S47">
        <v>1311.83</v>
      </c>
      <c r="T47">
        <v>0</v>
      </c>
    </row>
    <row r="48" spans="1:20">
      <c r="A48" t="s">
        <v>60</v>
      </c>
      <c r="B48" t="s">
        <v>61</v>
      </c>
      <c r="C48">
        <v>99</v>
      </c>
      <c r="D48">
        <v>0</v>
      </c>
      <c r="E48">
        <v>0</v>
      </c>
      <c r="F48">
        <v>0</v>
      </c>
      <c r="G48">
        <v>9</v>
      </c>
      <c r="H48">
        <v>2</v>
      </c>
      <c r="I48">
        <v>45</v>
      </c>
      <c r="J48">
        <v>9</v>
      </c>
      <c r="K48">
        <v>0</v>
      </c>
      <c r="L48">
        <v>34</v>
      </c>
      <c r="M48">
        <v>9166.41</v>
      </c>
      <c r="N48">
        <v>0</v>
      </c>
      <c r="O48">
        <v>925.92</v>
      </c>
      <c r="P48">
        <v>3148.06</v>
      </c>
      <c r="Q48" t="s">
        <v>2</v>
      </c>
      <c r="R48">
        <v>18</v>
      </c>
      <c r="S48">
        <v>1092.5899999999999</v>
      </c>
      <c r="T48">
        <v>242.8</v>
      </c>
    </row>
    <row r="49" spans="1:20">
      <c r="A49" t="s">
        <v>62</v>
      </c>
      <c r="B49" t="s">
        <v>63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</v>
      </c>
      <c r="R49">
        <v>5</v>
      </c>
      <c r="S49">
        <v>0</v>
      </c>
      <c r="T49">
        <v>0</v>
      </c>
    </row>
    <row r="50" spans="1:20">
      <c r="A50" t="s">
        <v>64</v>
      </c>
      <c r="B50" t="s">
        <v>49</v>
      </c>
      <c r="C50">
        <v>59</v>
      </c>
      <c r="D50">
        <v>0</v>
      </c>
      <c r="E50">
        <v>0</v>
      </c>
      <c r="F50">
        <v>0</v>
      </c>
      <c r="G50">
        <v>15</v>
      </c>
      <c r="H50">
        <v>3</v>
      </c>
      <c r="I50">
        <v>5</v>
      </c>
      <c r="J50">
        <v>1</v>
      </c>
      <c r="K50">
        <v>0</v>
      </c>
      <c r="L50">
        <v>35</v>
      </c>
      <c r="M50">
        <v>5489.95</v>
      </c>
      <c r="N50">
        <v>0</v>
      </c>
      <c r="O50">
        <v>1550.85</v>
      </c>
      <c r="P50">
        <v>3256.75</v>
      </c>
      <c r="Q50" t="s">
        <v>2</v>
      </c>
      <c r="R50">
        <v>5</v>
      </c>
      <c r="S50">
        <v>1628.39</v>
      </c>
      <c r="T50">
        <v>325.68</v>
      </c>
    </row>
    <row r="51" spans="1:20">
      <c r="A51" t="s">
        <v>65</v>
      </c>
      <c r="B51" t="s">
        <v>1</v>
      </c>
      <c r="C51">
        <v>42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41</v>
      </c>
      <c r="M51">
        <v>3967.32</v>
      </c>
      <c r="N51">
        <v>0</v>
      </c>
      <c r="O51">
        <v>104.95</v>
      </c>
      <c r="P51">
        <v>3872.86</v>
      </c>
      <c r="Q51" t="s">
        <v>2</v>
      </c>
      <c r="R51">
        <v>5</v>
      </c>
      <c r="S51">
        <v>110.2</v>
      </c>
      <c r="T51">
        <v>0</v>
      </c>
    </row>
    <row r="52" spans="1:20">
      <c r="A52" t="s">
        <v>66</v>
      </c>
      <c r="B52" t="s">
        <v>1</v>
      </c>
      <c r="C52">
        <v>67</v>
      </c>
      <c r="D52">
        <v>100</v>
      </c>
      <c r="E52">
        <v>20</v>
      </c>
      <c r="F52">
        <v>0</v>
      </c>
      <c r="G52">
        <v>30</v>
      </c>
      <c r="H52">
        <v>6</v>
      </c>
      <c r="I52">
        <v>20</v>
      </c>
      <c r="J52">
        <v>4</v>
      </c>
      <c r="K52">
        <v>0</v>
      </c>
      <c r="L52">
        <v>127</v>
      </c>
      <c r="M52">
        <v>6822.61</v>
      </c>
      <c r="N52">
        <v>10183</v>
      </c>
      <c r="O52">
        <v>3394.2</v>
      </c>
      <c r="P52">
        <v>12932.41</v>
      </c>
      <c r="Q52" t="s">
        <v>2</v>
      </c>
      <c r="R52">
        <v>5</v>
      </c>
      <c r="S52">
        <v>3563.91</v>
      </c>
      <c r="T52">
        <v>712.78</v>
      </c>
    </row>
    <row r="53" spans="1:20">
      <c r="A53" t="s">
        <v>67</v>
      </c>
      <c r="B53" t="s">
        <v>49</v>
      </c>
      <c r="C53">
        <v>78</v>
      </c>
      <c r="D53">
        <v>0</v>
      </c>
      <c r="E53">
        <v>0</v>
      </c>
      <c r="F53">
        <v>0</v>
      </c>
      <c r="G53">
        <v>22</v>
      </c>
      <c r="H53">
        <v>3</v>
      </c>
      <c r="I53">
        <v>0</v>
      </c>
      <c r="J53">
        <v>0</v>
      </c>
      <c r="K53">
        <v>0</v>
      </c>
      <c r="L53">
        <v>53</v>
      </c>
      <c r="M53">
        <v>4172.22</v>
      </c>
      <c r="N53">
        <v>0</v>
      </c>
      <c r="O53">
        <v>1307.46</v>
      </c>
      <c r="P53">
        <v>2834.97</v>
      </c>
      <c r="Q53" t="s">
        <v>2</v>
      </c>
      <c r="R53">
        <v>5</v>
      </c>
      <c r="S53">
        <v>1372.83</v>
      </c>
      <c r="T53">
        <v>187.2</v>
      </c>
    </row>
    <row r="54" spans="1:20">
      <c r="A54" t="s">
        <v>68</v>
      </c>
      <c r="B54" t="s">
        <v>1</v>
      </c>
      <c r="C54">
        <v>41</v>
      </c>
      <c r="D54">
        <v>0</v>
      </c>
      <c r="E54">
        <v>0</v>
      </c>
      <c r="F54">
        <v>0</v>
      </c>
      <c r="G54">
        <v>9</v>
      </c>
      <c r="H54">
        <v>1</v>
      </c>
      <c r="I54">
        <v>0</v>
      </c>
      <c r="J54">
        <v>0</v>
      </c>
      <c r="K54">
        <v>0</v>
      </c>
      <c r="L54">
        <v>31</v>
      </c>
      <c r="M54">
        <v>1974.97</v>
      </c>
      <c r="N54">
        <v>0</v>
      </c>
      <c r="O54">
        <v>481.68</v>
      </c>
      <c r="P54">
        <v>1493.27</v>
      </c>
      <c r="Q54" t="s">
        <v>2</v>
      </c>
      <c r="R54">
        <v>5</v>
      </c>
      <c r="S54">
        <v>505.76</v>
      </c>
      <c r="T54">
        <v>56.2</v>
      </c>
    </row>
    <row r="55" spans="1:20">
      <c r="A55" t="s">
        <v>69</v>
      </c>
      <c r="B55" t="s">
        <v>1</v>
      </c>
      <c r="C55">
        <v>77</v>
      </c>
      <c r="D55">
        <v>0</v>
      </c>
      <c r="E55">
        <v>0</v>
      </c>
      <c r="F55">
        <v>0</v>
      </c>
      <c r="G55">
        <v>9</v>
      </c>
      <c r="H55">
        <v>0</v>
      </c>
      <c r="I55">
        <v>0</v>
      </c>
      <c r="J55">
        <v>0</v>
      </c>
      <c r="K55">
        <v>0</v>
      </c>
      <c r="L55">
        <v>68</v>
      </c>
      <c r="M55">
        <v>8162.77</v>
      </c>
      <c r="N55">
        <v>0</v>
      </c>
      <c r="O55">
        <v>1060.1099999999999</v>
      </c>
      <c r="P55">
        <v>7208.68</v>
      </c>
      <c r="Q55" t="s">
        <v>2</v>
      </c>
      <c r="R55">
        <v>5</v>
      </c>
      <c r="S55">
        <v>1113.1199999999999</v>
      </c>
      <c r="T55">
        <v>0</v>
      </c>
    </row>
    <row r="56" spans="1:20">
      <c r="A56" t="s">
        <v>70</v>
      </c>
      <c r="B56" t="s">
        <v>49</v>
      </c>
      <c r="C56">
        <v>136</v>
      </c>
      <c r="D56">
        <v>0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132</v>
      </c>
      <c r="M56">
        <v>15868.48</v>
      </c>
      <c r="N56">
        <v>0</v>
      </c>
      <c r="O56">
        <v>518.4</v>
      </c>
      <c r="P56">
        <v>15401.76</v>
      </c>
      <c r="Q56" t="s">
        <v>2</v>
      </c>
      <c r="R56">
        <v>5</v>
      </c>
      <c r="S56">
        <v>544.32000000000005</v>
      </c>
      <c r="T56">
        <v>0</v>
      </c>
    </row>
    <row r="57" spans="1:20">
      <c r="A57" t="s">
        <v>71</v>
      </c>
      <c r="B57" t="s">
        <v>1</v>
      </c>
      <c r="C57">
        <v>55</v>
      </c>
      <c r="D57">
        <v>0</v>
      </c>
      <c r="E57">
        <v>0</v>
      </c>
      <c r="F57">
        <v>0</v>
      </c>
      <c r="G57">
        <v>32</v>
      </c>
      <c r="H57">
        <v>5</v>
      </c>
      <c r="I57">
        <v>10</v>
      </c>
      <c r="J57">
        <v>2</v>
      </c>
      <c r="K57">
        <v>0</v>
      </c>
      <c r="L57">
        <v>6</v>
      </c>
      <c r="M57">
        <v>12657.15</v>
      </c>
      <c r="N57">
        <v>0</v>
      </c>
      <c r="O57">
        <v>8182.4</v>
      </c>
      <c r="P57">
        <v>1380.78</v>
      </c>
      <c r="Q57" t="s">
        <v>2</v>
      </c>
      <c r="R57">
        <v>5</v>
      </c>
      <c r="S57">
        <v>8591.52</v>
      </c>
      <c r="T57">
        <v>1342.43</v>
      </c>
    </row>
    <row r="58" spans="1:20">
      <c r="A58" t="s">
        <v>72</v>
      </c>
      <c r="B58" t="s">
        <v>49</v>
      </c>
      <c r="C58">
        <v>117</v>
      </c>
      <c r="D58">
        <v>0</v>
      </c>
      <c r="E58">
        <v>0</v>
      </c>
      <c r="F58">
        <v>0</v>
      </c>
      <c r="G58">
        <v>6</v>
      </c>
      <c r="H58">
        <v>0</v>
      </c>
      <c r="I58">
        <v>0</v>
      </c>
      <c r="J58">
        <v>0</v>
      </c>
      <c r="K58">
        <v>0</v>
      </c>
      <c r="L58">
        <v>111</v>
      </c>
      <c r="M58">
        <v>9395.1</v>
      </c>
      <c r="N58">
        <v>0</v>
      </c>
      <c r="O58">
        <v>535.32000000000005</v>
      </c>
      <c r="P58">
        <v>8913.2999999999993</v>
      </c>
      <c r="Q58" t="s">
        <v>2</v>
      </c>
      <c r="R58">
        <v>5</v>
      </c>
      <c r="S58">
        <v>562.09</v>
      </c>
      <c r="T58">
        <v>0</v>
      </c>
    </row>
    <row r="59" spans="1:20">
      <c r="A59" t="s">
        <v>73</v>
      </c>
      <c r="B59" t="s">
        <v>74</v>
      </c>
      <c r="C59">
        <v>29</v>
      </c>
      <c r="D59">
        <v>30</v>
      </c>
      <c r="E59">
        <v>3</v>
      </c>
      <c r="F59">
        <v>0</v>
      </c>
      <c r="G59">
        <v>15</v>
      </c>
      <c r="H59">
        <v>1</v>
      </c>
      <c r="I59">
        <v>0</v>
      </c>
      <c r="J59">
        <v>0</v>
      </c>
      <c r="K59">
        <v>0</v>
      </c>
      <c r="L59">
        <v>46</v>
      </c>
      <c r="M59">
        <v>1513.22</v>
      </c>
      <c r="N59">
        <v>1565.4</v>
      </c>
      <c r="O59">
        <v>869.7</v>
      </c>
      <c r="P59">
        <v>2400.2800000000002</v>
      </c>
      <c r="Q59" t="s">
        <v>2</v>
      </c>
      <c r="R59">
        <v>5</v>
      </c>
      <c r="S59">
        <v>913.19</v>
      </c>
      <c r="T59">
        <v>60.88</v>
      </c>
    </row>
    <row r="60" spans="1:20">
      <c r="A60" t="s">
        <v>75</v>
      </c>
      <c r="B60" t="s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</v>
      </c>
      <c r="R60">
        <v>5</v>
      </c>
      <c r="S60">
        <v>0</v>
      </c>
      <c r="T60">
        <v>0</v>
      </c>
    </row>
    <row r="61" spans="1:20">
      <c r="A61" t="s">
        <v>76</v>
      </c>
      <c r="B61" t="s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</v>
      </c>
      <c r="R61">
        <v>5</v>
      </c>
      <c r="S61">
        <v>0</v>
      </c>
      <c r="T61">
        <v>0</v>
      </c>
    </row>
    <row r="62" spans="1:20">
      <c r="A62" t="s">
        <v>77</v>
      </c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</v>
      </c>
      <c r="R62">
        <v>5</v>
      </c>
      <c r="S62">
        <v>0</v>
      </c>
      <c r="T62">
        <v>0</v>
      </c>
    </row>
    <row r="63" spans="1:20">
      <c r="A63" t="s">
        <v>78</v>
      </c>
      <c r="B63" t="s">
        <v>79</v>
      </c>
      <c r="C63">
        <v>33</v>
      </c>
      <c r="D63">
        <v>100</v>
      </c>
      <c r="E63">
        <v>50</v>
      </c>
      <c r="F63">
        <v>0</v>
      </c>
      <c r="G63">
        <v>7</v>
      </c>
      <c r="H63">
        <v>3</v>
      </c>
      <c r="I63">
        <v>20</v>
      </c>
      <c r="J63">
        <v>10</v>
      </c>
      <c r="K63">
        <v>0</v>
      </c>
      <c r="L63">
        <v>143</v>
      </c>
      <c r="M63">
        <v>2354.88</v>
      </c>
      <c r="N63">
        <v>7131</v>
      </c>
      <c r="O63">
        <v>555.03</v>
      </c>
      <c r="P63">
        <v>10204.48</v>
      </c>
      <c r="Q63" t="s">
        <v>2</v>
      </c>
      <c r="R63">
        <v>5</v>
      </c>
      <c r="S63">
        <v>582.41</v>
      </c>
      <c r="T63">
        <v>249.61</v>
      </c>
    </row>
    <row r="64" spans="1:20">
      <c r="A64" t="s">
        <v>80</v>
      </c>
      <c r="B64" t="s">
        <v>7</v>
      </c>
      <c r="C64">
        <v>84</v>
      </c>
      <c r="D64">
        <v>300</v>
      </c>
      <c r="E64">
        <v>150</v>
      </c>
      <c r="F64">
        <v>0</v>
      </c>
      <c r="G64">
        <v>108</v>
      </c>
      <c r="H64">
        <v>54</v>
      </c>
      <c r="I64">
        <v>120</v>
      </c>
      <c r="J64">
        <v>60</v>
      </c>
      <c r="K64">
        <v>0</v>
      </c>
      <c r="L64">
        <v>192</v>
      </c>
      <c r="M64">
        <v>5394.48</v>
      </c>
      <c r="N64">
        <v>19254</v>
      </c>
      <c r="O64">
        <v>7701.48</v>
      </c>
      <c r="P64">
        <v>12330.24</v>
      </c>
      <c r="Q64" t="s">
        <v>2</v>
      </c>
      <c r="R64">
        <v>5</v>
      </c>
      <c r="S64">
        <v>8086.55</v>
      </c>
      <c r="T64">
        <v>4043.28</v>
      </c>
    </row>
    <row r="65" spans="1:20">
      <c r="A65" t="s">
        <v>81</v>
      </c>
      <c r="B65" t="s">
        <v>82</v>
      </c>
      <c r="C65">
        <v>38</v>
      </c>
      <c r="D65">
        <v>1400</v>
      </c>
      <c r="E65">
        <v>3500</v>
      </c>
      <c r="F65">
        <v>0</v>
      </c>
      <c r="G65">
        <v>849</v>
      </c>
      <c r="H65">
        <v>2086</v>
      </c>
      <c r="I65">
        <v>0</v>
      </c>
      <c r="J65">
        <v>0</v>
      </c>
      <c r="K65">
        <v>0</v>
      </c>
      <c r="L65">
        <v>2003</v>
      </c>
      <c r="M65">
        <v>1399.92</v>
      </c>
      <c r="N65">
        <v>51548</v>
      </c>
      <c r="O65">
        <v>34732.589999999997</v>
      </c>
      <c r="P65">
        <v>73790.52</v>
      </c>
      <c r="Q65" t="s">
        <v>2</v>
      </c>
      <c r="R65">
        <v>5</v>
      </c>
      <c r="S65">
        <v>36469.22</v>
      </c>
      <c r="T65">
        <v>89605.17</v>
      </c>
    </row>
    <row r="66" spans="1:20">
      <c r="A66" t="s">
        <v>83</v>
      </c>
      <c r="B66" t="s">
        <v>7</v>
      </c>
      <c r="C66">
        <v>73</v>
      </c>
      <c r="D66">
        <v>100</v>
      </c>
      <c r="E66">
        <v>40</v>
      </c>
      <c r="F66">
        <v>0</v>
      </c>
      <c r="G66">
        <v>73</v>
      </c>
      <c r="H66">
        <v>18</v>
      </c>
      <c r="I66">
        <v>40</v>
      </c>
      <c r="J66">
        <v>12</v>
      </c>
      <c r="K66">
        <v>0</v>
      </c>
      <c r="L66">
        <v>70</v>
      </c>
      <c r="M66">
        <v>7414.61</v>
      </c>
      <c r="N66">
        <v>10149</v>
      </c>
      <c r="O66">
        <v>8231.48</v>
      </c>
      <c r="P66">
        <v>7109.9</v>
      </c>
      <c r="Q66" t="s">
        <v>2</v>
      </c>
      <c r="R66">
        <v>5</v>
      </c>
      <c r="S66">
        <v>8643.0499999999993</v>
      </c>
      <c r="T66">
        <v>2131.16</v>
      </c>
    </row>
    <row r="67" spans="1:20">
      <c r="A67" t="s">
        <v>84</v>
      </c>
      <c r="B67" t="s">
        <v>1</v>
      </c>
      <c r="C67">
        <v>53</v>
      </c>
      <c r="D67">
        <v>0</v>
      </c>
      <c r="E67">
        <v>0</v>
      </c>
      <c r="F67">
        <v>0</v>
      </c>
      <c r="G67">
        <v>10</v>
      </c>
      <c r="H67">
        <v>0</v>
      </c>
      <c r="I67">
        <v>0</v>
      </c>
      <c r="J67">
        <v>0</v>
      </c>
      <c r="K67">
        <v>0</v>
      </c>
      <c r="L67">
        <v>43</v>
      </c>
      <c r="M67">
        <v>2351.08</v>
      </c>
      <c r="N67">
        <v>0</v>
      </c>
      <c r="O67">
        <v>492.2</v>
      </c>
      <c r="P67">
        <v>1907.48</v>
      </c>
      <c r="Q67" t="s">
        <v>2</v>
      </c>
      <c r="R67">
        <v>5</v>
      </c>
      <c r="S67">
        <v>516.80999999999995</v>
      </c>
      <c r="T67">
        <v>0</v>
      </c>
    </row>
    <row r="68" spans="1:20">
      <c r="A68" t="s">
        <v>85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</v>
      </c>
      <c r="R68">
        <v>5</v>
      </c>
      <c r="S68">
        <v>0</v>
      </c>
      <c r="T68">
        <v>0</v>
      </c>
    </row>
    <row r="69" spans="1:20">
      <c r="A69" t="s">
        <v>86</v>
      </c>
      <c r="B69" t="s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</v>
      </c>
      <c r="R69">
        <v>5</v>
      </c>
      <c r="S69">
        <v>0</v>
      </c>
      <c r="T69">
        <v>0</v>
      </c>
    </row>
    <row r="70" spans="1:20">
      <c r="A70" t="s">
        <v>87</v>
      </c>
      <c r="B70" t="s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</v>
      </c>
      <c r="R70">
        <v>5</v>
      </c>
      <c r="S70">
        <v>0</v>
      </c>
      <c r="T70">
        <v>0</v>
      </c>
    </row>
    <row r="71" spans="1:20">
      <c r="A71" t="s">
        <v>88</v>
      </c>
      <c r="B71" t="s">
        <v>89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</v>
      </c>
      <c r="R71">
        <v>5</v>
      </c>
      <c r="S71">
        <v>0</v>
      </c>
      <c r="T71">
        <v>0</v>
      </c>
    </row>
    <row r="72" spans="1:20">
      <c r="A72" t="s">
        <v>90</v>
      </c>
      <c r="B72" t="s">
        <v>63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</v>
      </c>
      <c r="R72">
        <v>5</v>
      </c>
      <c r="S72">
        <v>0</v>
      </c>
      <c r="T72">
        <v>0</v>
      </c>
    </row>
    <row r="73" spans="1:20">
      <c r="A73" t="s">
        <v>91</v>
      </c>
      <c r="B73" t="s">
        <v>1</v>
      </c>
      <c r="C73">
        <v>8</v>
      </c>
      <c r="D73">
        <v>0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5</v>
      </c>
      <c r="M73">
        <v>414.88</v>
      </c>
      <c r="N73">
        <v>0</v>
      </c>
      <c r="O73">
        <v>172.89</v>
      </c>
      <c r="P73">
        <v>259.3</v>
      </c>
      <c r="Q73" t="s">
        <v>2</v>
      </c>
      <c r="R73">
        <v>5</v>
      </c>
      <c r="S73">
        <v>181.53</v>
      </c>
      <c r="T73">
        <v>0</v>
      </c>
    </row>
    <row r="74" spans="1:20">
      <c r="A74" t="s">
        <v>92</v>
      </c>
      <c r="B74" t="s">
        <v>93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</v>
      </c>
      <c r="R74">
        <v>0</v>
      </c>
      <c r="S74">
        <v>0</v>
      </c>
      <c r="T74">
        <v>0</v>
      </c>
    </row>
    <row r="75" spans="1:20">
      <c r="A75" t="s">
        <v>94</v>
      </c>
      <c r="B75" t="s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</v>
      </c>
      <c r="R75">
        <v>5</v>
      </c>
      <c r="S75">
        <v>0</v>
      </c>
      <c r="T75">
        <v>0</v>
      </c>
    </row>
    <row r="76" spans="1:20">
      <c r="A76" t="s">
        <v>95</v>
      </c>
      <c r="B76" t="s">
        <v>1</v>
      </c>
      <c r="C76">
        <v>114</v>
      </c>
      <c r="D76">
        <v>0</v>
      </c>
      <c r="E76">
        <v>0</v>
      </c>
      <c r="F76">
        <v>0</v>
      </c>
      <c r="G76">
        <v>8</v>
      </c>
      <c r="H76">
        <v>0</v>
      </c>
      <c r="I76">
        <v>70</v>
      </c>
      <c r="J76">
        <v>7</v>
      </c>
      <c r="K76">
        <v>0</v>
      </c>
      <c r="L76">
        <v>29</v>
      </c>
      <c r="M76">
        <v>7602.66</v>
      </c>
      <c r="N76">
        <v>0</v>
      </c>
      <c r="O76">
        <v>592.79999999999995</v>
      </c>
      <c r="P76">
        <v>1934.01</v>
      </c>
      <c r="Q76" t="s">
        <v>2</v>
      </c>
      <c r="R76">
        <v>5</v>
      </c>
      <c r="S76">
        <v>622.44000000000005</v>
      </c>
      <c r="T76">
        <v>0</v>
      </c>
    </row>
    <row r="77" spans="1:20">
      <c r="A77" t="s">
        <v>96</v>
      </c>
      <c r="B77" t="s">
        <v>97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98</v>
      </c>
      <c r="R77">
        <v>5</v>
      </c>
      <c r="S77">
        <v>0</v>
      </c>
      <c r="T77">
        <v>0</v>
      </c>
    </row>
    <row r="78" spans="1:20">
      <c r="A78" t="s">
        <v>99</v>
      </c>
      <c r="B78" t="s">
        <v>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99</v>
      </c>
      <c r="R78">
        <v>0</v>
      </c>
      <c r="S78">
        <v>0</v>
      </c>
      <c r="T78">
        <v>0</v>
      </c>
    </row>
    <row r="79" spans="1:20">
      <c r="A79" t="s">
        <v>99</v>
      </c>
      <c r="B79" t="s">
        <v>99</v>
      </c>
      <c r="C79">
        <v>2619</v>
      </c>
      <c r="D79">
        <v>2610</v>
      </c>
      <c r="E79">
        <v>0</v>
      </c>
      <c r="F79">
        <v>0</v>
      </c>
      <c r="G79">
        <v>1614</v>
      </c>
      <c r="H79">
        <v>0</v>
      </c>
      <c r="I79">
        <v>55160</v>
      </c>
      <c r="J79">
        <v>0</v>
      </c>
      <c r="K79">
        <v>0</v>
      </c>
      <c r="L79">
        <v>3876</v>
      </c>
      <c r="M79">
        <v>148367.46</v>
      </c>
      <c r="N79">
        <v>126863</v>
      </c>
      <c r="O79">
        <v>85904.66</v>
      </c>
      <c r="P79">
        <v>205364.49</v>
      </c>
      <c r="Q79" t="s">
        <v>99</v>
      </c>
      <c r="R79">
        <v>0</v>
      </c>
      <c r="S79">
        <v>0</v>
      </c>
      <c r="T79">
        <v>0</v>
      </c>
    </row>
    <row r="80" spans="1:20">
      <c r="A80" t="s">
        <v>100</v>
      </c>
      <c r="B80" t="s">
        <v>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99</v>
      </c>
      <c r="R80">
        <v>0</v>
      </c>
      <c r="S80">
        <v>0</v>
      </c>
      <c r="T80">
        <v>0</v>
      </c>
    </row>
    <row r="81" spans="1:20">
      <c r="A81" t="s">
        <v>99</v>
      </c>
      <c r="B81" t="s">
        <v>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99</v>
      </c>
      <c r="R81">
        <v>0</v>
      </c>
      <c r="S81">
        <v>0</v>
      </c>
      <c r="T81">
        <v>0</v>
      </c>
    </row>
    <row r="82" spans="1:20">
      <c r="A82" t="s">
        <v>101</v>
      </c>
      <c r="B82" t="s">
        <v>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99</v>
      </c>
      <c r="R82">
        <v>0</v>
      </c>
      <c r="S82">
        <v>0</v>
      </c>
      <c r="T82">
        <v>0</v>
      </c>
    </row>
    <row r="83" spans="1:20">
      <c r="A83" t="s">
        <v>102</v>
      </c>
      <c r="B83" t="s">
        <v>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99</v>
      </c>
      <c r="R83">
        <v>0</v>
      </c>
      <c r="S83">
        <v>0</v>
      </c>
      <c r="T83">
        <v>0</v>
      </c>
    </row>
    <row r="84" spans="1:20">
      <c r="A84" t="s">
        <v>103</v>
      </c>
      <c r="B84" t="s">
        <v>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99</v>
      </c>
      <c r="R84">
        <v>0</v>
      </c>
      <c r="S84">
        <v>0</v>
      </c>
      <c r="T84">
        <v>0</v>
      </c>
    </row>
    <row r="85" spans="1:20">
      <c r="A85" t="s">
        <v>104</v>
      </c>
      <c r="B85" t="s">
        <v>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99</v>
      </c>
      <c r="R85">
        <v>0</v>
      </c>
      <c r="S85">
        <v>0</v>
      </c>
      <c r="T85">
        <v>0</v>
      </c>
    </row>
    <row r="86" spans="1:20">
      <c r="A86" t="s">
        <v>105</v>
      </c>
      <c r="B86" t="s">
        <v>99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99</v>
      </c>
      <c r="R86">
        <v>0</v>
      </c>
      <c r="S86">
        <v>0</v>
      </c>
      <c r="T86">
        <v>0</v>
      </c>
    </row>
    <row r="87" spans="1:20">
      <c r="A87" t="s">
        <v>106</v>
      </c>
      <c r="B87" t="s">
        <v>99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99</v>
      </c>
      <c r="R87">
        <v>0</v>
      </c>
      <c r="S87">
        <v>0</v>
      </c>
      <c r="T87">
        <v>0</v>
      </c>
    </row>
    <row r="88" spans="1:20">
      <c r="A88" t="s">
        <v>107</v>
      </c>
      <c r="B88" t="s">
        <v>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99</v>
      </c>
      <c r="R88">
        <v>0</v>
      </c>
      <c r="S88">
        <v>0</v>
      </c>
      <c r="T88">
        <v>0</v>
      </c>
    </row>
    <row r="89" spans="1:20">
      <c r="A89" t="s">
        <v>108</v>
      </c>
      <c r="B89" t="s">
        <v>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99</v>
      </c>
      <c r="R89">
        <v>0</v>
      </c>
      <c r="S89">
        <v>0</v>
      </c>
      <c r="T89">
        <v>0</v>
      </c>
    </row>
    <row r="90" spans="1:20">
      <c r="A90" t="s">
        <v>99</v>
      </c>
      <c r="B90" t="s">
        <v>99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99</v>
      </c>
      <c r="R90">
        <v>0</v>
      </c>
      <c r="S90">
        <v>0</v>
      </c>
      <c r="T90">
        <v>0</v>
      </c>
    </row>
    <row r="93" spans="1:20">
      <c r="A93" s="4" t="s">
        <v>115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20">
      <c r="A95" s="1" t="s">
        <v>116</v>
      </c>
      <c r="B95" s="1" t="s">
        <v>117</v>
      </c>
      <c r="C95" s="1" t="s">
        <v>118</v>
      </c>
      <c r="D95" s="1" t="s">
        <v>119</v>
      </c>
      <c r="E95" s="1" t="s">
        <v>120</v>
      </c>
      <c r="F95" s="1" t="s">
        <v>121</v>
      </c>
      <c r="G95" s="1" t="s">
        <v>122</v>
      </c>
      <c r="H95" s="1" t="s">
        <v>123</v>
      </c>
      <c r="I95" s="1" t="s">
        <v>124</v>
      </c>
      <c r="J95" s="1" t="s">
        <v>125</v>
      </c>
      <c r="K95" s="1" t="s">
        <v>126</v>
      </c>
      <c r="L95" s="1" t="s">
        <v>127</v>
      </c>
      <c r="M95" s="1" t="s">
        <v>128</v>
      </c>
    </row>
    <row r="96" spans="1:20">
      <c r="A96">
        <v>1</v>
      </c>
      <c r="B96" t="s">
        <v>129</v>
      </c>
      <c r="C96" t="s">
        <v>130</v>
      </c>
      <c r="D96" t="s">
        <v>131</v>
      </c>
      <c r="E96" t="s">
        <v>132</v>
      </c>
      <c r="F96" t="s">
        <v>133</v>
      </c>
      <c r="G96" t="s">
        <v>134</v>
      </c>
      <c r="H96">
        <v>2912</v>
      </c>
      <c r="I96">
        <v>2912</v>
      </c>
      <c r="J96">
        <v>0</v>
      </c>
      <c r="K96">
        <v>2049</v>
      </c>
      <c r="L96">
        <v>3923.3</v>
      </c>
      <c r="M96" t="s">
        <v>135</v>
      </c>
    </row>
    <row r="97" spans="1:12">
      <c r="A97">
        <v>2</v>
      </c>
      <c r="B97" t="s">
        <v>136</v>
      </c>
      <c r="C97" t="s">
        <v>130</v>
      </c>
      <c r="D97" s="2">
        <v>45327</v>
      </c>
      <c r="E97" t="s">
        <v>137</v>
      </c>
      <c r="F97" t="s">
        <v>138</v>
      </c>
      <c r="G97" t="s">
        <v>139</v>
      </c>
      <c r="H97">
        <v>4332</v>
      </c>
      <c r="I97">
        <v>93</v>
      </c>
      <c r="J97">
        <v>4239</v>
      </c>
      <c r="K97">
        <v>756</v>
      </c>
      <c r="L97">
        <v>46.23</v>
      </c>
    </row>
    <row r="98" spans="1:12">
      <c r="A98">
        <v>3</v>
      </c>
      <c r="B98" t="s">
        <v>140</v>
      </c>
      <c r="C98" t="s">
        <v>130</v>
      </c>
      <c r="D98" t="s">
        <v>141</v>
      </c>
      <c r="E98" t="s">
        <v>142</v>
      </c>
      <c r="F98" t="s">
        <v>143</v>
      </c>
      <c r="G98" t="s">
        <v>144</v>
      </c>
      <c r="H98">
        <v>7992</v>
      </c>
      <c r="I98">
        <v>7992</v>
      </c>
      <c r="J98">
        <v>0</v>
      </c>
      <c r="K98">
        <v>490</v>
      </c>
      <c r="L98">
        <v>2574.96</v>
      </c>
    </row>
    <row r="99" spans="1:12">
      <c r="A99">
        <v>4</v>
      </c>
      <c r="B99" t="s">
        <v>145</v>
      </c>
      <c r="C99" t="s">
        <v>130</v>
      </c>
      <c r="D99" t="s">
        <v>146</v>
      </c>
      <c r="E99" t="s">
        <v>147</v>
      </c>
      <c r="F99" t="s">
        <v>148</v>
      </c>
      <c r="G99" t="s">
        <v>134</v>
      </c>
      <c r="H99">
        <v>1800</v>
      </c>
      <c r="I99">
        <v>1800</v>
      </c>
      <c r="J99">
        <v>0</v>
      </c>
      <c r="K99">
        <v>409</v>
      </c>
      <c r="L99">
        <v>484.08</v>
      </c>
    </row>
    <row r="109" spans="1:12">
      <c r="A109" s="4" t="s">
        <v>149</v>
      </c>
      <c r="B109" s="4"/>
      <c r="C109" s="4"/>
      <c r="D109" s="4"/>
      <c r="E109" s="4"/>
      <c r="F109" s="4"/>
      <c r="G109" s="4"/>
      <c r="H109" s="4"/>
      <c r="I109" s="4"/>
    </row>
    <row r="110" spans="1:12">
      <c r="A110" s="4"/>
      <c r="B110" s="4"/>
      <c r="C110" s="4"/>
      <c r="D110" s="4"/>
      <c r="E110" s="4"/>
      <c r="F110" s="4"/>
      <c r="G110" s="4"/>
      <c r="H110" s="4"/>
      <c r="I110" s="4"/>
    </row>
    <row r="111" spans="1:12">
      <c r="A111" s="1" t="s">
        <v>116</v>
      </c>
      <c r="B111" s="1" t="s">
        <v>150</v>
      </c>
      <c r="C111" s="1" t="s">
        <v>151</v>
      </c>
      <c r="D111" s="1" t="s">
        <v>152</v>
      </c>
      <c r="E111" s="1" t="s">
        <v>153</v>
      </c>
      <c r="F111" s="1" t="s">
        <v>154</v>
      </c>
      <c r="G111" s="1" t="s">
        <v>155</v>
      </c>
      <c r="H111" s="1" t="s">
        <v>156</v>
      </c>
      <c r="I111" s="1" t="s">
        <v>157</v>
      </c>
    </row>
    <row r="112" spans="1:12">
      <c r="A112">
        <v>1</v>
      </c>
      <c r="B112" t="s">
        <v>158</v>
      </c>
      <c r="C112" t="s">
        <v>1</v>
      </c>
      <c r="D112" t="s">
        <v>159</v>
      </c>
      <c r="E112" t="s">
        <v>160</v>
      </c>
      <c r="F112" s="2">
        <v>46203</v>
      </c>
      <c r="G112">
        <v>230.13</v>
      </c>
      <c r="H112">
        <v>1</v>
      </c>
      <c r="I112">
        <v>230.13</v>
      </c>
    </row>
    <row r="113" spans="1:9">
      <c r="A113">
        <v>2</v>
      </c>
      <c r="B113" t="s">
        <v>161</v>
      </c>
      <c r="C113" t="s">
        <v>1</v>
      </c>
      <c r="D113" t="s">
        <v>159</v>
      </c>
      <c r="E113" t="s">
        <v>162</v>
      </c>
      <c r="F113" s="2">
        <v>46173</v>
      </c>
      <c r="G113">
        <v>44.36</v>
      </c>
      <c r="H113">
        <v>3</v>
      </c>
      <c r="I113">
        <v>133.07999999999998</v>
      </c>
    </row>
    <row r="114" spans="1:9">
      <c r="A114">
        <v>3</v>
      </c>
      <c r="B114" t="s">
        <v>163</v>
      </c>
      <c r="C114" t="s">
        <v>7</v>
      </c>
      <c r="D114" t="s">
        <v>159</v>
      </c>
      <c r="E114" t="s">
        <v>164</v>
      </c>
      <c r="F114" s="2">
        <v>46234</v>
      </c>
      <c r="G114">
        <v>101.57</v>
      </c>
      <c r="H114">
        <v>2</v>
      </c>
      <c r="I114">
        <v>203.14</v>
      </c>
    </row>
    <row r="117" spans="1:9">
      <c r="G117" t="s">
        <v>165</v>
      </c>
      <c r="I117">
        <v>566.35</v>
      </c>
    </row>
  </sheetData>
  <mergeCells count="10">
    <mergeCell ref="A109:I109"/>
    <mergeCell ref="A110:I110"/>
    <mergeCell ref="A6:T6"/>
    <mergeCell ref="A93:M93"/>
    <mergeCell ref="A94:M94"/>
    <mergeCell ref="A1:T1"/>
    <mergeCell ref="A2:T2"/>
    <mergeCell ref="A3:T3"/>
    <mergeCell ref="A4:T4"/>
    <mergeCell ref="A5:T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XLS476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Sunderlal Enterprise</cp:lastModifiedBy>
  <dcterms:created xsi:type="dcterms:W3CDTF">2026-05-30T04:35:45Z</dcterms:created>
  <dcterms:modified xsi:type="dcterms:W3CDTF">2026-05-30T04:35:47Z</dcterms:modified>
</cp:coreProperties>
</file>