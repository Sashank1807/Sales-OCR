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cf04eee816b148/Documents/"/>
    </mc:Choice>
  </mc:AlternateContent>
  <xr:revisionPtr revIDLastSave="2" documentId="8_{34CE2D5C-8BE7-40ED-A0A3-F6471EE4C79A}" xr6:coauthVersionLast="47" xr6:coauthVersionMax="47" xr10:uidLastSave="{C4A35C0B-26E6-48FC-9402-D7C0A680479E}"/>
  <bookViews>
    <workbookView xWindow="-108" yWindow="-108" windowWidth="23256" windowHeight="12456" xr2:uid="{BE926CB0-2F57-490F-A60C-9054E667ED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3" i="1" l="1"/>
  <c r="H41" i="1"/>
  <c r="F41" i="1"/>
  <c r="D43" i="1"/>
  <c r="D41" i="1"/>
</calcChain>
</file>

<file path=xl/sharedStrings.xml><?xml version="1.0" encoding="utf-8"?>
<sst xmlns="http://schemas.openxmlformats.org/spreadsheetml/2006/main" count="93" uniqueCount="56">
  <si>
    <t>NAME</t>
  </si>
  <si>
    <t>PACKING</t>
  </si>
  <si>
    <t>OP QTY</t>
  </si>
  <si>
    <t>OP AMT</t>
  </si>
  <si>
    <t>SALE QTY</t>
  </si>
  <si>
    <t>SALE AMT</t>
  </si>
  <si>
    <t>CL QTY</t>
  </si>
  <si>
    <t>CL AMT</t>
  </si>
  <si>
    <t/>
  </si>
  <si>
    <t>HETERO GENX DIV.</t>
  </si>
  <si>
    <t>AD-100MG CAP</t>
  </si>
  <si>
    <t>AD-10MG SACHET</t>
  </si>
  <si>
    <t>BILASET 20MG TABS</t>
  </si>
  <si>
    <t>BILASET-M TABS</t>
  </si>
  <si>
    <t>BIXIVA 5MG TAB</t>
  </si>
  <si>
    <t>GENXVAST-10MG TABS</t>
  </si>
  <si>
    <t>GENXVAST-20MG TABS</t>
  </si>
  <si>
    <t>GOCAN-150MG TAB</t>
  </si>
  <si>
    <t>HEADRIX TAB</t>
  </si>
  <si>
    <t>ITBOR- 200MG CAPS</t>
  </si>
  <si>
    <t>ITBOR-100MG CAPS</t>
  </si>
  <si>
    <t>LASMIG 100MG TAB</t>
  </si>
  <si>
    <t>LASMIG 50MG TAB</t>
  </si>
  <si>
    <t>LAZ-250MG TAB</t>
  </si>
  <si>
    <t>LAZ-500MG TAB</t>
  </si>
  <si>
    <t>LAZINE-M TABS</t>
  </si>
  <si>
    <t>LAZINE-TABS</t>
  </si>
  <si>
    <t>LULIBOR-15GM CREAM</t>
  </si>
  <si>
    <t>LULIBOR-30GM CREAM</t>
  </si>
  <si>
    <t>LULIBOR-30ML ADVANCED</t>
  </si>
  <si>
    <t>MOISTE-50GM CREAM</t>
  </si>
  <si>
    <t>NAFBOR CREAM 10GM</t>
  </si>
  <si>
    <t>OPOX-100MG SYP</t>
  </si>
  <si>
    <t>OPOX-100MG TABS</t>
  </si>
  <si>
    <t>OPOX-200MG TABS</t>
  </si>
  <si>
    <t>OPOX-50MG D.S.SYP</t>
  </si>
  <si>
    <t>OPOX-50MG TABS</t>
  </si>
  <si>
    <t>OPOX-CV-100MG SYP</t>
  </si>
  <si>
    <t>OPOX-CV-200MG TAB</t>
  </si>
  <si>
    <t>OPOX-CV-50MG SYP</t>
  </si>
  <si>
    <t>OPOX-DROPS</t>
  </si>
  <si>
    <t>PANTIN-40MG IV</t>
  </si>
  <si>
    <t>PANTIN-40MG TABS</t>
  </si>
  <si>
    <t>PANTIN-D CAPS</t>
  </si>
  <si>
    <t>PANTIN-L CAPS</t>
  </si>
  <si>
    <t>VERTIGEN-TABS</t>
  </si>
  <si>
    <t>TOTAL:64</t>
  </si>
  <si>
    <t>GTotal:64</t>
  </si>
  <si>
    <t>1X10</t>
  </si>
  <si>
    <t>1X1</t>
  </si>
  <si>
    <t>1X15</t>
  </si>
  <si>
    <t>1X4</t>
  </si>
  <si>
    <t>1X6</t>
  </si>
  <si>
    <t>1X30</t>
  </si>
  <si>
    <t>1X50</t>
  </si>
  <si>
    <t>Sales &amp; Stock Statement Group[Group Summary] From : 01/05/26 To 31/05/26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</si>
</sst>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mbria"/>
      <family val="2"/>
    </font>
    <font>
      <b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7A94-93D3-4C57-B266-0315E570FA4C}">
  <dimension ref="A1:H44"/>
  <sheetViews>
    <sheetView showGridLines="0" tabSelected="1" workbookViewId="0">
      <selection activeCell="A4" sqref="A4"/>
    </sheetView>
  </sheetViews>
  <sheetFormatPr defaultRowHeight="13.8" x14ac:dyDescent="0.25"/>
  <cols>
    <col min="1" max="1" width="29.8984375" style="3" bestFit="1" customWidth="1"/>
    <col min="2" max="2" width="8.3984375" style="3" bestFit="1" customWidth="1"/>
    <col min="3" max="3" width="7.296875" style="5" bestFit="1" customWidth="1"/>
    <col min="4" max="4" width="10.8984375" style="5" bestFit="1" customWidth="1"/>
    <col min="5" max="5" width="9" style="3" bestFit="1" customWidth="1"/>
    <col min="6" max="6" width="9.8984375" style="5" bestFit="1" customWidth="1"/>
    <col min="7" max="7" width="6.8984375" style="5" bestFit="1" customWidth="1"/>
    <col min="8" max="8" width="10.8984375" style="5" bestFit="1" customWidth="1"/>
  </cols>
  <sheetData>
    <row r="1" spans="1:8" x14ac:dyDescent="0.25">
      <c r="A1" s="1" t="s">
        <v>55</v>
      </c>
      <c r="B1" s="6"/>
      <c r="C1" s="7"/>
      <c r="D1" s="7"/>
      <c r="E1" s="6"/>
      <c r="F1" s="7"/>
      <c r="G1" s="7"/>
      <c r="H1" s="7"/>
    </row>
    <row r="2" spans="1:8" x14ac:dyDescent="0.25">
      <c r="A2" s="1" t="s">
        <v>0</v>
      </c>
      <c r="B2" s="1" t="s">
        <v>1</v>
      </c>
      <c r="C2" s="4" t="s">
        <v>2</v>
      </c>
      <c r="D2" s="4" t="s">
        <v>3</v>
      </c>
      <c r="E2" s="1" t="s">
        <v>4</v>
      </c>
      <c r="F2" s="4" t="s">
        <v>5</v>
      </c>
      <c r="G2" s="4" t="s">
        <v>6</v>
      </c>
      <c r="H2" s="4" t="s">
        <v>7</v>
      </c>
    </row>
    <row r="3" spans="1:8" x14ac:dyDescent="0.25">
      <c r="A3" s="8" t="s">
        <v>8</v>
      </c>
      <c r="B3" s="8" t="s">
        <v>8</v>
      </c>
      <c r="C3" s="7"/>
      <c r="D3" s="7"/>
      <c r="E3" s="6"/>
      <c r="F3" s="7"/>
      <c r="G3" s="7"/>
      <c r="H3" s="7"/>
    </row>
    <row r="4" spans="1:8" x14ac:dyDescent="0.25">
      <c r="A4" s="9" t="s">
        <v>9</v>
      </c>
      <c r="B4" s="8" t="s">
        <v>8</v>
      </c>
      <c r="C4" s="7"/>
      <c r="D4" s="7"/>
      <c r="E4" s="6"/>
      <c r="F4" s="7"/>
      <c r="G4" s="7"/>
      <c r="H4" s="7"/>
    </row>
    <row r="5" spans="1:8" x14ac:dyDescent="0.25">
      <c r="A5" s="8" t="s">
        <v>10</v>
      </c>
      <c r="B5" s="8" t="s">
        <v>48</v>
      </c>
      <c r="C5" s="7">
        <v>35</v>
      </c>
      <c r="D5" s="7">
        <v>3225.53</v>
      </c>
      <c r="E5" s="6">
        <v>10</v>
      </c>
      <c r="F5" s="7">
        <v>1042</v>
      </c>
      <c r="G5" s="7">
        <v>25</v>
      </c>
      <c r="H5" s="7">
        <v>2303.9499999999998</v>
      </c>
    </row>
    <row r="6" spans="1:8" x14ac:dyDescent="0.25">
      <c r="A6" s="8" t="s">
        <v>11</v>
      </c>
      <c r="B6" s="8" t="s">
        <v>49</v>
      </c>
      <c r="C6" s="7">
        <v>320</v>
      </c>
      <c r="D6" s="7">
        <v>3111.36</v>
      </c>
      <c r="E6" s="6">
        <v>100</v>
      </c>
      <c r="F6" s="7">
        <v>1080</v>
      </c>
      <c r="G6" s="7">
        <v>220</v>
      </c>
      <c r="H6" s="7">
        <v>2139.06</v>
      </c>
    </row>
    <row r="7" spans="1:8" x14ac:dyDescent="0.25">
      <c r="A7" s="8" t="s">
        <v>12</v>
      </c>
      <c r="B7" s="8" t="s">
        <v>48</v>
      </c>
      <c r="C7" s="7">
        <v>223</v>
      </c>
      <c r="D7" s="7">
        <v>9830.68</v>
      </c>
      <c r="E7" s="6">
        <v>0</v>
      </c>
      <c r="F7" s="7">
        <v>0</v>
      </c>
      <c r="G7" s="7">
        <v>223</v>
      </c>
      <c r="H7" s="7">
        <v>9830.68</v>
      </c>
    </row>
    <row r="8" spans="1:8" x14ac:dyDescent="0.25">
      <c r="A8" s="8" t="s">
        <v>13</v>
      </c>
      <c r="B8" s="8" t="s">
        <v>48</v>
      </c>
      <c r="C8" s="7">
        <v>168</v>
      </c>
      <c r="D8" s="7">
        <v>9499.93</v>
      </c>
      <c r="E8" s="6">
        <v>124</v>
      </c>
      <c r="F8" s="7">
        <v>7874</v>
      </c>
      <c r="G8" s="7">
        <v>44</v>
      </c>
      <c r="H8" s="7">
        <v>2488.08</v>
      </c>
    </row>
    <row r="9" spans="1:8" x14ac:dyDescent="0.25">
      <c r="A9" s="8" t="s">
        <v>14</v>
      </c>
      <c r="B9" s="8" t="s">
        <v>48</v>
      </c>
      <c r="C9" s="7">
        <v>30</v>
      </c>
      <c r="D9" s="7">
        <v>4276.88</v>
      </c>
      <c r="E9" s="6">
        <v>0</v>
      </c>
      <c r="F9" s="7">
        <v>0</v>
      </c>
      <c r="G9" s="7">
        <v>30</v>
      </c>
      <c r="H9" s="7">
        <v>4276.88</v>
      </c>
    </row>
    <row r="10" spans="1:8" x14ac:dyDescent="0.25">
      <c r="A10" s="8" t="s">
        <v>15</v>
      </c>
      <c r="B10" s="8" t="s">
        <v>48</v>
      </c>
      <c r="C10" s="7">
        <v>109</v>
      </c>
      <c r="D10" s="7">
        <v>1528.18</v>
      </c>
      <c r="E10" s="6">
        <v>30</v>
      </c>
      <c r="F10" s="7">
        <v>472</v>
      </c>
      <c r="G10" s="7">
        <v>79</v>
      </c>
      <c r="H10" s="7">
        <v>1107.58</v>
      </c>
    </row>
    <row r="11" spans="1:8" x14ac:dyDescent="0.25">
      <c r="A11" s="8" t="s">
        <v>16</v>
      </c>
      <c r="B11" s="8" t="s">
        <v>48</v>
      </c>
      <c r="C11" s="7">
        <v>85</v>
      </c>
      <c r="D11" s="7">
        <v>1821.18</v>
      </c>
      <c r="E11" s="6">
        <v>10</v>
      </c>
      <c r="F11" s="7">
        <v>226.7</v>
      </c>
      <c r="G11" s="7">
        <v>75</v>
      </c>
      <c r="H11" s="7">
        <v>1606.92</v>
      </c>
    </row>
    <row r="12" spans="1:8" x14ac:dyDescent="0.25">
      <c r="A12" s="8" t="s">
        <v>17</v>
      </c>
      <c r="B12" s="8" t="s">
        <v>49</v>
      </c>
      <c r="C12" s="7">
        <v>840</v>
      </c>
      <c r="D12" s="7">
        <v>5003.8999999999996</v>
      </c>
      <c r="E12" s="6">
        <v>0</v>
      </c>
      <c r="F12" s="7">
        <v>0</v>
      </c>
      <c r="G12" s="7">
        <v>840</v>
      </c>
      <c r="H12" s="7">
        <v>5003.8999999999996</v>
      </c>
    </row>
    <row r="13" spans="1:8" x14ac:dyDescent="0.25">
      <c r="A13" s="8" t="s">
        <v>18</v>
      </c>
      <c r="B13" s="8" t="s">
        <v>48</v>
      </c>
      <c r="C13" s="7">
        <v>10</v>
      </c>
      <c r="D13" s="7">
        <v>1072.79</v>
      </c>
      <c r="E13" s="6">
        <v>0</v>
      </c>
      <c r="F13" s="7">
        <v>0</v>
      </c>
      <c r="G13" s="7">
        <v>10</v>
      </c>
      <c r="H13" s="7">
        <v>1072.79</v>
      </c>
    </row>
    <row r="14" spans="1:8" x14ac:dyDescent="0.25">
      <c r="A14" s="8" t="s">
        <v>19</v>
      </c>
      <c r="B14" s="8" t="s">
        <v>48</v>
      </c>
      <c r="C14" s="7">
        <v>541</v>
      </c>
      <c r="D14" s="7">
        <v>43638.14</v>
      </c>
      <c r="E14" s="6">
        <v>345</v>
      </c>
      <c r="F14" s="7">
        <v>32292.55</v>
      </c>
      <c r="G14" s="7">
        <v>196</v>
      </c>
      <c r="H14" s="7">
        <v>15809.75</v>
      </c>
    </row>
    <row r="15" spans="1:8" x14ac:dyDescent="0.25">
      <c r="A15" s="8" t="s">
        <v>20</v>
      </c>
      <c r="B15" s="8" t="s">
        <v>48</v>
      </c>
      <c r="C15" s="7">
        <v>575</v>
      </c>
      <c r="D15" s="7">
        <v>24121.84</v>
      </c>
      <c r="E15" s="6">
        <v>350</v>
      </c>
      <c r="F15" s="7">
        <v>16049.9</v>
      </c>
      <c r="G15" s="7">
        <v>225</v>
      </c>
      <c r="H15" s="7">
        <v>9438.98</v>
      </c>
    </row>
    <row r="16" spans="1:8" x14ac:dyDescent="0.25">
      <c r="A16" s="8" t="s">
        <v>21</v>
      </c>
      <c r="B16" s="8" t="s">
        <v>51</v>
      </c>
      <c r="C16" s="7">
        <v>10</v>
      </c>
      <c r="D16" s="7">
        <v>1890</v>
      </c>
      <c r="E16" s="6">
        <v>0</v>
      </c>
      <c r="F16" s="7">
        <v>0</v>
      </c>
      <c r="G16" s="7">
        <v>10</v>
      </c>
      <c r="H16" s="7">
        <v>1890</v>
      </c>
    </row>
    <row r="17" spans="1:8" x14ac:dyDescent="0.25">
      <c r="A17" s="8" t="s">
        <v>22</v>
      </c>
      <c r="B17" s="8" t="s">
        <v>51</v>
      </c>
      <c r="C17" s="7">
        <v>10</v>
      </c>
      <c r="D17" s="7">
        <v>1349.98</v>
      </c>
      <c r="E17" s="6">
        <v>0</v>
      </c>
      <c r="F17" s="7">
        <v>0</v>
      </c>
      <c r="G17" s="7">
        <v>10</v>
      </c>
      <c r="H17" s="7">
        <v>1349.98</v>
      </c>
    </row>
    <row r="18" spans="1:8" x14ac:dyDescent="0.25">
      <c r="A18" s="8" t="s">
        <v>23</v>
      </c>
      <c r="B18" s="8" t="s">
        <v>52</v>
      </c>
      <c r="C18" s="7">
        <v>30</v>
      </c>
      <c r="D18" s="7">
        <v>1358.55</v>
      </c>
      <c r="E18" s="6">
        <v>0</v>
      </c>
      <c r="F18" s="7">
        <v>0</v>
      </c>
      <c r="G18" s="7">
        <v>30</v>
      </c>
      <c r="H18" s="7">
        <v>1358.55</v>
      </c>
    </row>
    <row r="19" spans="1:8" x14ac:dyDescent="0.25">
      <c r="A19" s="8" t="s">
        <v>24</v>
      </c>
      <c r="B19" s="8" t="s">
        <v>52</v>
      </c>
      <c r="C19" s="7">
        <v>103</v>
      </c>
      <c r="D19" s="7">
        <v>8760.6299999999992</v>
      </c>
      <c r="E19" s="6">
        <v>36</v>
      </c>
      <c r="F19" s="7">
        <v>3240.3</v>
      </c>
      <c r="G19" s="7">
        <v>67</v>
      </c>
      <c r="H19" s="7">
        <v>5698.66</v>
      </c>
    </row>
    <row r="20" spans="1:8" x14ac:dyDescent="0.25">
      <c r="A20" s="8" t="s">
        <v>25</v>
      </c>
      <c r="B20" s="8" t="s">
        <v>48</v>
      </c>
      <c r="C20" s="7">
        <v>210</v>
      </c>
      <c r="D20" s="7">
        <v>9968.25</v>
      </c>
      <c r="E20" s="6">
        <v>60</v>
      </c>
      <c r="F20" s="7">
        <v>3619.5</v>
      </c>
      <c r="G20" s="7">
        <v>150</v>
      </c>
      <c r="H20" s="7">
        <v>7120.18</v>
      </c>
    </row>
    <row r="21" spans="1:8" x14ac:dyDescent="0.25">
      <c r="A21" s="8" t="s">
        <v>26</v>
      </c>
      <c r="B21" s="8" t="s">
        <v>48</v>
      </c>
      <c r="C21" s="7">
        <v>220</v>
      </c>
      <c r="D21" s="7">
        <v>6508.62</v>
      </c>
      <c r="E21" s="6">
        <v>0</v>
      </c>
      <c r="F21" s="7">
        <v>0</v>
      </c>
      <c r="G21" s="7">
        <v>220</v>
      </c>
      <c r="H21" s="7">
        <v>6508.62</v>
      </c>
    </row>
    <row r="22" spans="1:8" x14ac:dyDescent="0.25">
      <c r="A22" s="8" t="s">
        <v>27</v>
      </c>
      <c r="B22" s="8" t="s">
        <v>50</v>
      </c>
      <c r="C22" s="7">
        <v>48</v>
      </c>
      <c r="D22" s="7">
        <v>3397.11</v>
      </c>
      <c r="E22" s="6">
        <v>0</v>
      </c>
      <c r="F22" s="7">
        <v>0</v>
      </c>
      <c r="G22" s="7">
        <v>48</v>
      </c>
      <c r="H22" s="7">
        <v>3397.11</v>
      </c>
    </row>
    <row r="23" spans="1:8" x14ac:dyDescent="0.25">
      <c r="A23" s="8" t="s">
        <v>28</v>
      </c>
      <c r="B23" s="8" t="s">
        <v>53</v>
      </c>
      <c r="C23" s="7">
        <v>3</v>
      </c>
      <c r="D23" s="7">
        <v>337.34</v>
      </c>
      <c r="E23" s="6">
        <v>0</v>
      </c>
      <c r="F23" s="7">
        <v>0</v>
      </c>
      <c r="G23" s="7">
        <v>3</v>
      </c>
      <c r="H23" s="7">
        <v>337.34</v>
      </c>
    </row>
    <row r="24" spans="1:8" x14ac:dyDescent="0.25">
      <c r="A24" s="8" t="s">
        <v>29</v>
      </c>
      <c r="B24" s="8" t="s">
        <v>53</v>
      </c>
      <c r="C24" s="7">
        <v>50</v>
      </c>
      <c r="D24" s="7">
        <v>6525.37</v>
      </c>
      <c r="E24" s="6">
        <v>50</v>
      </c>
      <c r="F24" s="7">
        <v>9320.4</v>
      </c>
      <c r="G24" s="7">
        <v>0</v>
      </c>
      <c r="H24" s="7">
        <v>0</v>
      </c>
    </row>
    <row r="25" spans="1:8" x14ac:dyDescent="0.25">
      <c r="A25" s="8" t="s">
        <v>30</v>
      </c>
      <c r="B25" s="8" t="s">
        <v>54</v>
      </c>
      <c r="C25" s="7">
        <v>65</v>
      </c>
      <c r="D25" s="7">
        <v>5462.82</v>
      </c>
      <c r="E25" s="6">
        <v>34</v>
      </c>
      <c r="F25" s="7">
        <v>3176.18</v>
      </c>
      <c r="G25" s="7">
        <v>31</v>
      </c>
      <c r="H25" s="7">
        <v>2605.34</v>
      </c>
    </row>
    <row r="26" spans="1:8" x14ac:dyDescent="0.25">
      <c r="A26" s="8" t="s">
        <v>31</v>
      </c>
      <c r="B26" s="8" t="s">
        <v>48</v>
      </c>
      <c r="C26" s="7">
        <v>75</v>
      </c>
      <c r="D26" s="7">
        <v>5904.16</v>
      </c>
      <c r="E26" s="6">
        <v>0</v>
      </c>
      <c r="F26" s="7">
        <v>0</v>
      </c>
      <c r="G26" s="7">
        <v>75</v>
      </c>
      <c r="H26" s="7">
        <v>5904.16</v>
      </c>
    </row>
    <row r="27" spans="1:8" x14ac:dyDescent="0.25">
      <c r="A27" s="8" t="s">
        <v>32</v>
      </c>
      <c r="B27" s="8" t="s">
        <v>53</v>
      </c>
      <c r="C27" s="7">
        <v>165</v>
      </c>
      <c r="D27" s="7">
        <v>12391.37</v>
      </c>
      <c r="E27" s="6">
        <v>96</v>
      </c>
      <c r="F27" s="7">
        <v>8678.4</v>
      </c>
      <c r="G27" s="7">
        <v>69</v>
      </c>
      <c r="H27" s="7">
        <v>5181.8500000000004</v>
      </c>
    </row>
    <row r="28" spans="1:8" x14ac:dyDescent="0.25">
      <c r="A28" s="8" t="s">
        <v>33</v>
      </c>
      <c r="B28" s="8" t="s">
        <v>48</v>
      </c>
      <c r="C28" s="7">
        <v>109</v>
      </c>
      <c r="D28" s="7">
        <v>9729.86</v>
      </c>
      <c r="E28" s="6">
        <v>53</v>
      </c>
      <c r="F28" s="7">
        <v>5644.8</v>
      </c>
      <c r="G28" s="7">
        <v>56</v>
      </c>
      <c r="H28" s="7">
        <v>4998.83</v>
      </c>
    </row>
    <row r="29" spans="1:8" x14ac:dyDescent="0.25">
      <c r="A29" s="8" t="s">
        <v>34</v>
      </c>
      <c r="B29" s="8" t="s">
        <v>48</v>
      </c>
      <c r="C29" s="7">
        <v>131</v>
      </c>
      <c r="D29" s="7">
        <v>11672.27</v>
      </c>
      <c r="E29" s="6">
        <v>86</v>
      </c>
      <c r="F29" s="7">
        <v>8219.16</v>
      </c>
      <c r="G29" s="7">
        <v>45</v>
      </c>
      <c r="H29" s="7">
        <v>4009.56</v>
      </c>
    </row>
    <row r="30" spans="1:8" x14ac:dyDescent="0.25">
      <c r="A30" s="8" t="s">
        <v>35</v>
      </c>
      <c r="B30" s="8" t="s">
        <v>53</v>
      </c>
      <c r="C30" s="7">
        <v>132</v>
      </c>
      <c r="D30" s="7">
        <v>5702.87</v>
      </c>
      <c r="E30" s="6">
        <v>70</v>
      </c>
      <c r="F30" s="7">
        <v>3681.6</v>
      </c>
      <c r="G30" s="7">
        <v>62</v>
      </c>
      <c r="H30" s="7">
        <v>2678.62</v>
      </c>
    </row>
    <row r="31" spans="1:8" x14ac:dyDescent="0.25">
      <c r="A31" s="8" t="s">
        <v>36</v>
      </c>
      <c r="B31" s="8" t="s">
        <v>48</v>
      </c>
      <c r="C31" s="7">
        <v>100</v>
      </c>
      <c r="D31" s="7">
        <v>4552.0600000000004</v>
      </c>
      <c r="E31" s="6">
        <v>10</v>
      </c>
      <c r="F31" s="7">
        <v>600</v>
      </c>
      <c r="G31" s="7">
        <v>90</v>
      </c>
      <c r="H31" s="7">
        <v>4096.8500000000004</v>
      </c>
    </row>
    <row r="32" spans="1:8" x14ac:dyDescent="0.25">
      <c r="A32" s="8" t="s">
        <v>37</v>
      </c>
      <c r="B32" s="8" t="s">
        <v>53</v>
      </c>
      <c r="C32" s="7">
        <v>77</v>
      </c>
      <c r="D32" s="7">
        <v>7861.32</v>
      </c>
      <c r="E32" s="6">
        <v>0</v>
      </c>
      <c r="F32" s="7">
        <v>0</v>
      </c>
      <c r="G32" s="7">
        <v>77</v>
      </c>
      <c r="H32" s="7">
        <v>7861.32</v>
      </c>
    </row>
    <row r="33" spans="1:8" x14ac:dyDescent="0.25">
      <c r="A33" s="8" t="s">
        <v>38</v>
      </c>
      <c r="B33" s="8" t="s">
        <v>48</v>
      </c>
      <c r="C33" s="7">
        <v>60</v>
      </c>
      <c r="D33" s="7">
        <v>12081.82</v>
      </c>
      <c r="E33" s="6">
        <v>0</v>
      </c>
      <c r="F33" s="7">
        <v>0</v>
      </c>
      <c r="G33" s="7">
        <v>60</v>
      </c>
      <c r="H33" s="7">
        <v>12081.82</v>
      </c>
    </row>
    <row r="34" spans="1:8" x14ac:dyDescent="0.25">
      <c r="A34" s="8" t="s">
        <v>39</v>
      </c>
      <c r="B34" s="8" t="s">
        <v>53</v>
      </c>
      <c r="C34" s="7">
        <v>102</v>
      </c>
      <c r="D34" s="7">
        <v>6615.5</v>
      </c>
      <c r="E34" s="6">
        <v>0</v>
      </c>
      <c r="F34" s="7">
        <v>0</v>
      </c>
      <c r="G34" s="7">
        <v>102</v>
      </c>
      <c r="H34" s="7">
        <v>6615.5</v>
      </c>
    </row>
    <row r="35" spans="1:8" x14ac:dyDescent="0.25">
      <c r="A35" s="8" t="s">
        <v>40</v>
      </c>
      <c r="B35" s="8" t="s">
        <v>48</v>
      </c>
      <c r="C35" s="7">
        <v>69</v>
      </c>
      <c r="D35" s="7">
        <v>3402.39</v>
      </c>
      <c r="E35" s="6">
        <v>0</v>
      </c>
      <c r="F35" s="7">
        <v>0</v>
      </c>
      <c r="G35" s="7">
        <v>69</v>
      </c>
      <c r="H35" s="7">
        <v>3402.39</v>
      </c>
    </row>
    <row r="36" spans="1:8" x14ac:dyDescent="0.25">
      <c r="A36" s="8" t="s">
        <v>41</v>
      </c>
      <c r="B36" s="8" t="s">
        <v>49</v>
      </c>
      <c r="C36" s="7">
        <v>1600</v>
      </c>
      <c r="D36" s="7">
        <v>17673.599999999999</v>
      </c>
      <c r="E36" s="6">
        <v>310</v>
      </c>
      <c r="F36" s="7">
        <v>4770</v>
      </c>
      <c r="G36" s="7">
        <v>1290</v>
      </c>
      <c r="H36" s="7">
        <v>14249.34</v>
      </c>
    </row>
    <row r="37" spans="1:8" x14ac:dyDescent="0.25">
      <c r="A37" s="8" t="s">
        <v>42</v>
      </c>
      <c r="B37" s="8" t="s">
        <v>48</v>
      </c>
      <c r="C37" s="7">
        <v>556</v>
      </c>
      <c r="D37" s="7">
        <v>27774.7</v>
      </c>
      <c r="E37" s="6">
        <v>35</v>
      </c>
      <c r="F37" s="7">
        <v>2072.2600000000002</v>
      </c>
      <c r="G37" s="7">
        <v>551</v>
      </c>
      <c r="H37" s="7">
        <v>26026.29</v>
      </c>
    </row>
    <row r="38" spans="1:8" x14ac:dyDescent="0.25">
      <c r="A38" s="8" t="s">
        <v>43</v>
      </c>
      <c r="B38" s="8" t="s">
        <v>48</v>
      </c>
      <c r="C38" s="7">
        <v>309</v>
      </c>
      <c r="D38" s="7">
        <v>13882.13</v>
      </c>
      <c r="E38" s="6">
        <v>169</v>
      </c>
      <c r="F38" s="7">
        <v>9083.25</v>
      </c>
      <c r="G38" s="7">
        <v>140</v>
      </c>
      <c r="H38" s="7">
        <v>6289.64</v>
      </c>
    </row>
    <row r="39" spans="1:8" x14ac:dyDescent="0.25">
      <c r="A39" s="8" t="s">
        <v>44</v>
      </c>
      <c r="B39" s="8" t="s">
        <v>48</v>
      </c>
      <c r="C39" s="7">
        <v>289</v>
      </c>
      <c r="D39" s="7">
        <v>21997.98</v>
      </c>
      <c r="E39" s="6">
        <v>34</v>
      </c>
      <c r="F39" s="7">
        <v>3270.32</v>
      </c>
      <c r="G39" s="7">
        <v>255</v>
      </c>
      <c r="H39" s="7">
        <v>19409.98</v>
      </c>
    </row>
    <row r="40" spans="1:8" x14ac:dyDescent="0.25">
      <c r="A40" s="8" t="s">
        <v>45</v>
      </c>
      <c r="B40" s="8" t="s">
        <v>48</v>
      </c>
      <c r="C40" s="7">
        <v>45</v>
      </c>
      <c r="D40" s="7">
        <v>3123.99</v>
      </c>
      <c r="E40" s="6">
        <v>45</v>
      </c>
      <c r="F40" s="7">
        <v>3470.9</v>
      </c>
      <c r="G40" s="7">
        <v>0</v>
      </c>
      <c r="H40" s="7">
        <v>0</v>
      </c>
    </row>
    <row r="41" spans="1:8" x14ac:dyDescent="0.25">
      <c r="A41" s="9" t="s">
        <v>46</v>
      </c>
      <c r="B41" s="9" t="s">
        <v>8</v>
      </c>
      <c r="C41" s="4"/>
      <c r="D41" s="4">
        <f>SUM(D5:D40)</f>
        <v>317055.09999999998</v>
      </c>
      <c r="E41" s="1"/>
      <c r="F41" s="4">
        <f>SUM(F5:F40)</f>
        <v>127884.22</v>
      </c>
      <c r="G41" s="4"/>
      <c r="H41" s="4">
        <f>SUM(H5:H40)</f>
        <v>208150.50000000006</v>
      </c>
    </row>
    <row r="42" spans="1:8" x14ac:dyDescent="0.25">
      <c r="A42" s="9" t="s">
        <v>8</v>
      </c>
      <c r="B42" s="9" t="s">
        <v>8</v>
      </c>
      <c r="C42" s="4"/>
      <c r="D42" s="4"/>
      <c r="E42" s="1"/>
      <c r="F42" s="4"/>
      <c r="G42" s="4"/>
      <c r="H42" s="4"/>
    </row>
    <row r="43" spans="1:8" x14ac:dyDescent="0.25">
      <c r="A43" s="9" t="s">
        <v>47</v>
      </c>
      <c r="B43" s="9" t="s">
        <v>8</v>
      </c>
      <c r="C43" s="4"/>
      <c r="D43" s="4">
        <f>D41</f>
        <v>317055.09999999998</v>
      </c>
      <c r="E43" s="1"/>
      <c r="F43" s="4">
        <v>127884.22</v>
      </c>
      <c r="G43" s="4"/>
      <c r="H43" s="4">
        <f>H41</f>
        <v>208150.50000000006</v>
      </c>
    </row>
    <row r="44" spans="1:8" x14ac:dyDescent="0.25">
      <c r="A44" s="2" t="s">
        <v>8</v>
      </c>
      <c r="B44" s="2" t="s">
        <v>8</v>
      </c>
    </row>
  </sheetData>
  <pageMargins left="0" right="0" top="0" bottom="0" header="0" footer="0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Lenovo11th Admin</dc:creator>
  <cp:lastModifiedBy>Lenovo11th Admin</cp:lastModifiedBy>
  <cp:lastPrinted>2026-06-01T12:41:40Z</cp:lastPrinted>
  <dcterms:created xsi:type="dcterms:W3CDTF">2026-06-01T11:53:23Z</dcterms:created>
  <dcterms:modified xsi:type="dcterms:W3CDTF">2026-06-01T12:42:57Z</dcterms:modified>
</cp:coreProperties>
</file>