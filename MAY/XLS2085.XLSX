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10050"/>
  </bookViews>
  <sheets>
    <sheet name="XLS2085" sheetId="1" r:id="rId1"/>
  </sheets>
  <calcPr calcId="144525"/>
</workbook>
</file>

<file path=xl/calcChain.xml><?xml version="1.0" encoding="utf-8"?>
<calcChain xmlns="http://schemas.openxmlformats.org/spreadsheetml/2006/main">
  <c r="T7" i="1" l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<sst xmlns="http://schemas.openxmlformats.org/spreadsheetml/2006/main" count="113" uniqueCount="65">
  <si>
    <t>GOCAN-150</t>
  </si>
  <si>
    <t>1 TAB</t>
  </si>
  <si>
    <t>30049029</t>
  </si>
  <si>
    <t>ITBOR-100 CAP</t>
  </si>
  <si>
    <t>10 CAP</t>
  </si>
  <si>
    <t>ITBOR-200 CAP</t>
  </si>
  <si>
    <t>LAZ-250 TAB</t>
  </si>
  <si>
    <t>6 TAB</t>
  </si>
  <si>
    <t>30042064</t>
  </si>
  <si>
    <t>LAZ-500 TAB</t>
  </si>
  <si>
    <t>5 TAB</t>
  </si>
  <si>
    <t>LULIBOR CREAM</t>
  </si>
  <si>
    <t>30 GM</t>
  </si>
  <si>
    <t>LULIBOR CREAM 15GM</t>
  </si>
  <si>
    <t>15 GM</t>
  </si>
  <si>
    <t>MOISTE CREAM</t>
  </si>
  <si>
    <t>50 GM</t>
  </si>
  <si>
    <t>33049910</t>
  </si>
  <si>
    <t>OPOX-100 DRY SYR</t>
  </si>
  <si>
    <t>30 ML</t>
  </si>
  <si>
    <t>30042019</t>
  </si>
  <si>
    <t>OPOX-100 DT</t>
  </si>
  <si>
    <t>10 TAB</t>
  </si>
  <si>
    <t>OPOX-200 TAB</t>
  </si>
  <si>
    <t>OPOX-50 DRY SYR</t>
  </si>
  <si>
    <t>OPOX-CV 100 DT</t>
  </si>
  <si>
    <t>OPOX-CV 50 DRY SYR</t>
  </si>
  <si>
    <t>OPOX-DROP</t>
  </si>
  <si>
    <t>10 ML</t>
  </si>
  <si>
    <t>PANTIN-40 TAB</t>
  </si>
  <si>
    <t>15 TAB</t>
  </si>
  <si>
    <t>30049039</t>
  </si>
  <si>
    <t>PANTIN-D CAP</t>
  </si>
  <si>
    <t>300490</t>
  </si>
  <si>
    <t>PANTIN-IV INJ</t>
  </si>
  <si>
    <t>1 VAIL</t>
  </si>
  <si>
    <t>PANTIN-L CAP</t>
  </si>
  <si>
    <t>VERTIGEN</t>
  </si>
  <si>
    <t>30049099</t>
  </si>
  <si>
    <t/>
  </si>
  <si>
    <t>MR.Balance:        0.00</t>
  </si>
  <si>
    <t>OPENING :   99770.50</t>
  </si>
  <si>
    <t>PURCHASE :     851.00</t>
  </si>
  <si>
    <t>SALES :   31205.98</t>
  </si>
  <si>
    <t>CL.STK.:   54109.99</t>
  </si>
  <si>
    <t>Opening On SaleRate:  110812.5</t>
  </si>
  <si>
    <t>Purchase On SaleRate:     937.</t>
  </si>
  <si>
    <t>Closing On SaleRate:   60069.4</t>
  </si>
  <si>
    <t xml:space="preserve">NAVJEEVAN MEDICAL &amp; GEN. STORES         </t>
  </si>
  <si>
    <t>AT POST-KEDGAON,RLY.STATION,TAL-DAUND,   From : 01/05/26</t>
  </si>
  <si>
    <t>DIST-PUNE                                To : 31/05/26</t>
  </si>
  <si>
    <t>MOB-9890594955,9011936655               Report Date : 30-May-2026</t>
  </si>
  <si>
    <t>STOCK &amp; SALE STATEMENT</t>
  </si>
  <si>
    <t>Company Name : HETERO-KUNDAN ZENX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</si>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</sst>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 x14ac:dyDescent="0.25"/>
  <cols>
    <col min="1" max="1" width="29.28515625" bestFit="1" customWidth="1"/>
    <col min="2" max="2" width="7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3" width="10" bestFit="1" customWidth="1"/>
    <col min="14" max="14" width="8.7109375" bestFit="1" customWidth="1"/>
    <col min="15" max="15" width="9.140625" bestFit="1" customWidth="1"/>
    <col min="16" max="16" width="9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 x14ac:dyDescent="0.25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 t="s">
        <v>53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UPPER("dbstk")</f>
        <v>DBSTK</v>
      </c>
      <c r="L7" s="1" t="str">
        <f>UPPER("closestk")</f>
        <v>CLOSESTK</v>
      </c>
      <c r="M7" s="1" t="str">
        <f>UPPER("openval")</f>
        <v>OPENVAL</v>
      </c>
      <c r="N7" s="1" t="str">
        <f>UPPER("purval")</f>
        <v>PURVAL</v>
      </c>
      <c r="O7" s="1" t="str">
        <f>UPPER("saleval")</f>
        <v>SALEVAL</v>
      </c>
      <c r="P7" s="1" t="str">
        <f>UPPER("clsval")</f>
        <v>CLSVAL</v>
      </c>
      <c r="Q7" s="1" t="str">
        <f>UPPER("hsncode")</f>
        <v>HSNCODE</v>
      </c>
      <c r="R7" s="1" t="str">
        <f>UPPER("taxper")</f>
        <v>TAXPER</v>
      </c>
      <c r="S7" s="1" t="str">
        <f>UPPER("slgstval")</f>
        <v>SLGSTVAL</v>
      </c>
      <c r="T7" s="1" t="str">
        <f>UPPER("scmgstval")</f>
        <v>SCMGSTVAL</v>
      </c>
    </row>
    <row r="8" spans="1:20" x14ac:dyDescent="0.25">
      <c r="A8" t="s">
        <v>0</v>
      </c>
      <c r="B8" t="s">
        <v>1</v>
      </c>
      <c r="C8">
        <v>0</v>
      </c>
      <c r="D8">
        <v>100</v>
      </c>
      <c r="E8">
        <v>50</v>
      </c>
      <c r="F8">
        <v>0</v>
      </c>
      <c r="G8">
        <v>20</v>
      </c>
      <c r="H8">
        <v>10</v>
      </c>
      <c r="I8">
        <v>0</v>
      </c>
      <c r="J8">
        <v>0</v>
      </c>
      <c r="K8">
        <v>0</v>
      </c>
      <c r="L8">
        <v>120</v>
      </c>
      <c r="M8">
        <v>0</v>
      </c>
      <c r="N8">
        <v>851</v>
      </c>
      <c r="O8">
        <v>187.4</v>
      </c>
      <c r="P8">
        <v>1021.2</v>
      </c>
      <c r="Q8" t="s">
        <v>2</v>
      </c>
      <c r="R8">
        <v>5</v>
      </c>
      <c r="S8">
        <v>196.77</v>
      </c>
      <c r="T8">
        <v>98.39</v>
      </c>
    </row>
    <row r="9" spans="1:20" x14ac:dyDescent="0.25">
      <c r="A9" t="s">
        <v>3</v>
      </c>
      <c r="B9" t="s">
        <v>4</v>
      </c>
      <c r="C9">
        <v>62</v>
      </c>
      <c r="D9">
        <v>0</v>
      </c>
      <c r="E9">
        <v>0</v>
      </c>
      <c r="F9">
        <v>0</v>
      </c>
      <c r="G9">
        <v>10</v>
      </c>
      <c r="H9">
        <v>5</v>
      </c>
      <c r="I9">
        <v>0</v>
      </c>
      <c r="J9">
        <v>0</v>
      </c>
      <c r="K9">
        <v>0</v>
      </c>
      <c r="L9">
        <v>47</v>
      </c>
      <c r="M9">
        <v>3656.76</v>
      </c>
      <c r="N9">
        <v>0</v>
      </c>
      <c r="O9">
        <v>655.4</v>
      </c>
      <c r="P9">
        <v>2772.06</v>
      </c>
      <c r="Q9" t="s">
        <v>2</v>
      </c>
      <c r="R9">
        <v>5</v>
      </c>
      <c r="S9">
        <v>688.17</v>
      </c>
      <c r="T9">
        <v>344.09</v>
      </c>
    </row>
    <row r="10" spans="1:20" x14ac:dyDescent="0.25">
      <c r="A10" t="s">
        <v>5</v>
      </c>
      <c r="B10" t="s">
        <v>4</v>
      </c>
      <c r="C10">
        <v>73</v>
      </c>
      <c r="D10">
        <v>0</v>
      </c>
      <c r="E10">
        <v>0</v>
      </c>
      <c r="F10">
        <v>0</v>
      </c>
      <c r="G10">
        <v>4</v>
      </c>
      <c r="H10">
        <v>2</v>
      </c>
      <c r="I10">
        <v>0</v>
      </c>
      <c r="J10">
        <v>0</v>
      </c>
      <c r="K10">
        <v>0</v>
      </c>
      <c r="L10">
        <v>67</v>
      </c>
      <c r="M10">
        <v>8549.76</v>
      </c>
      <c r="N10">
        <v>0</v>
      </c>
      <c r="O10">
        <v>516.34</v>
      </c>
      <c r="P10">
        <v>7847.04</v>
      </c>
      <c r="Q10" t="s">
        <v>2</v>
      </c>
      <c r="R10">
        <v>5</v>
      </c>
      <c r="S10">
        <v>546.54999999999995</v>
      </c>
      <c r="T10">
        <v>273.27</v>
      </c>
    </row>
    <row r="11" spans="1:20" x14ac:dyDescent="0.25">
      <c r="A11" t="s">
        <v>6</v>
      </c>
      <c r="B11" t="s">
        <v>7</v>
      </c>
      <c r="C11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72</v>
      </c>
      <c r="M11">
        <v>3782.16</v>
      </c>
      <c r="N11">
        <v>0</v>
      </c>
      <c r="O11">
        <v>0</v>
      </c>
      <c r="P11">
        <v>3782.16</v>
      </c>
      <c r="Q11" t="s">
        <v>8</v>
      </c>
      <c r="R11">
        <v>5</v>
      </c>
      <c r="S11">
        <v>0</v>
      </c>
      <c r="T11">
        <v>0</v>
      </c>
    </row>
    <row r="12" spans="1:20" x14ac:dyDescent="0.25">
      <c r="A12" t="s">
        <v>9</v>
      </c>
      <c r="B12" t="s">
        <v>10</v>
      </c>
      <c r="C12">
        <v>30</v>
      </c>
      <c r="D12">
        <v>0</v>
      </c>
      <c r="E12">
        <v>0</v>
      </c>
      <c r="F12">
        <v>0</v>
      </c>
      <c r="G12">
        <v>10</v>
      </c>
      <c r="H12">
        <v>2</v>
      </c>
      <c r="I12">
        <v>0</v>
      </c>
      <c r="J12">
        <v>0</v>
      </c>
      <c r="K12">
        <v>0</v>
      </c>
      <c r="L12">
        <v>18</v>
      </c>
      <c r="M12">
        <v>2777.1</v>
      </c>
      <c r="N12">
        <v>0</v>
      </c>
      <c r="O12">
        <v>1028.5999999999999</v>
      </c>
      <c r="P12">
        <v>1666.26</v>
      </c>
      <c r="Q12" t="s">
        <v>8</v>
      </c>
      <c r="R12">
        <v>5</v>
      </c>
      <c r="S12">
        <v>1080.03</v>
      </c>
      <c r="T12">
        <v>216.01</v>
      </c>
    </row>
    <row r="13" spans="1:20" x14ac:dyDescent="0.25">
      <c r="A13" t="s">
        <v>11</v>
      </c>
      <c r="B13" t="s">
        <v>12</v>
      </c>
      <c r="C13">
        <v>29</v>
      </c>
      <c r="D13">
        <v>0</v>
      </c>
      <c r="E13">
        <v>0</v>
      </c>
      <c r="F13">
        <v>0</v>
      </c>
      <c r="G13">
        <v>3</v>
      </c>
      <c r="H13">
        <v>1</v>
      </c>
      <c r="I13">
        <v>0</v>
      </c>
      <c r="J13">
        <v>0</v>
      </c>
      <c r="K13">
        <v>0</v>
      </c>
      <c r="L13">
        <v>25</v>
      </c>
      <c r="M13">
        <v>4658.2700000000004</v>
      </c>
      <c r="N13">
        <v>0</v>
      </c>
      <c r="O13">
        <v>535.44000000000005</v>
      </c>
      <c r="P13">
        <v>4015.75</v>
      </c>
      <c r="Q13" t="s">
        <v>2</v>
      </c>
      <c r="R13">
        <v>5</v>
      </c>
      <c r="S13">
        <v>562.21</v>
      </c>
      <c r="T13">
        <v>187.4</v>
      </c>
    </row>
    <row r="14" spans="1:20" x14ac:dyDescent="0.25">
      <c r="A14" t="s">
        <v>13</v>
      </c>
      <c r="B14" t="s">
        <v>14</v>
      </c>
      <c r="C14">
        <v>102</v>
      </c>
      <c r="D14">
        <v>0</v>
      </c>
      <c r="E14">
        <v>0</v>
      </c>
      <c r="F14">
        <v>0</v>
      </c>
      <c r="G14">
        <v>9</v>
      </c>
      <c r="H14">
        <v>2</v>
      </c>
      <c r="I14">
        <v>0</v>
      </c>
      <c r="J14">
        <v>0</v>
      </c>
      <c r="K14">
        <v>0</v>
      </c>
      <c r="L14">
        <v>91</v>
      </c>
      <c r="M14">
        <v>8190.6</v>
      </c>
      <c r="N14">
        <v>0</v>
      </c>
      <c r="O14">
        <v>802.98</v>
      </c>
      <c r="P14">
        <v>7307.3</v>
      </c>
      <c r="Q14" t="s">
        <v>2</v>
      </c>
      <c r="R14">
        <v>5</v>
      </c>
      <c r="S14">
        <v>843.13</v>
      </c>
      <c r="T14">
        <v>187.36</v>
      </c>
    </row>
    <row r="15" spans="1:20" x14ac:dyDescent="0.25">
      <c r="A15" t="s">
        <v>15</v>
      </c>
      <c r="B15" t="s">
        <v>16</v>
      </c>
      <c r="C15">
        <v>72</v>
      </c>
      <c r="D15">
        <v>0</v>
      </c>
      <c r="E15">
        <v>0</v>
      </c>
      <c r="F15">
        <v>0</v>
      </c>
      <c r="G15">
        <v>11</v>
      </c>
      <c r="H15">
        <v>3</v>
      </c>
      <c r="I15">
        <v>0</v>
      </c>
      <c r="J15">
        <v>0</v>
      </c>
      <c r="K15">
        <v>0</v>
      </c>
      <c r="L15">
        <v>58</v>
      </c>
      <c r="M15">
        <v>6666.48</v>
      </c>
      <c r="N15">
        <v>0</v>
      </c>
      <c r="O15">
        <v>1047.28</v>
      </c>
      <c r="P15">
        <v>5370.22</v>
      </c>
      <c r="Q15" t="s">
        <v>17</v>
      </c>
      <c r="R15">
        <v>18</v>
      </c>
      <c r="S15">
        <v>1335.38</v>
      </c>
      <c r="T15">
        <v>364.2</v>
      </c>
    </row>
    <row r="16" spans="1:20" x14ac:dyDescent="0.25">
      <c r="A16" t="s">
        <v>18</v>
      </c>
      <c r="B16" t="s">
        <v>19</v>
      </c>
      <c r="C16">
        <v>59</v>
      </c>
      <c r="D16">
        <v>0</v>
      </c>
      <c r="E16">
        <v>0</v>
      </c>
      <c r="F16">
        <v>0</v>
      </c>
      <c r="G16">
        <v>30</v>
      </c>
      <c r="H16">
        <v>9</v>
      </c>
      <c r="I16">
        <v>0</v>
      </c>
      <c r="J16">
        <v>0</v>
      </c>
      <c r="K16">
        <v>0</v>
      </c>
      <c r="L16">
        <v>20</v>
      </c>
      <c r="M16">
        <v>5485.82</v>
      </c>
      <c r="N16">
        <v>0</v>
      </c>
      <c r="O16">
        <v>3099.3</v>
      </c>
      <c r="P16">
        <v>1859.6</v>
      </c>
      <c r="Q16" t="s">
        <v>20</v>
      </c>
      <c r="R16">
        <v>5</v>
      </c>
      <c r="S16">
        <v>3254.27</v>
      </c>
      <c r="T16">
        <v>976.28</v>
      </c>
    </row>
    <row r="17" spans="1:20" x14ac:dyDescent="0.25">
      <c r="A17" t="s">
        <v>21</v>
      </c>
      <c r="B17" t="s">
        <v>22</v>
      </c>
      <c r="C17">
        <v>18</v>
      </c>
      <c r="D17">
        <v>0</v>
      </c>
      <c r="E17">
        <v>0</v>
      </c>
      <c r="F17">
        <v>0</v>
      </c>
      <c r="G17">
        <v>14</v>
      </c>
      <c r="H17">
        <v>1</v>
      </c>
      <c r="I17">
        <v>0</v>
      </c>
      <c r="J17">
        <v>0</v>
      </c>
      <c r="K17">
        <v>0</v>
      </c>
      <c r="L17">
        <v>3</v>
      </c>
      <c r="M17">
        <v>1700.28</v>
      </c>
      <c r="N17">
        <v>0</v>
      </c>
      <c r="O17">
        <v>1391.9</v>
      </c>
      <c r="P17">
        <v>283.38</v>
      </c>
      <c r="Q17" t="s">
        <v>20</v>
      </c>
      <c r="R17">
        <v>5</v>
      </c>
      <c r="S17">
        <v>1542.77</v>
      </c>
      <c r="T17">
        <v>110.2</v>
      </c>
    </row>
    <row r="18" spans="1:20" x14ac:dyDescent="0.25">
      <c r="A18" t="s">
        <v>23</v>
      </c>
      <c r="B18" t="s">
        <v>22</v>
      </c>
      <c r="C18">
        <v>38</v>
      </c>
      <c r="D18">
        <v>0</v>
      </c>
      <c r="E18">
        <v>0</v>
      </c>
      <c r="F18">
        <v>0</v>
      </c>
      <c r="G18">
        <v>30</v>
      </c>
      <c r="H18">
        <v>6</v>
      </c>
      <c r="I18">
        <v>0</v>
      </c>
      <c r="J18">
        <v>0</v>
      </c>
      <c r="K18">
        <v>0</v>
      </c>
      <c r="L18">
        <v>2</v>
      </c>
      <c r="M18">
        <v>3869.54</v>
      </c>
      <c r="N18">
        <v>0</v>
      </c>
      <c r="O18">
        <v>3306.6</v>
      </c>
      <c r="P18">
        <v>203.66</v>
      </c>
      <c r="Q18" t="s">
        <v>20</v>
      </c>
      <c r="R18">
        <v>5</v>
      </c>
      <c r="S18">
        <v>3563.91</v>
      </c>
      <c r="T18">
        <v>712.78</v>
      </c>
    </row>
    <row r="19" spans="1:20" x14ac:dyDescent="0.25">
      <c r="A19" t="s">
        <v>24</v>
      </c>
      <c r="B19" t="s">
        <v>19</v>
      </c>
      <c r="C19">
        <v>28</v>
      </c>
      <c r="D19">
        <v>0</v>
      </c>
      <c r="E19">
        <v>0</v>
      </c>
      <c r="F19">
        <v>0</v>
      </c>
      <c r="G19">
        <v>14</v>
      </c>
      <c r="H19">
        <v>4</v>
      </c>
      <c r="I19">
        <v>0</v>
      </c>
      <c r="J19">
        <v>0</v>
      </c>
      <c r="K19">
        <v>0</v>
      </c>
      <c r="L19">
        <v>10</v>
      </c>
      <c r="M19">
        <v>1497.72</v>
      </c>
      <c r="N19">
        <v>0</v>
      </c>
      <c r="O19">
        <v>832.02</v>
      </c>
      <c r="P19">
        <v>534.9</v>
      </c>
      <c r="Q19" t="s">
        <v>20</v>
      </c>
      <c r="R19">
        <v>5</v>
      </c>
      <c r="S19">
        <v>873.62</v>
      </c>
      <c r="T19">
        <v>249.61</v>
      </c>
    </row>
    <row r="20" spans="1:20" x14ac:dyDescent="0.25">
      <c r="A20" t="s">
        <v>25</v>
      </c>
      <c r="B20" t="s">
        <v>22</v>
      </c>
      <c r="C20">
        <v>41</v>
      </c>
      <c r="D20">
        <v>0</v>
      </c>
      <c r="E20">
        <v>0</v>
      </c>
      <c r="F20">
        <v>0</v>
      </c>
      <c r="G20">
        <v>7</v>
      </c>
      <c r="H20">
        <v>0</v>
      </c>
      <c r="I20">
        <v>0</v>
      </c>
      <c r="J20">
        <v>0</v>
      </c>
      <c r="K20">
        <v>0</v>
      </c>
      <c r="L20">
        <v>34</v>
      </c>
      <c r="M20">
        <v>4346.41</v>
      </c>
      <c r="N20">
        <v>0</v>
      </c>
      <c r="O20">
        <v>824.53</v>
      </c>
      <c r="P20">
        <v>3604.34</v>
      </c>
      <c r="Q20" t="s">
        <v>20</v>
      </c>
      <c r="R20">
        <v>5</v>
      </c>
      <c r="S20">
        <v>865.76</v>
      </c>
      <c r="T20">
        <v>0</v>
      </c>
    </row>
    <row r="21" spans="1:20" x14ac:dyDescent="0.25">
      <c r="A21" t="s">
        <v>26</v>
      </c>
      <c r="B21" t="s">
        <v>19</v>
      </c>
      <c r="C21">
        <v>62</v>
      </c>
      <c r="D21">
        <v>0</v>
      </c>
      <c r="E21">
        <v>0</v>
      </c>
      <c r="F21">
        <v>0</v>
      </c>
      <c r="G21">
        <v>22</v>
      </c>
      <c r="H21">
        <v>6</v>
      </c>
      <c r="I21">
        <v>0</v>
      </c>
      <c r="J21">
        <v>0</v>
      </c>
      <c r="K21">
        <v>0</v>
      </c>
      <c r="L21">
        <v>34</v>
      </c>
      <c r="M21">
        <v>4978.6000000000004</v>
      </c>
      <c r="N21">
        <v>0</v>
      </c>
      <c r="O21">
        <v>1893.74</v>
      </c>
      <c r="P21">
        <v>2730.2</v>
      </c>
      <c r="Q21" t="s">
        <v>20</v>
      </c>
      <c r="R21">
        <v>5</v>
      </c>
      <c r="S21">
        <v>2060.98</v>
      </c>
      <c r="T21">
        <v>562.09</v>
      </c>
    </row>
    <row r="22" spans="1:20" x14ac:dyDescent="0.25">
      <c r="A22" t="s">
        <v>27</v>
      </c>
      <c r="B22" t="s">
        <v>28</v>
      </c>
      <c r="C22">
        <v>45</v>
      </c>
      <c r="D22">
        <v>0</v>
      </c>
      <c r="E22">
        <v>0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40</v>
      </c>
      <c r="M22">
        <v>2348.1</v>
      </c>
      <c r="N22">
        <v>0</v>
      </c>
      <c r="O22">
        <v>289.89999999999998</v>
      </c>
      <c r="P22">
        <v>2087.1999999999998</v>
      </c>
      <c r="Q22" t="s">
        <v>20</v>
      </c>
      <c r="R22">
        <v>5</v>
      </c>
      <c r="S22">
        <v>304.39999999999998</v>
      </c>
      <c r="T22">
        <v>0</v>
      </c>
    </row>
    <row r="23" spans="1:20" x14ac:dyDescent="0.25">
      <c r="A23" t="s">
        <v>29</v>
      </c>
      <c r="B23" t="s">
        <v>30</v>
      </c>
      <c r="C23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23</v>
      </c>
      <c r="M23">
        <v>1641.28</v>
      </c>
      <c r="N23">
        <v>0</v>
      </c>
      <c r="O23">
        <v>0</v>
      </c>
      <c r="P23">
        <v>1641.28</v>
      </c>
      <c r="Q23" t="s">
        <v>31</v>
      </c>
      <c r="R23">
        <v>5</v>
      </c>
      <c r="S23">
        <v>0</v>
      </c>
      <c r="T23">
        <v>0</v>
      </c>
    </row>
    <row r="24" spans="1:20" x14ac:dyDescent="0.25">
      <c r="A24" t="s">
        <v>32</v>
      </c>
      <c r="B24" t="s">
        <v>4</v>
      </c>
      <c r="C24">
        <v>143</v>
      </c>
      <c r="D24">
        <v>0</v>
      </c>
      <c r="E24">
        <v>0</v>
      </c>
      <c r="F24">
        <v>0</v>
      </c>
      <c r="G24">
        <v>84</v>
      </c>
      <c r="H24">
        <v>42</v>
      </c>
      <c r="I24">
        <v>0</v>
      </c>
      <c r="J24">
        <v>0</v>
      </c>
      <c r="K24">
        <v>0</v>
      </c>
      <c r="L24">
        <v>17</v>
      </c>
      <c r="M24">
        <v>9177.74</v>
      </c>
      <c r="N24">
        <v>0</v>
      </c>
      <c r="O24">
        <v>5990.04</v>
      </c>
      <c r="P24">
        <v>1091.06</v>
      </c>
      <c r="Q24" t="s">
        <v>33</v>
      </c>
      <c r="R24">
        <v>5</v>
      </c>
      <c r="S24">
        <v>6289.54</v>
      </c>
      <c r="T24">
        <v>3144.77</v>
      </c>
    </row>
    <row r="25" spans="1:20" x14ac:dyDescent="0.25">
      <c r="A25" t="s">
        <v>34</v>
      </c>
      <c r="B25" t="s">
        <v>35</v>
      </c>
      <c r="C25">
        <v>455</v>
      </c>
      <c r="D25">
        <v>0</v>
      </c>
      <c r="E25">
        <v>0</v>
      </c>
      <c r="F25">
        <v>0</v>
      </c>
      <c r="G25">
        <v>133</v>
      </c>
      <c r="H25">
        <v>322</v>
      </c>
      <c r="I25">
        <v>0</v>
      </c>
      <c r="J25">
        <v>0</v>
      </c>
      <c r="K25">
        <v>0</v>
      </c>
      <c r="L25">
        <v>0</v>
      </c>
      <c r="M25">
        <v>16753.099999999999</v>
      </c>
      <c r="N25">
        <v>0</v>
      </c>
      <c r="O25">
        <v>5441.03</v>
      </c>
      <c r="P25">
        <v>0</v>
      </c>
      <c r="Q25" t="s">
        <v>31</v>
      </c>
      <c r="R25">
        <v>5</v>
      </c>
      <c r="S25">
        <v>5713.08</v>
      </c>
      <c r="T25">
        <v>13831.67</v>
      </c>
    </row>
    <row r="26" spans="1:20" x14ac:dyDescent="0.25">
      <c r="A26" t="s">
        <v>36</v>
      </c>
      <c r="B26" t="s">
        <v>4</v>
      </c>
      <c r="C26">
        <v>83</v>
      </c>
      <c r="D26">
        <v>0</v>
      </c>
      <c r="E26">
        <v>0</v>
      </c>
      <c r="F26">
        <v>0</v>
      </c>
      <c r="G26">
        <v>18</v>
      </c>
      <c r="H26">
        <v>3</v>
      </c>
      <c r="I26">
        <v>0</v>
      </c>
      <c r="J26">
        <v>0</v>
      </c>
      <c r="K26">
        <v>0</v>
      </c>
      <c r="L26">
        <v>62</v>
      </c>
      <c r="M26">
        <v>8423.67</v>
      </c>
      <c r="N26">
        <v>0</v>
      </c>
      <c r="O26">
        <v>2029.68</v>
      </c>
      <c r="P26">
        <v>6292.38</v>
      </c>
      <c r="Q26" t="s">
        <v>31</v>
      </c>
      <c r="R26">
        <v>5</v>
      </c>
      <c r="S26">
        <v>2131.16</v>
      </c>
      <c r="T26">
        <v>355.19</v>
      </c>
    </row>
    <row r="27" spans="1:20" x14ac:dyDescent="0.25">
      <c r="A27" t="s">
        <v>37</v>
      </c>
      <c r="B27" t="s">
        <v>22</v>
      </c>
      <c r="C27">
        <v>19</v>
      </c>
      <c r="D27">
        <v>0</v>
      </c>
      <c r="E27">
        <v>0</v>
      </c>
      <c r="F27">
        <v>0</v>
      </c>
      <c r="G27">
        <v>18</v>
      </c>
      <c r="H27">
        <v>1</v>
      </c>
      <c r="I27">
        <v>0</v>
      </c>
      <c r="J27">
        <v>0</v>
      </c>
      <c r="K27">
        <v>0</v>
      </c>
      <c r="L27">
        <v>0</v>
      </c>
      <c r="M27">
        <v>1267.1099999999999</v>
      </c>
      <c r="N27">
        <v>0</v>
      </c>
      <c r="O27">
        <v>1333.8</v>
      </c>
      <c r="P27">
        <v>0</v>
      </c>
      <c r="Q27" t="s">
        <v>38</v>
      </c>
      <c r="R27">
        <v>5</v>
      </c>
      <c r="S27">
        <v>1400.49</v>
      </c>
      <c r="T27">
        <v>77.81</v>
      </c>
    </row>
    <row r="28" spans="1:20" x14ac:dyDescent="0.25">
      <c r="A28" t="s">
        <v>39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39</v>
      </c>
      <c r="R28">
        <v>0</v>
      </c>
      <c r="S28">
        <v>0</v>
      </c>
      <c r="T28">
        <v>0</v>
      </c>
    </row>
    <row r="29" spans="1:20" x14ac:dyDescent="0.25">
      <c r="A29" t="s">
        <v>39</v>
      </c>
      <c r="B29" t="s">
        <v>39</v>
      </c>
      <c r="C29">
        <v>1454</v>
      </c>
      <c r="D29">
        <v>100</v>
      </c>
      <c r="E29">
        <v>0</v>
      </c>
      <c r="F29">
        <v>0</v>
      </c>
      <c r="G29">
        <v>442</v>
      </c>
      <c r="H29">
        <v>0</v>
      </c>
      <c r="I29">
        <v>0</v>
      </c>
      <c r="J29">
        <v>0</v>
      </c>
      <c r="K29">
        <v>0</v>
      </c>
      <c r="L29">
        <v>743</v>
      </c>
      <c r="M29">
        <v>99770.5</v>
      </c>
      <c r="N29">
        <v>851</v>
      </c>
      <c r="O29">
        <v>31205.98</v>
      </c>
      <c r="P29">
        <v>54109.99</v>
      </c>
      <c r="Q29" t="s">
        <v>39</v>
      </c>
      <c r="R29">
        <v>0</v>
      </c>
      <c r="S29">
        <v>0</v>
      </c>
      <c r="T29">
        <v>0</v>
      </c>
    </row>
    <row r="30" spans="1:20" x14ac:dyDescent="0.25">
      <c r="A30" t="s">
        <v>40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39</v>
      </c>
      <c r="R30">
        <v>0</v>
      </c>
      <c r="S30">
        <v>0</v>
      </c>
      <c r="T30">
        <v>0</v>
      </c>
    </row>
    <row r="31" spans="1:20" x14ac:dyDescent="0.25">
      <c r="A31" t="s">
        <v>39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39</v>
      </c>
      <c r="R31">
        <v>0</v>
      </c>
      <c r="S31">
        <v>0</v>
      </c>
      <c r="T31">
        <v>0</v>
      </c>
    </row>
    <row r="32" spans="1:20" x14ac:dyDescent="0.25">
      <c r="A32" t="s">
        <v>41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39</v>
      </c>
      <c r="R32">
        <v>0</v>
      </c>
      <c r="S32">
        <v>0</v>
      </c>
      <c r="T32">
        <v>0</v>
      </c>
    </row>
    <row r="33" spans="1:20" x14ac:dyDescent="0.25">
      <c r="A33" t="s">
        <v>42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39</v>
      </c>
      <c r="R33">
        <v>0</v>
      </c>
      <c r="S33">
        <v>0</v>
      </c>
      <c r="T33">
        <v>0</v>
      </c>
    </row>
    <row r="34" spans="1:20" x14ac:dyDescent="0.25">
      <c r="A34" t="s">
        <v>43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39</v>
      </c>
      <c r="R34">
        <v>0</v>
      </c>
      <c r="S34">
        <v>0</v>
      </c>
      <c r="T34">
        <v>0</v>
      </c>
    </row>
    <row r="35" spans="1:20" x14ac:dyDescent="0.25">
      <c r="A35" t="s">
        <v>44</v>
      </c>
      <c r="B35" t="s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39</v>
      </c>
      <c r="R35">
        <v>0</v>
      </c>
      <c r="S35">
        <v>0</v>
      </c>
      <c r="T35">
        <v>0</v>
      </c>
    </row>
    <row r="36" spans="1:20" x14ac:dyDescent="0.25">
      <c r="A36" t="s">
        <v>45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39</v>
      </c>
      <c r="R36">
        <v>0</v>
      </c>
      <c r="S36">
        <v>0</v>
      </c>
      <c r="T36">
        <v>0</v>
      </c>
    </row>
    <row r="37" spans="1:20" x14ac:dyDescent="0.25">
      <c r="A37" t="s">
        <v>46</v>
      </c>
      <c r="B37" t="s">
        <v>39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39</v>
      </c>
      <c r="R37">
        <v>0</v>
      </c>
      <c r="S37">
        <v>0</v>
      </c>
      <c r="T37">
        <v>0</v>
      </c>
    </row>
    <row r="38" spans="1:20" x14ac:dyDescent="0.25">
      <c r="A38" t="s">
        <v>47</v>
      </c>
      <c r="B38" t="s">
        <v>39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39</v>
      </c>
      <c r="R38">
        <v>0</v>
      </c>
      <c r="S38">
        <v>0</v>
      </c>
      <c r="T38">
        <v>0</v>
      </c>
    </row>
    <row r="39" spans="1:20" x14ac:dyDescent="0.25">
      <c r="A39" t="s">
        <v>39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39</v>
      </c>
      <c r="R39">
        <v>0</v>
      </c>
      <c r="S39">
        <v>0</v>
      </c>
      <c r="T39">
        <v>0</v>
      </c>
    </row>
    <row r="57" spans="1:9" x14ac:dyDescent="0.25">
      <c r="A57" s="2" t="s">
        <v>54</v>
      </c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1" t="s">
        <v>55</v>
      </c>
      <c r="B59" s="1" t="s">
        <v>56</v>
      </c>
      <c r="C59" s="1" t="s">
        <v>57</v>
      </c>
      <c r="D59" s="1" t="s">
        <v>58</v>
      </c>
      <c r="E59" s="1" t="s">
        <v>59</v>
      </c>
      <c r="F59" s="1" t="s">
        <v>60</v>
      </c>
      <c r="G59" s="1" t="s">
        <v>61</v>
      </c>
      <c r="H59" s="1" t="s">
        <v>62</v>
      </c>
      <c r="I59" s="1" t="s">
        <v>63</v>
      </c>
    </row>
    <row r="62" spans="1:9" x14ac:dyDescent="0.25">
      <c r="G62" t="s">
        <v>64</v>
      </c>
      <c r="I62">
        <v>0</v>
      </c>
    </row>
  </sheetData>
  <mergeCells count="8">
    <mergeCell ref="A6:T6"/>
    <mergeCell ref="A57:I57"/>
    <mergeCell ref="A58:I58"/>
    <mergeCell ref="A1:T1"/>
    <mergeCell ref="A2:T2"/>
    <mergeCell ref="A3:T3"/>
    <mergeCell ref="A4:T4"/>
    <mergeCell ref="A5:T5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XLS2085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rohankunjir@outlook.com</cp:lastModifiedBy>
  <dcterms:created xsi:type="dcterms:W3CDTF">2026-06-02T04:01:31Z</dcterms:created>
  <dcterms:modified xsi:type="dcterms:W3CDTF">2026-06-02T04:01:32Z</dcterms:modified>
</cp:coreProperties>
</file>